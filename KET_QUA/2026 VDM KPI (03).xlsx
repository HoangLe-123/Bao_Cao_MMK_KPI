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6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3776" tabRatio="829" firstSheet="0" activeTab="2" autoFilterDateGrouping="1"/>
  </bookViews>
  <sheets>
    <sheet xmlns:r="http://schemas.openxmlformats.org/officeDocument/2006/relationships" name="機械別実績" sheetId="1" state="visible" r:id="rId1"/>
    <sheet xmlns:r="http://schemas.openxmlformats.org/officeDocument/2006/relationships" name="指標1" sheetId="2" state="visible" r:id="rId2"/>
    <sheet xmlns:r="http://schemas.openxmlformats.org/officeDocument/2006/relationships" name="指標２(内作)" sheetId="3" state="visible" r:id="rId3"/>
    <sheet xmlns:r="http://schemas.openxmlformats.org/officeDocument/2006/relationships" name="指標２(外作)" sheetId="4" state="visible" r:id="rId4"/>
    <sheet xmlns:r="http://schemas.openxmlformats.org/officeDocument/2006/relationships" name="指標3（工程毎負荷時間)" sheetId="5" state="visible" r:id="rId5"/>
    <sheet xmlns:r="http://schemas.openxmlformats.org/officeDocument/2006/relationships" name="指標４（生産性) " sheetId="6" state="visible" r:id="rId6"/>
  </sheets>
  <definedNames>
    <definedName name="_xlnm._FilterDatabase" localSheetId="0" hidden="1">'機械別実績'!$A$4:$W$119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#,##0_ "/>
    <numFmt numFmtId="165" formatCode="0.0"/>
    <numFmt numFmtId="166" formatCode="#,##0.0;[Red]\-#,##0.0"/>
    <numFmt numFmtId="167" formatCode="_(* #,##0.0_);_(* \(#,##0.0\);_(* &quot;-&quot;??_);_(@_)"/>
    <numFmt numFmtId="168" formatCode="#,##0.000;[Red]\-#,##0.000"/>
    <numFmt numFmtId="169" formatCode="_(* #,##0_);_(* \(#,##0\);_(* &quot;-&quot;??_);_(@_)"/>
    <numFmt numFmtId="170" formatCode="_ * #,##0.00_ ;_ * \-#,##0.00_ ;_ * &quot;-&quot;??_ ;_ @_ "/>
    <numFmt numFmtId="171" formatCode="_-* #,##0.00_-;\-* #,##0.00_-;_-* &quot;-&quot;??_-;_-@_-"/>
  </numFmts>
  <fonts count="108">
    <font>
      <name val="Calibri"/>
      <charset val="128"/>
      <color theme="1"/>
      <sz val="11"/>
      <scheme val="minor"/>
    </font>
    <font>
      <name val="Calibri"/>
      <charset val="128"/>
      <family val="2"/>
      <color theme="1"/>
      <sz val="11"/>
      <scheme val="minor"/>
    </font>
    <font>
      <name val="ＭＳ Ｐゴシック"/>
      <family val="2"/>
      <color rgb="FFFF0000"/>
      <sz val="11"/>
    </font>
    <font>
      <name val="ＭＳ Ｐゴシック"/>
      <family val="2"/>
      <sz val="11"/>
    </font>
    <font>
      <name val="ＭＳ Ｐゴシック"/>
      <family val="2"/>
      <b val="1"/>
      <sz val="16"/>
    </font>
    <font>
      <name val="ＭＳ Ｐゴシック"/>
      <family val="2"/>
      <b val="1"/>
      <color rgb="FFFF0000"/>
      <sz val="11"/>
    </font>
    <font>
      <name val="ＭＳ Ｐゴシック"/>
      <family val="2"/>
      <color indexed="12"/>
      <sz val="11"/>
    </font>
    <font>
      <name val="ＭＳ Ｐゴシック"/>
      <family val="2"/>
      <b val="1"/>
      <sz val="11"/>
    </font>
    <font>
      <name val="ＭＳ Ｐゴシック"/>
      <family val="2"/>
      <color theme="1"/>
      <sz val="11"/>
    </font>
    <font>
      <name val="ＭＳ Ｐゴシック"/>
      <family val="2"/>
      <b val="1"/>
      <color rgb="FFFF0000"/>
      <sz val="12"/>
    </font>
    <font>
      <name val="ＭＳ Ｐゴシック"/>
      <family val="2"/>
      <b val="1"/>
      <sz val="12"/>
    </font>
    <font>
      <name val="ＭＳ Ｐゴシック"/>
      <family val="2"/>
      <b val="1"/>
      <color theme="1"/>
      <sz val="12"/>
    </font>
    <font>
      <name val="ＭＳ Ｐゴシック"/>
      <family val="2"/>
      <b val="1"/>
      <color rgb="FFFF0000"/>
      <sz val="14"/>
    </font>
    <font>
      <name val="ＭＳ Ｐゴシック"/>
      <family val="2"/>
      <b val="1"/>
      <color rgb="FFFF0000"/>
      <sz val="16"/>
    </font>
    <font>
      <name val="ＭＳ Ｐゴシック"/>
      <family val="2"/>
      <b val="1"/>
      <color theme="1"/>
      <sz val="11"/>
    </font>
    <font>
      <name val="ＭＳ Ｐゴシック"/>
      <family val="2"/>
      <sz val="10"/>
    </font>
    <font>
      <name val="ＭＳ Ｐゴシック"/>
      <family val="2"/>
      <sz val="20"/>
    </font>
    <font>
      <name val="Calibri"/>
      <charset val="128"/>
      <family val="3"/>
      <color theme="1"/>
      <sz val="11"/>
      <scheme val="minor"/>
    </font>
    <font>
      <name val="宋体"/>
      <charset val="128"/>
      <sz val="12"/>
    </font>
    <font>
      <name val="宋体"/>
      <charset val="128"/>
      <color indexed="8"/>
      <sz val="12"/>
    </font>
    <font>
      <name val="MS P ゴシック"/>
      <charset val="128"/>
      <sz val="11"/>
    </font>
    <font>
      <name val="MS P ゴシック"/>
      <charset val="128"/>
      <b val="1"/>
      <sz val="11"/>
    </font>
    <font>
      <name val="MS P ゴシック"/>
      <charset val="128"/>
      <b val="1"/>
      <sz val="9"/>
    </font>
    <font>
      <name val="細明體"/>
      <charset val="136"/>
      <family val="3"/>
      <color rgb="FFFF0000"/>
      <sz val="10"/>
    </font>
    <font>
      <name val="細明體"/>
      <charset val="136"/>
      <family val="3"/>
      <sz val="10"/>
    </font>
    <font>
      <name val="細明體"/>
      <charset val="136"/>
      <family val="3"/>
      <b val="1"/>
      <sz val="12"/>
    </font>
    <font>
      <name val="細明體"/>
      <charset val="136"/>
      <family val="3"/>
      <b val="1"/>
      <color rgb="FFFF0000"/>
      <sz val="14"/>
    </font>
    <font>
      <name val="細明體"/>
      <charset val="136"/>
      <family val="3"/>
      <b val="1"/>
      <color theme="1"/>
      <sz val="12"/>
    </font>
    <font>
      <name val="Calibri"/>
      <charset val="134"/>
      <family val="3"/>
      <sz val="9"/>
      <scheme val="minor"/>
    </font>
    <font>
      <name val="ＭＳ Ｐゴシック"/>
      <charset val="128"/>
      <family val="3"/>
      <sz val="11"/>
    </font>
    <font>
      <name val="Calibri"/>
      <charset val="128"/>
      <family val="2"/>
      <color theme="1"/>
      <sz val="11"/>
      <scheme val="minor"/>
    </font>
    <font>
      <name val="ＭＳ Ｐゴシック"/>
      <charset val="128"/>
      <family val="3"/>
      <sz val="10"/>
    </font>
    <font>
      <name val="ＭＳ Ｐゴシック"/>
      <charset val="128"/>
      <family val="2"/>
      <sz val="11"/>
    </font>
    <font>
      <name val="ＭＳ Ｐゴシック"/>
      <charset val="128"/>
      <family val="2"/>
      <sz val="10"/>
    </font>
    <font>
      <name val="Calibri"/>
      <charset val="128"/>
      <family val="3"/>
      <sz val="6"/>
      <scheme val="minor"/>
    </font>
    <font>
      <name val="ＭＳ Ｐゴシック"/>
      <charset val="128"/>
      <family val="2"/>
      <sz val="6"/>
    </font>
    <font>
      <name val="Calibri"/>
      <charset val="128"/>
      <family val="2"/>
      <sz val="6"/>
      <scheme val="minor"/>
    </font>
    <font>
      <name val="ＭＳ Ｐゴシック"/>
      <charset val="128"/>
      <family val="2"/>
      <color rgb="FFFF0000"/>
      <sz val="10"/>
    </font>
    <font>
      <name val="ＭＳ Ｐゴシック"/>
      <charset val="128"/>
      <family val="2"/>
      <color indexed="8"/>
      <sz val="10"/>
    </font>
    <font>
      <name val="ＭＳ Ｐゴシック"/>
      <charset val="128"/>
      <family val="3"/>
      <color indexed="8"/>
      <sz val="10"/>
    </font>
    <font>
      <name val="ＭＳ Ｐゴシック"/>
      <charset val="128"/>
      <family val="3"/>
      <sz val="6"/>
    </font>
    <font>
      <name val="ＭＳ Ｐゴシック"/>
      <charset val="128"/>
      <family val="3"/>
      <sz val="7"/>
    </font>
    <font>
      <name val="ＭＳ Ｐゴシック"/>
      <charset val="128"/>
      <family val="3"/>
      <color theme="1"/>
      <sz val="11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color rgb="FFFF0000"/>
      <sz val="11"/>
    </font>
    <font>
      <name val="ＭＳ Ｐゴシック"/>
      <charset val="128"/>
      <family val="3"/>
      <color theme="1"/>
      <sz val="10"/>
    </font>
    <font>
      <name val="ＭＳ Ｐゴシック"/>
      <charset val="128"/>
      <family val="3"/>
      <b val="1"/>
      <color rgb="FFFF0000"/>
      <sz val="11"/>
    </font>
    <font>
      <name val="ＭＳ Ｐゴシック"/>
      <charset val="128"/>
      <family val="3"/>
      <b val="1"/>
      <color indexed="10"/>
      <sz val="11"/>
    </font>
    <font>
      <name val="ＭＳ Ｐゴシック"/>
      <charset val="128"/>
      <family val="3"/>
      <b val="1"/>
      <color rgb="FFFF0000"/>
      <sz val="16"/>
    </font>
    <font>
      <name val="ＭＳ Ｐゴシック"/>
      <charset val="128"/>
      <family val="3"/>
      <b val="1"/>
      <sz val="12"/>
    </font>
    <font>
      <name val="ＭＳ Ｐゴシック"/>
      <charset val="128"/>
      <family val="3"/>
      <b val="1"/>
      <color rgb="FFFF0000"/>
      <sz val="14"/>
    </font>
    <font>
      <name val="MS P ゴシック"/>
      <charset val="128"/>
      <family val="3"/>
      <b val="1"/>
      <color indexed="81"/>
      <sz val="9"/>
    </font>
    <font>
      <name val="ＭＳ Ｐゴシック"/>
      <charset val="128"/>
      <family val="3"/>
      <b val="1"/>
      <color indexed="12"/>
      <sz val="14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color rgb="FFFF0000"/>
      <sz val="10"/>
    </font>
    <font>
      <name val="ＭＳ Ｐ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11"/>
    </font>
    <font>
      <name val="ＭＳ Ｐゴシック"/>
      <charset val="128"/>
      <family val="3"/>
      <color rgb="FF0070C0"/>
      <sz val="11"/>
    </font>
    <font>
      <name val="ＭＳ Ｐゴシック"/>
      <charset val="128"/>
      <family val="3"/>
      <color indexed="12"/>
      <sz val="11"/>
    </font>
    <font>
      <name val="ＭＳ Ｐゴシック"/>
      <charset val="128"/>
      <family val="3"/>
      <sz val="12"/>
    </font>
    <font>
      <name val="ＭＳ Ｐゴシック"/>
      <charset val="128"/>
      <family val="3"/>
      <color rgb="FFFF0000"/>
      <sz val="12"/>
    </font>
    <font>
      <name val="Arial"/>
      <family val="2"/>
      <color indexed="8"/>
      <sz val="6"/>
    </font>
    <font>
      <name val="ＭＳ Ｐゴシック"/>
      <charset val="128"/>
      <family val="3"/>
      <sz val="8"/>
    </font>
    <font>
      <name val="Arial"/>
      <family val="2"/>
      <color rgb="FF000000"/>
      <sz val="8"/>
    </font>
    <font>
      <name val="ＭＳ Ｐゴシック"/>
      <charset val="128"/>
      <family val="3"/>
      <color rgb="FF000000"/>
      <sz val="8"/>
    </font>
    <font>
      <name val="Calibri"/>
      <charset val="128"/>
      <family val="3"/>
      <color theme="10"/>
      <sz val="11"/>
      <u val="single"/>
      <scheme val="minor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  <font>
      <name val="Segoe UI"/>
      <family val="2"/>
      <b val="1"/>
      <color indexed="81"/>
      <sz val="9"/>
    </font>
    <font>
      <name val="Segoe UI"/>
      <family val="2"/>
      <color indexed="81"/>
      <sz val="9"/>
    </font>
    <font>
      <name val="ＭＳ Ｐゴシック"/>
      <charset val="128"/>
      <family val="3"/>
      <b val="1"/>
      <sz val="16"/>
    </font>
    <font>
      <name val="Calibri"/>
      <charset val="163"/>
      <family val="3"/>
      <sz val="11"/>
    </font>
    <font>
      <name val="Calibri"/>
      <charset val="163"/>
      <family val="3"/>
      <b val="1"/>
      <sz val="11"/>
    </font>
    <font>
      <name val="ＭＳ Ｐゴシック"/>
      <charset val="128"/>
      <family val="3"/>
      <sz val="9"/>
    </font>
    <font>
      <name val="Calibri"/>
      <family val="2"/>
      <sz val="11"/>
    </font>
    <font>
      <name val="Arial"/>
      <family val="2"/>
      <sz val="11"/>
    </font>
    <font>
      <name val="Calibri"/>
      <charset val="163"/>
      <family val="3"/>
      <sz val="10"/>
    </font>
    <font>
      <name val="Segoe UI"/>
      <charset val="238"/>
      <family val="3"/>
      <sz val="10"/>
    </font>
    <font>
      <name val="MS P ゴシック"/>
      <charset val="128"/>
      <family val="3"/>
      <color indexed="81"/>
      <sz val="9"/>
    </font>
    <font>
      <name val="Segoe UI"/>
      <family val="2"/>
      <color theme="1"/>
      <sz val="11"/>
    </font>
    <font>
      <name val="Calibri"/>
      <charset val="163"/>
      <family val="2"/>
      <color theme="1"/>
      <sz val="11"/>
    </font>
    <font>
      <name val="Segoe UI"/>
      <charset val="238"/>
      <family val="2"/>
      <color theme="1"/>
      <sz val="11"/>
    </font>
    <font>
      <name val="Arial"/>
      <family val="2"/>
      <color indexed="81"/>
      <sz val="9"/>
    </font>
    <font>
      <name val="Calibri"/>
      <charset val="163"/>
      <family val="2"/>
      <sz val="10"/>
    </font>
    <font>
      <name val="Calibri"/>
      <charset val="163"/>
      <family val="2"/>
      <sz val="11"/>
    </font>
    <font>
      <name val="ＭＳ Ｐゴシック"/>
      <charset val="163"/>
      <family val="3"/>
      <sz val="11"/>
    </font>
    <font>
      <name val="Calibri"/>
      <charset val="128"/>
      <family val="3"/>
      <color theme="1"/>
      <sz val="11"/>
      <scheme val="minor"/>
    </font>
    <font>
      <name val="Calibri"/>
      <charset val="163"/>
      <family val="3"/>
      <color theme="1"/>
      <sz val="11"/>
    </font>
    <font>
      <name val="Calibri"/>
      <family val="2"/>
      <color theme="1"/>
      <sz val="11"/>
      <scheme val="minor"/>
    </font>
    <font>
      <name val="ＭＳ Ｐゴシック"/>
      <charset val="128"/>
      <family val="2"/>
      <color theme="1"/>
      <sz val="10"/>
    </font>
    <font>
      <name val="Calibri"/>
      <charset val="163"/>
      <family val="2"/>
      <b val="1"/>
      <sz val="11"/>
    </font>
    <font>
      <name val="Arial"/>
      <family val="2"/>
      <color theme="1"/>
      <sz val="11"/>
    </font>
    <font>
      <name val="ＭＳ Ｐゴシック"/>
      <charset val="128"/>
      <family val="3"/>
      <b val="1"/>
      <sz val="15"/>
    </font>
    <font>
      <name val="ＭＳ Ｐゴシック"/>
      <charset val="128"/>
      <family val="3"/>
      <b val="1"/>
      <color rgb="FFFF0000"/>
      <sz val="12"/>
    </font>
    <font>
      <name val="ＭＳ Ｐゴシック"/>
      <charset val="128"/>
      <family val="3"/>
      <b val="1"/>
      <color rgb="FF0070C0"/>
      <sz val="12"/>
    </font>
    <font>
      <name val="ＭＳ Ｐゴシック"/>
      <charset val="128"/>
      <family val="3"/>
      <b val="1"/>
      <color rgb="FFFF0000"/>
      <sz val="10"/>
    </font>
    <font>
      <name val="ＭＳ Ｐゴシック"/>
      <charset val="128"/>
      <family val="3"/>
      <b val="1"/>
      <sz val="10"/>
    </font>
    <font>
      <name val="Calibri"/>
      <charset val="163"/>
      <family val="3"/>
      <b val="1"/>
      <color rgb="FFFF0000"/>
      <sz val="10"/>
    </font>
    <font>
      <name val="Calibri"/>
      <charset val="163"/>
      <family val="3"/>
      <b val="1"/>
      <sz val="10"/>
    </font>
    <font>
      <name val="Segoe UI"/>
      <charset val="238"/>
      <family val="3"/>
      <b val="1"/>
      <sz val="10"/>
    </font>
    <font>
      <name val="Arial"/>
      <family val="2"/>
      <b val="1"/>
      <sz val="11"/>
    </font>
    <font>
      <name val="Calibri"/>
      <charset val="163"/>
      <family val="3"/>
      <b val="1"/>
      <sz val="15"/>
    </font>
    <font>
      <name val="Segoe UI"/>
      <charset val="238"/>
      <family val="3"/>
      <b val="1"/>
      <sz val="15"/>
    </font>
    <font>
      <name val="ＭＳ Ｐゴシック"/>
      <charset val="128"/>
      <family val="3"/>
      <b val="1"/>
      <color rgb="FF0070C0"/>
      <sz val="11"/>
    </font>
    <font>
      <name val="Calibri"/>
      <charset val="163"/>
      <family val="3"/>
      <b val="1"/>
      <color rgb="FF0070C0"/>
      <sz val="11"/>
    </font>
    <font>
      <name val="ＭＳ Ｐゴシック"/>
      <charset val="163"/>
      <family val="3"/>
      <b val="1"/>
      <color rgb="FF0070C0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</fonts>
  <fills count="2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799890133365886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5" tint="0.799890133365886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7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medium">
        <color auto="1"/>
      </diagonal>
    </border>
    <border>
      <left style="medium">
        <color rgb="FFFF0000"/>
      </left>
      <right style="thin">
        <color auto="1"/>
      </right>
      <top style="double">
        <color rgb="FFFF0000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double">
        <color rgb="FFFF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rgb="FFFF0000"/>
      </top>
      <bottom style="hair">
        <color auto="1"/>
      </bottom>
      <diagonal/>
    </border>
    <border diagonalDown="1"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medium">
        <color auto="1"/>
      </diagonal>
    </border>
    <border>
      <left style="medium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medium">
        <color auto="1"/>
      </diagonal>
    </border>
    <border>
      <left style="medium">
        <color rgb="FFFF0000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rgb="FFFF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rgb="FFFF0000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rgb="FFFF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rgb="FFFF0000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hair">
        <color auto="1"/>
      </bottom>
      <diagonal/>
    </border>
    <border>
      <left style="medium">
        <color rgb="FFFF0000"/>
      </left>
      <right style="medium">
        <color rgb="FFFF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rgb="FFFF0000"/>
      </right>
      <top style="hair">
        <color auto="1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hair">
        <color auto="1"/>
      </top>
      <bottom style="medium">
        <color rgb="FFFF0000"/>
      </bottom>
      <diagonal/>
    </border>
    <border>
      <left style="hair">
        <color auto="1"/>
      </left>
      <right style="medium">
        <color auto="1"/>
      </right>
      <top style="medium">
        <color rgb="FFFF0000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rgb="FFFF0000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auto="1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FF0000"/>
      </bottom>
      <diagonal/>
    </border>
    <border>
      <left style="medium">
        <color rgb="FFFF0000"/>
      </left>
      <right/>
      <top style="hair">
        <color indexed="64"/>
      </top>
      <bottom style="hair">
        <color indexed="64"/>
      </bottom>
      <diagonal/>
    </border>
    <border>
      <left style="medium">
        <color rgb="FFFF0000"/>
      </left>
      <right/>
      <top/>
      <bottom/>
      <diagonal/>
    </border>
    <border>
      <left style="hair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 style="double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double">
        <color indexed="64"/>
      </top>
      <bottom style="medium">
        <color auto="1"/>
      </bottom>
      <diagonal/>
    </border>
    <border>
      <left style="thin">
        <color auto="1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hair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indexed="64"/>
      </top>
      <bottom style="thin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rgb="FFFF0000"/>
      </left>
      <right style="thin">
        <color auto="1"/>
      </right>
      <top/>
      <bottom/>
      <diagonal/>
    </border>
    <border>
      <left style="medium">
        <color rgb="FFFF0000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auto="1"/>
      </right>
      <top style="double">
        <color indexed="64"/>
      </top>
      <bottom/>
      <diagonal/>
    </border>
    <border>
      <left/>
      <right/>
      <top style="double">
        <color indexed="64"/>
      </top>
      <bottom style="medium">
        <color auto="1"/>
      </bottom>
      <diagonal/>
    </border>
    <border>
      <left/>
      <right style="thin">
        <color auto="1"/>
      </right>
      <top style="double">
        <color indexed="64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double">
        <color indexed="64"/>
      </bottom>
      <diagonal/>
    </border>
    <border>
      <left/>
      <right style="thin">
        <color auto="1"/>
      </right>
      <top style="medium">
        <color auto="1"/>
      </top>
      <bottom style="double">
        <color indexed="64"/>
      </bottom>
      <diagonal/>
    </border>
  </borders>
  <cellStyleXfs count="36">
    <xf numFmtId="0" fontId="0" fillId="0" borderId="0" applyAlignment="1">
      <alignment vertical="center"/>
    </xf>
    <xf numFmtId="38" fontId="86" fillId="0" borderId="0" applyAlignment="1">
      <alignment vertical="center"/>
    </xf>
    <xf numFmtId="0" fontId="3" fillId="0" borderId="0" applyAlignment="1">
      <alignment vertical="center"/>
    </xf>
    <xf numFmtId="170" fontId="18" fillId="0" borderId="0" applyAlignment="1">
      <alignment vertical="center"/>
    </xf>
    <xf numFmtId="9" fontId="3" fillId="0" borderId="0" applyAlignment="1">
      <alignment vertical="center"/>
    </xf>
    <xf numFmtId="9" fontId="3" fillId="0" borderId="0" applyAlignment="1">
      <alignment vertical="center"/>
    </xf>
    <xf numFmtId="38" fontId="3" fillId="0" borderId="0"/>
    <xf numFmtId="0" fontId="18" fillId="0" borderId="0" applyAlignment="1">
      <alignment vertical="center"/>
    </xf>
    <xf numFmtId="38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9" fontId="3" fillId="0" borderId="0" applyAlignment="1">
      <alignment vertical="center"/>
    </xf>
    <xf numFmtId="0" fontId="3" fillId="0" borderId="0" applyAlignment="1">
      <alignment vertical="center"/>
    </xf>
    <xf numFmtId="0" fontId="19" fillId="0" borderId="0"/>
    <xf numFmtId="0" fontId="29" fillId="0" borderId="0" applyAlignment="1">
      <alignment vertical="center"/>
    </xf>
    <xf numFmtId="0" fontId="30" fillId="0" borderId="0" applyAlignment="1">
      <alignment vertical="center"/>
    </xf>
    <xf numFmtId="0" fontId="32" fillId="0" borderId="0" applyAlignment="1">
      <alignment vertical="center"/>
    </xf>
    <xf numFmtId="38" fontId="29" fillId="0" borderId="0" applyAlignment="1">
      <alignment vertical="center"/>
    </xf>
    <xf numFmtId="9" fontId="30" fillId="0" borderId="0" applyAlignment="1">
      <alignment vertical="center"/>
    </xf>
    <xf numFmtId="38" fontId="30" fillId="0" borderId="0" applyAlignment="1">
      <alignment vertical="center"/>
    </xf>
    <xf numFmtId="40" fontId="30" fillId="0" borderId="0" applyAlignment="1">
      <alignment vertical="center"/>
    </xf>
    <xf numFmtId="0" fontId="29" fillId="0" borderId="0" applyAlignment="1">
      <alignment vertical="center"/>
    </xf>
    <xf numFmtId="171" fontId="30" fillId="0" borderId="0" applyAlignment="1">
      <alignment vertical="center"/>
    </xf>
    <xf numFmtId="9" fontId="29" fillId="0" borderId="0" applyAlignment="1">
      <alignment vertical="center"/>
    </xf>
    <xf numFmtId="0" fontId="29" fillId="0" borderId="0" applyAlignment="1">
      <alignment vertical="center"/>
    </xf>
    <xf numFmtId="0" fontId="29" fillId="0" borderId="0"/>
    <xf numFmtId="38" fontId="29" fillId="0" borderId="0"/>
    <xf numFmtId="0" fontId="65" fillId="0" borderId="0" applyAlignment="1">
      <alignment vertical="center"/>
    </xf>
    <xf numFmtId="9" fontId="86" fillId="0" borderId="0" applyAlignment="1">
      <alignment vertical="center"/>
    </xf>
    <xf numFmtId="43" fontId="88" fillId="0" borderId="0"/>
    <xf numFmtId="0" fontId="86" fillId="0" borderId="0" applyAlignment="1">
      <alignment vertical="center"/>
    </xf>
    <xf numFmtId="38" fontId="30" fillId="0" borderId="0" applyAlignment="1">
      <alignment vertical="center"/>
    </xf>
    <xf numFmtId="9" fontId="30" fillId="0" borderId="0" applyAlignment="1">
      <alignment vertical="center"/>
    </xf>
    <xf numFmtId="9" fontId="86" fillId="0" borderId="0" applyAlignment="1">
      <alignment vertical="center"/>
    </xf>
  </cellStyleXfs>
  <cellXfs count="1243">
    <xf numFmtId="0" fontId="0" fillId="0" borderId="0" applyAlignment="1" pivotButton="0" quotePrefix="0" xfId="0">
      <alignment vertical="center"/>
    </xf>
    <xf numFmtId="38" fontId="7" fillId="0" borderId="0" applyAlignment="1" pivotButton="0" quotePrefix="0" xfId="8">
      <alignment vertical="center"/>
    </xf>
    <xf numFmtId="38" fontId="8" fillId="0" borderId="0" applyAlignment="1" pivotButton="0" quotePrefix="0" xfId="8">
      <alignment vertical="center"/>
    </xf>
    <xf numFmtId="38" fontId="7" fillId="0" borderId="0" applyAlignment="1" pivotButton="0" quotePrefix="0" xfId="8">
      <alignment horizontal="center" vertical="center"/>
    </xf>
    <xf numFmtId="38" fontId="8" fillId="0" borderId="0" applyAlignment="1" pivotButton="0" quotePrefix="0" xfId="8">
      <alignment horizontal="center" vertical="center"/>
    </xf>
    <xf numFmtId="38" fontId="9" fillId="0" borderId="0" applyAlignment="1" pivotButton="0" quotePrefix="0" xfId="8">
      <alignment horizontal="left" vertical="center"/>
    </xf>
    <xf numFmtId="38" fontId="10" fillId="0" borderId="0" applyAlignment="1" pivotButton="0" quotePrefix="0" xfId="8">
      <alignment horizontal="left" vertical="center"/>
    </xf>
    <xf numFmtId="38" fontId="11" fillId="0" borderId="0" applyAlignment="1" pivotButton="0" quotePrefix="0" xfId="8">
      <alignment horizontal="center" vertical="center"/>
    </xf>
    <xf numFmtId="38" fontId="11" fillId="0" borderId="0" applyAlignment="1" pivotButton="0" quotePrefix="0" xfId="8">
      <alignment vertical="center"/>
    </xf>
    <xf numFmtId="38" fontId="10" fillId="0" borderId="0" applyAlignment="1" pivotButton="0" quotePrefix="0" xfId="8">
      <alignment horizontal="center" vertical="center"/>
    </xf>
    <xf numFmtId="38" fontId="11" fillId="0" borderId="0" applyAlignment="1" pivotButton="0" quotePrefix="0" xfId="8">
      <alignment horizontal="left" vertical="center"/>
    </xf>
    <xf numFmtId="38" fontId="3" fillId="0" borderId="0" applyAlignment="1" pivotButton="0" quotePrefix="0" xfId="8">
      <alignment horizontal="center" vertical="center"/>
    </xf>
    <xf numFmtId="38" fontId="8" fillId="0" borderId="0" applyAlignment="1" pivotButton="0" quotePrefix="0" xfId="8">
      <alignment horizontal="center" vertical="center"/>
    </xf>
    <xf numFmtId="38" fontId="7" fillId="4" borderId="36" applyAlignment="1" pivotButton="0" quotePrefix="0" xfId="8">
      <alignment horizontal="center" vertical="center"/>
    </xf>
    <xf numFmtId="38" fontId="7" fillId="0" borderId="36" applyAlignment="1" pivotButton="0" quotePrefix="0" xfId="8">
      <alignment vertical="center"/>
    </xf>
    <xf numFmtId="38" fontId="5" fillId="6" borderId="36" applyAlignment="1" pivotButton="0" quotePrefix="0" xfId="8">
      <alignment horizontal="center" vertical="center"/>
    </xf>
    <xf numFmtId="38" fontId="7" fillId="7" borderId="16" applyAlignment="1" pivotButton="0" quotePrefix="0" xfId="8">
      <alignment horizontal="center" vertical="center"/>
    </xf>
    <xf numFmtId="38" fontId="7" fillId="0" borderId="36" applyAlignment="1" pivotButton="0" quotePrefix="0" xfId="8">
      <alignment horizontal="center" vertical="center"/>
    </xf>
    <xf numFmtId="38" fontId="7" fillId="8" borderId="36" applyAlignment="1" pivotButton="0" quotePrefix="0" xfId="8">
      <alignment horizontal="center" vertical="center"/>
    </xf>
    <xf numFmtId="38" fontId="3" fillId="0" borderId="36" applyAlignment="1" pivotButton="0" quotePrefix="0" xfId="1">
      <alignment horizontal="right" vertical="center"/>
    </xf>
    <xf numFmtId="38" fontId="8" fillId="0" borderId="36" applyAlignment="1" pivotButton="0" quotePrefix="0" xfId="1">
      <alignment horizontal="right" vertical="center"/>
    </xf>
    <xf numFmtId="38" fontId="8" fillId="0" borderId="0" applyAlignment="1" pivotButton="0" quotePrefix="0" xfId="8">
      <alignment horizontal="right" vertical="center"/>
    </xf>
    <xf numFmtId="38" fontId="8" fillId="0" borderId="37" applyAlignment="1" pivotButton="0" quotePrefix="0" xfId="1">
      <alignment vertical="center"/>
    </xf>
    <xf numFmtId="38" fontId="3" fillId="0" borderId="37" applyAlignment="1" pivotButton="0" quotePrefix="0" xfId="1">
      <alignment vertical="center"/>
    </xf>
    <xf numFmtId="38" fontId="12" fillId="0" borderId="0" applyAlignment="1" pivotButton="0" quotePrefix="0" xfId="8">
      <alignment horizontal="left" vertical="center"/>
    </xf>
    <xf numFmtId="38" fontId="5" fillId="0" borderId="0" applyAlignment="1" pivotButton="0" quotePrefix="0" xfId="8">
      <alignment horizontal="center" vertical="center"/>
    </xf>
    <xf numFmtId="38" fontId="8" fillId="2" borderId="0" applyAlignment="1" pivotButton="0" quotePrefix="0" xfId="8">
      <alignment vertical="center"/>
    </xf>
    <xf numFmtId="38" fontId="8" fillId="2" borderId="0" applyAlignment="1" pivotButton="0" quotePrefix="0" xfId="8">
      <alignment horizontal="center" vertical="center"/>
    </xf>
    <xf numFmtId="38" fontId="7" fillId="0" borderId="0" applyAlignment="1" pivotButton="0" quotePrefix="0" xfId="8">
      <alignment horizontal="left" vertical="center"/>
    </xf>
    <xf numFmtId="38" fontId="7" fillId="6" borderId="36" applyAlignment="1" pivotButton="0" quotePrefix="0" xfId="8">
      <alignment horizontal="center" vertical="center"/>
    </xf>
    <xf numFmtId="38" fontId="7" fillId="7" borderId="37" applyAlignment="1" pivotButton="0" quotePrefix="0" xfId="8">
      <alignment horizontal="center" vertical="center"/>
    </xf>
    <xf numFmtId="38" fontId="7" fillId="4" borderId="37" applyAlignment="1" pivotButton="0" quotePrefix="0" xfId="8">
      <alignment horizontal="center" vertical="center"/>
    </xf>
    <xf numFmtId="38" fontId="3" fillId="4" borderId="36" applyAlignment="1" pivotButton="0" quotePrefix="0" xfId="8">
      <alignment horizontal="center" vertical="center"/>
    </xf>
    <xf numFmtId="38" fontId="7" fillId="0" borderId="37" applyAlignment="1" pivotButton="0" quotePrefix="0" xfId="8">
      <alignment horizontal="center" vertical="center"/>
    </xf>
    <xf numFmtId="38" fontId="3" fillId="0" borderId="36" applyAlignment="1" pivotButton="0" quotePrefix="0" xfId="8">
      <alignment horizontal="center" vertical="center"/>
    </xf>
    <xf numFmtId="38" fontId="3" fillId="0" borderId="36" applyAlignment="1" pivotButton="0" quotePrefix="0" xfId="8">
      <alignment horizontal="center" vertical="center"/>
    </xf>
    <xf numFmtId="38" fontId="3" fillId="0" borderId="36" applyAlignment="1" pivotButton="0" quotePrefix="0" xfId="8">
      <alignment horizontal="center" vertical="center"/>
    </xf>
    <xf numFmtId="38" fontId="7" fillId="9" borderId="36" applyAlignment="1" pivotButton="0" quotePrefix="0" xfId="8">
      <alignment horizontal="center" vertical="center"/>
    </xf>
    <xf numFmtId="38" fontId="7" fillId="9" borderId="37" applyAlignment="1" pivotButton="0" quotePrefix="0" xfId="8">
      <alignment horizontal="center" vertical="center"/>
    </xf>
    <xf numFmtId="38" fontId="8" fillId="0" borderId="0" applyAlignment="1" pivotButton="0" quotePrefix="0" xfId="8">
      <alignment horizontal="center" vertical="center" textRotation="255"/>
    </xf>
    <xf numFmtId="38" fontId="7" fillId="0" borderId="0" applyAlignment="1" pivotButton="0" quotePrefix="0" xfId="8">
      <alignment horizontal="center" vertical="center"/>
    </xf>
    <xf numFmtId="38" fontId="3" fillId="0" borderId="0" applyAlignment="1" pivotButton="0" quotePrefix="0" xfId="8">
      <alignment horizontal="center" vertical="center"/>
    </xf>
    <xf numFmtId="38" fontId="13" fillId="0" borderId="0" applyAlignment="1" pivotButton="0" quotePrefix="0" xfId="8">
      <alignment horizontal="left" vertical="center"/>
    </xf>
    <xf numFmtId="38" fontId="7" fillId="7" borderId="38" applyAlignment="1" pivotButton="0" quotePrefix="0" xfId="8">
      <alignment horizontal="center" vertical="center"/>
    </xf>
    <xf numFmtId="38" fontId="3" fillId="0" borderId="36" applyAlignment="1" pivotButton="0" quotePrefix="0" xfId="1">
      <alignment vertical="center"/>
    </xf>
    <xf numFmtId="38" fontId="7" fillId="7" borderId="36" applyAlignment="1" pivotButton="0" quotePrefix="0" xfId="8">
      <alignment horizontal="center" vertical="center"/>
    </xf>
    <xf numFmtId="38" fontId="2" fillId="0" borderId="0" applyAlignment="1" pivotButton="0" quotePrefix="0" xfId="8">
      <alignment vertical="center"/>
    </xf>
    <xf numFmtId="38" fontId="8" fillId="6" borderId="0" applyAlignment="1" pivotButton="0" quotePrefix="0" xfId="8">
      <alignment horizontal="right" vertical="center"/>
    </xf>
    <xf numFmtId="38" fontId="8" fillId="6" borderId="0" applyAlignment="1" pivotButton="0" quotePrefix="0" xfId="8">
      <alignment horizontal="center" vertical="center"/>
    </xf>
    <xf numFmtId="38" fontId="7" fillId="10" borderId="36" applyAlignment="1" pivotButton="0" quotePrefix="0" xfId="8">
      <alignment vertical="center"/>
    </xf>
    <xf numFmtId="38" fontId="3" fillId="0" borderId="36" applyAlignment="1" pivotButton="0" quotePrefix="0" xfId="1">
      <alignment horizontal="center" vertical="center"/>
    </xf>
    <xf numFmtId="38" fontId="8" fillId="0" borderId="36" applyAlignment="1" pivotButton="0" quotePrefix="0" xfId="8">
      <alignment vertical="center"/>
    </xf>
    <xf numFmtId="38" fontId="8" fillId="8" borderId="36" applyAlignment="1" pivotButton="0" quotePrefix="0" xfId="8">
      <alignment vertical="center"/>
    </xf>
    <xf numFmtId="38" fontId="8" fillId="10" borderId="36" applyAlignment="1" pivotButton="0" quotePrefix="0" xfId="8">
      <alignment vertical="center"/>
    </xf>
    <xf numFmtId="38" fontId="8" fillId="11" borderId="37" applyAlignment="1" pivotButton="0" quotePrefix="0" xfId="8">
      <alignment vertical="center"/>
    </xf>
    <xf numFmtId="38" fontId="8" fillId="11" borderId="36" applyAlignment="1" pivotButton="0" quotePrefix="0" xfId="8">
      <alignment horizontal="center" vertical="center"/>
    </xf>
    <xf numFmtId="38" fontId="14" fillId="6" borderId="36" applyAlignment="1" pivotButton="0" quotePrefix="0" xfId="8">
      <alignment horizontal="center" vertical="center"/>
    </xf>
    <xf numFmtId="38" fontId="8" fillId="6" borderId="36" applyAlignment="1" pivotButton="0" quotePrefix="0" xfId="8">
      <alignment vertical="center"/>
    </xf>
    <xf numFmtId="0" fontId="16" fillId="0" borderId="0" applyAlignment="1" pivotButton="0" quotePrefix="0" xfId="14">
      <alignment horizontal="left" vertical="center"/>
    </xf>
    <xf numFmtId="0" fontId="15" fillId="0" borderId="81" applyAlignment="1" pivotButton="0" quotePrefix="0" xfId="16">
      <alignment horizontal="center" vertical="center"/>
    </xf>
    <xf numFmtId="0" fontId="15" fillId="0" borderId="87" applyAlignment="1" pivotButton="0" quotePrefix="0" xfId="16">
      <alignment vertical="center"/>
    </xf>
    <xf numFmtId="0" fontId="31" fillId="0" borderId="87" applyAlignment="1" pivotButton="0" quotePrefix="0" xfId="16">
      <alignment horizontal="center" vertical="center"/>
    </xf>
    <xf numFmtId="0" fontId="31" fillId="0" borderId="83" applyAlignment="1" pivotButton="0" quotePrefix="0" xfId="17">
      <alignment horizontal="center" vertical="center"/>
    </xf>
    <xf numFmtId="0" fontId="31" fillId="0" borderId="83" applyAlignment="1" pivotButton="0" quotePrefix="0" xfId="16">
      <alignment horizontal="center" vertical="center"/>
    </xf>
    <xf numFmtId="0" fontId="15" fillId="0" borderId="87" applyAlignment="1" pivotButton="0" quotePrefix="0" xfId="16">
      <alignment horizontal="center" vertical="center"/>
    </xf>
    <xf numFmtId="0" fontId="33" fillId="0" borderId="0" applyAlignment="1" pivotButton="0" quotePrefix="0" xfId="18">
      <alignment vertical="center"/>
    </xf>
    <xf numFmtId="0" fontId="33" fillId="0" borderId="0" applyAlignment="1" pivotButton="0" quotePrefix="0" xfId="18">
      <alignment horizontal="center" vertical="center"/>
    </xf>
    <xf numFmtId="0" fontId="33" fillId="0" borderId="37" applyAlignment="1" pivotButton="0" quotePrefix="0" xfId="18">
      <alignment vertical="center"/>
    </xf>
    <xf numFmtId="0" fontId="33" fillId="0" borderId="78" applyAlignment="1" pivotButton="0" quotePrefix="0" xfId="18">
      <alignment vertical="center"/>
    </xf>
    <xf numFmtId="0" fontId="33" fillId="0" borderId="78" applyAlignment="1" pivotButton="0" quotePrefix="0" xfId="18">
      <alignment horizontal="center" vertical="center"/>
    </xf>
    <xf numFmtId="0" fontId="33" fillId="14" borderId="93" applyAlignment="1" pivotButton="0" quotePrefix="0" xfId="18">
      <alignment horizontal="center" vertical="center"/>
    </xf>
    <xf numFmtId="0" fontId="33" fillId="0" borderId="83" applyAlignment="1" pivotButton="0" quotePrefix="0" xfId="18">
      <alignment vertical="center"/>
    </xf>
    <xf numFmtId="0" fontId="31" fillId="0" borderId="83" applyAlignment="1" pivotButton="0" quotePrefix="0" xfId="18">
      <alignment vertical="center"/>
    </xf>
    <xf numFmtId="0" fontId="33" fillId="0" borderId="83" applyAlignment="1" pivotButton="0" quotePrefix="0" xfId="18">
      <alignment horizontal="center" vertical="center"/>
    </xf>
    <xf numFmtId="0" fontId="33" fillId="14" borderId="95" applyAlignment="1" pivotButton="0" quotePrefix="0" xfId="18">
      <alignment horizontal="center" vertical="center"/>
    </xf>
    <xf numFmtId="0" fontId="33" fillId="0" borderId="82" applyAlignment="1" pivotButton="0" quotePrefix="0" xfId="18">
      <alignment vertical="center"/>
    </xf>
    <xf numFmtId="0" fontId="33" fillId="14" borderId="0" applyAlignment="1" pivotButton="0" quotePrefix="0" xfId="18">
      <alignment vertical="center"/>
    </xf>
    <xf numFmtId="0" fontId="33" fillId="17" borderId="0" applyAlignment="1" pivotButton="0" quotePrefix="0" xfId="18">
      <alignment vertical="center"/>
    </xf>
    <xf numFmtId="0" fontId="33" fillId="14" borderId="0" applyAlignment="1" pivotButton="0" quotePrefix="0" xfId="18">
      <alignment horizontal="center" vertical="center"/>
    </xf>
    <xf numFmtId="0" fontId="33" fillId="17" borderId="90" applyAlignment="1" pivotButton="0" quotePrefix="0" xfId="18">
      <alignment horizontal="center" vertical="center"/>
    </xf>
    <xf numFmtId="0" fontId="33" fillId="14" borderId="85" applyAlignment="1" pivotButton="0" quotePrefix="0" xfId="18">
      <alignment vertical="center"/>
    </xf>
    <xf numFmtId="0" fontId="33" fillId="14" borderId="85" applyAlignment="1" pivotButton="0" quotePrefix="0" xfId="18">
      <alignment horizontal="center" vertical="center"/>
    </xf>
    <xf numFmtId="0" fontId="33" fillId="17" borderId="99" applyAlignment="1" pivotButton="0" quotePrefix="0" xfId="18">
      <alignment horizontal="center" vertical="center"/>
    </xf>
    <xf numFmtId="0" fontId="31" fillId="0" borderId="87" applyAlignment="1" pivotButton="0" quotePrefix="0" xfId="18">
      <alignment vertical="center"/>
    </xf>
    <xf numFmtId="0" fontId="33" fillId="0" borderId="87" applyAlignment="1" pivotButton="0" quotePrefix="0" xfId="18">
      <alignment horizontal="center" vertical="center"/>
    </xf>
    <xf numFmtId="0" fontId="23" fillId="0" borderId="46" applyAlignment="1" pivotButton="0" quotePrefix="0" xfId="18">
      <alignment horizontal="center" vertical="center"/>
    </xf>
    <xf numFmtId="0" fontId="31" fillId="14" borderId="0" applyAlignment="1" pivotButton="0" quotePrefix="0" xfId="18">
      <alignment vertical="center"/>
    </xf>
    <xf numFmtId="0" fontId="31" fillId="14" borderId="85" applyAlignment="1" pivotButton="0" quotePrefix="0" xfId="18">
      <alignment vertical="center"/>
    </xf>
    <xf numFmtId="0" fontId="33" fillId="0" borderId="104" applyAlignment="1" pivotButton="0" quotePrefix="0" xfId="18">
      <alignment horizontal="center" vertical="center"/>
    </xf>
    <xf numFmtId="0" fontId="23" fillId="0" borderId="83" applyAlignment="1" pivotButton="0" quotePrefix="0" xfId="18">
      <alignment horizontal="center" vertical="center"/>
    </xf>
    <xf numFmtId="0" fontId="33" fillId="0" borderId="95" applyAlignment="1" pivotButton="0" quotePrefix="0" xfId="18">
      <alignment vertical="center"/>
    </xf>
    <xf numFmtId="0" fontId="38" fillId="0" borderId="87" applyAlignment="1" pivotButton="0" quotePrefix="0" xfId="18">
      <alignment vertical="center"/>
    </xf>
    <xf numFmtId="0" fontId="38" fillId="0" borderId="87" applyAlignment="1" pivotButton="0" quotePrefix="0" xfId="18">
      <alignment horizontal="center" vertical="center"/>
    </xf>
    <xf numFmtId="0" fontId="38" fillId="0" borderId="0" applyAlignment="1" pivotButton="0" quotePrefix="0" xfId="18">
      <alignment vertical="center"/>
    </xf>
    <xf numFmtId="0" fontId="38" fillId="0" borderId="89" applyAlignment="1" pivotButton="0" quotePrefix="0" xfId="18">
      <alignment vertical="center"/>
    </xf>
    <xf numFmtId="0" fontId="38" fillId="0" borderId="83" applyAlignment="1" pivotButton="0" quotePrefix="0" xfId="18">
      <alignment vertical="center"/>
    </xf>
    <xf numFmtId="0" fontId="38" fillId="0" borderId="83" applyAlignment="1" pivotButton="0" quotePrefix="0" xfId="18">
      <alignment horizontal="center" vertical="center"/>
    </xf>
    <xf numFmtId="0" fontId="38" fillId="14" borderId="85" applyAlignment="1" pivotButton="0" quotePrefix="0" xfId="18">
      <alignment vertical="center"/>
    </xf>
    <xf numFmtId="0" fontId="37" fillId="0" borderId="46" applyAlignment="1" pivotButton="0" quotePrefix="0" xfId="18">
      <alignment horizontal="center" vertical="center"/>
    </xf>
    <xf numFmtId="0" fontId="33" fillId="0" borderId="82" applyAlignment="1" pivotButton="0" quotePrefix="0" xfId="18">
      <alignment horizontal="center" vertical="center"/>
    </xf>
    <xf numFmtId="0" fontId="31" fillId="0" borderId="0" applyAlignment="1" pivotButton="0" quotePrefix="0" xfId="18">
      <alignment vertical="center"/>
    </xf>
    <xf numFmtId="0" fontId="33" fillId="0" borderId="93" applyAlignment="1" pivotButton="0" quotePrefix="0" xfId="18">
      <alignment horizontal="center" vertical="center"/>
    </xf>
    <xf numFmtId="38" fontId="29" fillId="0" borderId="92" applyAlignment="1" pivotButton="0" quotePrefix="0" xfId="19">
      <alignment vertical="center"/>
    </xf>
    <xf numFmtId="0" fontId="33" fillId="0" borderId="106" applyAlignment="1" pivotButton="0" quotePrefix="0" xfId="18">
      <alignment horizontal="center" vertical="center"/>
    </xf>
    <xf numFmtId="0" fontId="33" fillId="17" borderId="97" applyAlignment="1" pivotButton="0" quotePrefix="0" xfId="18">
      <alignment horizontal="center" vertical="center"/>
    </xf>
    <xf numFmtId="0" fontId="31" fillId="14" borderId="98" applyAlignment="1" pivotButton="0" quotePrefix="0" xfId="16">
      <alignment horizontal="center" vertical="center"/>
    </xf>
    <xf numFmtId="38" fontId="31" fillId="0" borderId="87" applyAlignment="1" pivotButton="0" quotePrefix="0" xfId="19">
      <alignment vertical="center"/>
    </xf>
    <xf numFmtId="38" fontId="31" fillId="0" borderId="102" applyAlignment="1" pivotButton="0" quotePrefix="0" xfId="19">
      <alignment vertical="center"/>
    </xf>
    <xf numFmtId="38" fontId="31" fillId="0" borderId="0" applyAlignment="1" pivotButton="0" quotePrefix="0" xfId="16">
      <alignment vertical="center"/>
    </xf>
    <xf numFmtId="0" fontId="31" fillId="0" borderId="0" applyAlignment="1" pivotButton="0" quotePrefix="0" xfId="16">
      <alignment vertical="center"/>
    </xf>
    <xf numFmtId="0" fontId="31" fillId="0" borderId="46" applyAlignment="1" pivotButton="0" quotePrefix="0" xfId="17">
      <alignment horizontal="center" vertical="center"/>
    </xf>
    <xf numFmtId="0" fontId="31" fillId="14" borderId="46" applyAlignment="1" pivotButton="0" quotePrefix="0" xfId="17">
      <alignment vertical="center"/>
    </xf>
    <xf numFmtId="0" fontId="31" fillId="14" borderId="46" applyAlignment="1" pivotButton="0" quotePrefix="0" xfId="17">
      <alignment horizontal="center" vertical="center"/>
    </xf>
    <xf numFmtId="0" fontId="31" fillId="0" borderId="46" applyAlignment="1" pivotButton="0" quotePrefix="0" xfId="16">
      <alignment horizontal="center" vertical="center"/>
    </xf>
    <xf numFmtId="0" fontId="31" fillId="14" borderId="93" applyAlignment="1" pivotButton="0" quotePrefix="0" xfId="16">
      <alignment horizontal="center" vertical="center"/>
    </xf>
    <xf numFmtId="38" fontId="31" fillId="0" borderId="46" applyAlignment="1" pivotButton="0" quotePrefix="0" xfId="19">
      <alignment vertical="center"/>
    </xf>
    <xf numFmtId="38" fontId="31" fillId="0" borderId="103" applyAlignment="1" pivotButton="0" quotePrefix="0" xfId="19">
      <alignment vertical="center"/>
    </xf>
    <xf numFmtId="0" fontId="31" fillId="14" borderId="83" applyAlignment="1" pivotButton="0" quotePrefix="0" xfId="17">
      <alignment vertical="center"/>
    </xf>
    <xf numFmtId="0" fontId="41" fillId="14" borderId="83" applyAlignment="1" pivotButton="0" quotePrefix="0" xfId="17">
      <alignment vertical="center"/>
    </xf>
    <xf numFmtId="0" fontId="31" fillId="14" borderId="83" applyAlignment="1" pivotButton="0" quotePrefix="0" xfId="17">
      <alignment horizontal="center" vertical="center"/>
    </xf>
    <xf numFmtId="0" fontId="31" fillId="14" borderId="95" applyAlignment="1" pivotButton="0" quotePrefix="0" xfId="16">
      <alignment horizontal="center" vertical="center"/>
    </xf>
    <xf numFmtId="38" fontId="31" fillId="0" borderId="83" applyAlignment="1" pivotButton="0" quotePrefix="0" xfId="19">
      <alignment vertical="center"/>
    </xf>
    <xf numFmtId="38" fontId="31" fillId="0" borderId="104" applyAlignment="1" pivotButton="0" quotePrefix="0" xfId="19">
      <alignment vertical="center"/>
    </xf>
    <xf numFmtId="0" fontId="31" fillId="14" borderId="0" applyAlignment="1" pivotButton="0" quotePrefix="0" xfId="16">
      <alignment vertical="center"/>
    </xf>
    <xf numFmtId="0" fontId="31" fillId="14" borderId="0" applyAlignment="1" pivotButton="0" quotePrefix="0" xfId="16">
      <alignment horizontal="center" vertical="center"/>
    </xf>
    <xf numFmtId="0" fontId="31" fillId="17" borderId="0" applyAlignment="1" pivotButton="0" quotePrefix="0" xfId="16">
      <alignment vertical="center"/>
    </xf>
    <xf numFmtId="0" fontId="33" fillId="17" borderId="24" applyAlignment="1" pivotButton="0" quotePrefix="0" xfId="18">
      <alignment horizontal="center" vertical="center"/>
    </xf>
    <xf numFmtId="0" fontId="33" fillId="17" borderId="0" applyAlignment="1" pivotButton="0" quotePrefix="0" xfId="18">
      <alignment horizontal="center" vertical="center"/>
    </xf>
    <xf numFmtId="0" fontId="15" fillId="0" borderId="81" applyAlignment="1" pivotButton="0" quotePrefix="0" xfId="16">
      <alignment vertical="center"/>
    </xf>
    <xf numFmtId="38" fontId="31" fillId="0" borderId="46" applyAlignment="1" pivotButton="0" quotePrefix="0" xfId="19">
      <alignment horizontal="right" vertical="center"/>
    </xf>
    <xf numFmtId="38" fontId="31" fillId="0" borderId="103" applyAlignment="1" pivotButton="0" quotePrefix="0" xfId="19">
      <alignment horizontal="right" vertical="center"/>
    </xf>
    <xf numFmtId="0" fontId="40" fillId="14" borderId="46" applyAlignment="1" pivotButton="0" quotePrefix="0" xfId="17">
      <alignment vertical="center"/>
    </xf>
    <xf numFmtId="0" fontId="40" fillId="14" borderId="83" applyAlignment="1" pivotButton="0" quotePrefix="0" xfId="17">
      <alignment vertical="center"/>
    </xf>
    <xf numFmtId="38" fontId="31" fillId="0" borderId="83" applyAlignment="1" pivotButton="0" quotePrefix="0" xfId="19">
      <alignment horizontal="right" vertical="center"/>
    </xf>
    <xf numFmtId="38" fontId="31" fillId="0" borderId="104" applyAlignment="1" pivotButton="0" quotePrefix="0" xfId="19">
      <alignment horizontal="right" vertical="center"/>
    </xf>
    <xf numFmtId="0" fontId="31" fillId="14" borderId="109" applyAlignment="1" pivotButton="0" quotePrefix="0" xfId="16">
      <alignment horizontal="center" vertical="center"/>
    </xf>
    <xf numFmtId="0" fontId="39" fillId="0" borderId="83" applyAlignment="1" pivotButton="0" quotePrefix="0" xfId="17">
      <alignment horizontal="center" vertical="center"/>
    </xf>
    <xf numFmtId="0" fontId="30" fillId="0" borderId="83" applyAlignment="1" pivotButton="0" quotePrefix="0" xfId="17">
      <alignment vertical="center"/>
    </xf>
    <xf numFmtId="0" fontId="31" fillId="14" borderId="85" applyAlignment="1" pivotButton="0" quotePrefix="0" xfId="16">
      <alignment vertical="center"/>
    </xf>
    <xf numFmtId="0" fontId="31" fillId="14" borderId="85" applyAlignment="1" pivotButton="0" quotePrefix="0" xfId="16">
      <alignment horizontal="center" vertical="center"/>
    </xf>
    <xf numFmtId="38" fontId="31" fillId="0" borderId="87" applyAlignment="1" pivotButton="0" quotePrefix="0" xfId="19">
      <alignment horizontal="right" vertical="center"/>
    </xf>
    <xf numFmtId="0" fontId="31" fillId="14" borderId="60" applyAlignment="1" pivotButton="0" quotePrefix="0" xfId="16">
      <alignment vertical="center"/>
    </xf>
    <xf numFmtId="0" fontId="31" fillId="14" borderId="61" applyAlignment="1" pivotButton="0" quotePrefix="0" xfId="16">
      <alignment vertical="center"/>
    </xf>
    <xf numFmtId="0" fontId="24" fillId="14" borderId="0" applyAlignment="1" pivotButton="0" quotePrefix="0" xfId="16">
      <alignment vertical="center"/>
    </xf>
    <xf numFmtId="0" fontId="24" fillId="14" borderId="85" applyAlignment="1" pivotButton="0" quotePrefix="0" xfId="16">
      <alignment vertical="center"/>
    </xf>
    <xf numFmtId="0" fontId="31" fillId="14" borderId="101" applyAlignment="1" pivotButton="0" quotePrefix="0" xfId="16">
      <alignment horizontal="center" vertical="center"/>
    </xf>
    <xf numFmtId="0" fontId="39" fillId="0" borderId="87" applyAlignment="1" pivotButton="0" quotePrefix="0" xfId="16">
      <alignment horizontal="center" vertical="center"/>
    </xf>
    <xf numFmtId="0" fontId="31" fillId="0" borderId="46" applyAlignment="1" pivotButton="0" quotePrefix="0" xfId="16">
      <alignment vertical="center"/>
    </xf>
    <xf numFmtId="0" fontId="31" fillId="0" borderId="97" applyAlignment="1" pivotButton="0" quotePrefix="0" xfId="16">
      <alignment horizontal="center" vertical="center"/>
    </xf>
    <xf numFmtId="0" fontId="31" fillId="0" borderId="83" applyAlignment="1" pivotButton="0" quotePrefix="0" xfId="16">
      <alignment vertical="center"/>
    </xf>
    <xf numFmtId="0" fontId="31" fillId="14" borderId="99" applyAlignment="1" pivotButton="0" quotePrefix="0" xfId="16">
      <alignment horizontal="center" vertical="center"/>
    </xf>
    <xf numFmtId="0" fontId="39" fillId="14" borderId="0" applyAlignment="1" pivotButton="0" quotePrefix="0" xfId="16">
      <alignment vertical="center"/>
    </xf>
    <xf numFmtId="0" fontId="39" fillId="14" borderId="0" applyAlignment="1" pivotButton="0" quotePrefix="0" xfId="16">
      <alignment horizontal="center" vertical="center"/>
    </xf>
    <xf numFmtId="0" fontId="39" fillId="17" borderId="0" applyAlignment="1" pivotButton="0" quotePrefix="0" xfId="16">
      <alignment vertical="center"/>
    </xf>
    <xf numFmtId="0" fontId="39" fillId="14" borderId="85" applyAlignment="1" pivotButton="0" quotePrefix="0" xfId="16">
      <alignment vertical="center"/>
    </xf>
    <xf numFmtId="0" fontId="39" fillId="14" borderId="85" applyAlignment="1" pivotButton="0" quotePrefix="0" xfId="16">
      <alignment horizontal="center" vertical="center"/>
    </xf>
    <xf numFmtId="0" fontId="15" fillId="0" borderId="102" applyAlignment="1" pivotButton="0" quotePrefix="0" xfId="16">
      <alignment vertical="center"/>
    </xf>
    <xf numFmtId="0" fontId="15" fillId="0" borderId="0" applyAlignment="1" pivotButton="0" quotePrefix="0" xfId="16">
      <alignment vertical="center"/>
    </xf>
    <xf numFmtId="0" fontId="15" fillId="0" borderId="83" applyAlignment="1" pivotButton="0" quotePrefix="0" xfId="16">
      <alignment vertical="center"/>
    </xf>
    <xf numFmtId="0" fontId="15" fillId="0" borderId="95" applyAlignment="1" pivotButton="0" quotePrefix="0" xfId="16">
      <alignment vertical="center"/>
    </xf>
    <xf numFmtId="0" fontId="15" fillId="0" borderId="95" applyAlignment="1" pivotButton="0" quotePrefix="0" xfId="16">
      <alignment horizontal="center" vertical="center"/>
    </xf>
    <xf numFmtId="0" fontId="15" fillId="0" borderId="83" applyAlignment="1" pivotButton="0" quotePrefix="0" xfId="16">
      <alignment horizontal="center" vertical="center"/>
    </xf>
    <xf numFmtId="0" fontId="15" fillId="0" borderId="104" applyAlignment="1" pivotButton="0" quotePrefix="0" xfId="16">
      <alignment vertical="center"/>
    </xf>
    <xf numFmtId="0" fontId="15" fillId="14" borderId="85" applyAlignment="1" pivotButton="0" quotePrefix="0" xfId="16">
      <alignment vertical="center"/>
    </xf>
    <xf numFmtId="0" fontId="15" fillId="4" borderId="99" applyAlignment="1" pivotButton="0" quotePrefix="0" xfId="18">
      <alignment horizontal="center" vertical="center"/>
    </xf>
    <xf numFmtId="0" fontId="33" fillId="0" borderId="84" applyAlignment="1" pivotButton="0" quotePrefix="0" xfId="18">
      <alignment vertical="center"/>
    </xf>
    <xf numFmtId="0" fontId="38" fillId="0" borderId="102" applyAlignment="1" pivotButton="0" quotePrefix="0" xfId="18">
      <alignment vertical="center"/>
    </xf>
    <xf numFmtId="0" fontId="38" fillId="0" borderId="104" applyAlignment="1" pivotButton="0" quotePrefix="0" xfId="18">
      <alignment vertical="center"/>
    </xf>
    <xf numFmtId="0" fontId="38" fillId="0" borderId="88" applyAlignment="1" pivotButton="0" quotePrefix="0" xfId="18">
      <alignment horizontal="center" vertical="center"/>
    </xf>
    <xf numFmtId="0" fontId="29" fillId="0" borderId="0" applyAlignment="1" pivotButton="0" quotePrefix="0" xfId="23">
      <alignment vertical="center"/>
    </xf>
    <xf numFmtId="38" fontId="29" fillId="0" borderId="0" applyAlignment="1" pivotButton="0" quotePrefix="0" xfId="19">
      <alignment vertical="center"/>
    </xf>
    <xf numFmtId="0" fontId="30" fillId="0" borderId="0" applyAlignment="1" pivotButton="0" quotePrefix="0" xfId="17">
      <alignment vertical="center"/>
    </xf>
    <xf numFmtId="0" fontId="29" fillId="0" borderId="0" applyAlignment="1" pivotButton="0" quotePrefix="0" xfId="23">
      <alignment horizontal="center" vertical="center"/>
    </xf>
    <xf numFmtId="0" fontId="29" fillId="0" borderId="36" applyAlignment="1" pivotButton="0" quotePrefix="0" xfId="23">
      <alignment horizontal="center" vertical="center"/>
    </xf>
    <xf numFmtId="38" fontId="29" fillId="0" borderId="36" applyAlignment="1" pivotButton="0" quotePrefix="0" xfId="19">
      <alignment horizontal="center" vertical="center"/>
    </xf>
    <xf numFmtId="164" fontId="42" fillId="0" borderId="36" applyAlignment="1" pivotButton="0" quotePrefix="0" xfId="17">
      <alignment horizontal="center" vertical="center"/>
    </xf>
    <xf numFmtId="164" fontId="29" fillId="0" borderId="36" applyAlignment="1" pivotButton="0" quotePrefix="0" xfId="23">
      <alignment horizontal="center" vertical="center"/>
    </xf>
    <xf numFmtId="164" fontId="29" fillId="0" borderId="0" applyAlignment="1" pivotButton="0" quotePrefix="0" xfId="23">
      <alignment horizontal="center" vertical="center"/>
    </xf>
    <xf numFmtId="38" fontId="43" fillId="0" borderId="0" applyAlignment="1" pivotButton="0" quotePrefix="0" xfId="19">
      <alignment vertical="center"/>
    </xf>
    <xf numFmtId="38" fontId="42" fillId="0" borderId="36" applyAlignment="1" pivotButton="0" quotePrefix="0" xfId="19">
      <alignment horizontal="center" vertical="center"/>
    </xf>
    <xf numFmtId="164" fontId="29" fillId="0" borderId="36" applyAlignment="1" pivotButton="0" quotePrefix="0" xfId="23">
      <alignment vertical="center"/>
    </xf>
    <xf numFmtId="164" fontId="29" fillId="0" borderId="0" applyAlignment="1" pivotButton="0" quotePrefix="0" xfId="23">
      <alignment vertical="center"/>
    </xf>
    <xf numFmtId="38" fontId="29" fillId="0" borderId="0" applyAlignment="1" pivotButton="0" quotePrefix="0" xfId="19">
      <alignment vertical="center"/>
    </xf>
    <xf numFmtId="10" fontId="29" fillId="0" borderId="0" applyAlignment="1" pivotButton="0" quotePrefix="0" xfId="23">
      <alignment horizontal="center" vertical="center"/>
    </xf>
    <xf numFmtId="165" fontId="29" fillId="0" borderId="36" applyAlignment="1" pivotButton="0" quotePrefix="0" xfId="23">
      <alignment horizontal="center" vertical="center"/>
    </xf>
    <xf numFmtId="166" fontId="29" fillId="0" borderId="36" applyAlignment="1" pivotButton="0" quotePrefix="0" xfId="19">
      <alignment horizontal="center" vertical="center"/>
    </xf>
    <xf numFmtId="167" fontId="29" fillId="0" borderId="36" applyAlignment="1" pivotButton="0" quotePrefix="0" xfId="24">
      <alignment horizontal="center" vertical="center"/>
    </xf>
    <xf numFmtId="0" fontId="43" fillId="0" borderId="0" applyAlignment="1" pivotButton="0" quotePrefix="0" xfId="23">
      <alignment horizontal="center" vertical="center"/>
    </xf>
    <xf numFmtId="10" fontId="42" fillId="0" borderId="0" applyAlignment="1" pivotButton="0" quotePrefix="0" xfId="25">
      <alignment horizontal="center" vertical="center"/>
    </xf>
    <xf numFmtId="10" fontId="29" fillId="0" borderId="0" applyAlignment="1" pivotButton="0" quotePrefix="0" xfId="23">
      <alignment vertical="center"/>
    </xf>
    <xf numFmtId="165" fontId="29" fillId="0" borderId="0" applyAlignment="1" pivotButton="0" quotePrefix="0" xfId="23">
      <alignment horizontal="center" vertical="center"/>
    </xf>
    <xf numFmtId="167" fontId="29" fillId="0" borderId="0" applyAlignment="1" pivotButton="0" quotePrefix="0" xfId="24">
      <alignment horizontal="center" vertical="center"/>
    </xf>
    <xf numFmtId="0" fontId="46" fillId="0" borderId="0" applyAlignment="1" pivotButton="0" quotePrefix="0" xfId="23">
      <alignment vertical="center"/>
    </xf>
    <xf numFmtId="38" fontId="47" fillId="0" borderId="0" applyAlignment="1" pivotButton="0" quotePrefix="0" xfId="19">
      <alignment vertical="center"/>
    </xf>
    <xf numFmtId="0" fontId="48" fillId="0" borderId="0" applyAlignment="1" pivotButton="0" quotePrefix="0" xfId="23">
      <alignment horizontal="left" vertical="center"/>
    </xf>
    <xf numFmtId="0" fontId="49" fillId="0" borderId="0" applyAlignment="1" pivotButton="0" quotePrefix="0" xfId="23">
      <alignment horizontal="left" vertical="center"/>
    </xf>
    <xf numFmtId="0" fontId="50" fillId="0" borderId="0" applyAlignment="1" pivotButton="0" quotePrefix="0" xfId="23">
      <alignment vertical="center"/>
    </xf>
    <xf numFmtId="0" fontId="50" fillId="0" borderId="0" applyAlignment="1" pivotButton="0" quotePrefix="0" xfId="23">
      <alignment horizontal="left" vertical="center"/>
    </xf>
    <xf numFmtId="0" fontId="29" fillId="17" borderId="1" applyAlignment="1" pivotButton="0" quotePrefix="0" xfId="23">
      <alignment horizontal="center" vertical="center"/>
    </xf>
    <xf numFmtId="0" fontId="29" fillId="12" borderId="1" applyAlignment="1" pivotButton="0" quotePrefix="0" xfId="23">
      <alignment horizontal="center" vertical="center"/>
    </xf>
    <xf numFmtId="0" fontId="29" fillId="0" borderId="112" applyAlignment="1" pivotButton="0" quotePrefix="0" xfId="23">
      <alignment horizontal="center" vertical="center"/>
    </xf>
    <xf numFmtId="0" fontId="29" fillId="17" borderId="37" applyAlignment="1" pivotButton="0" quotePrefix="0" xfId="23">
      <alignment horizontal="center" vertical="center"/>
    </xf>
    <xf numFmtId="38" fontId="29" fillId="17" borderId="64" applyAlignment="1" pivotButton="0" quotePrefix="0" xfId="19">
      <alignment horizontal="center" vertical="center"/>
    </xf>
    <xf numFmtId="38" fontId="29" fillId="0" borderId="0" applyAlignment="1" pivotButton="0" quotePrefix="0" xfId="23">
      <alignment vertical="center"/>
    </xf>
    <xf numFmtId="38" fontId="42" fillId="0" borderId="0" applyAlignment="1" pivotButton="0" quotePrefix="0" xfId="19">
      <alignment vertical="center"/>
    </xf>
    <xf numFmtId="0" fontId="29" fillId="0" borderId="45" applyAlignment="1" pivotButton="0" quotePrefix="0" xfId="23">
      <alignment vertical="center"/>
    </xf>
    <xf numFmtId="0" fontId="29" fillId="0" borderId="46" applyAlignment="1" pivotButton="0" quotePrefix="0" xfId="23">
      <alignment horizontal="center" vertical="center"/>
    </xf>
    <xf numFmtId="0" fontId="29" fillId="0" borderId="114" applyAlignment="1" pivotButton="0" quotePrefix="0" xfId="23">
      <alignment horizontal="center" vertical="center"/>
    </xf>
    <xf numFmtId="0" fontId="29" fillId="17" borderId="49" applyAlignment="1" pivotButton="0" quotePrefix="0" xfId="23">
      <alignment vertical="center"/>
    </xf>
    <xf numFmtId="10" fontId="29" fillId="17" borderId="50" applyAlignment="1" pivotButton="0" quotePrefix="0" xfId="23">
      <alignment horizontal="center" vertical="center"/>
    </xf>
    <xf numFmtId="10" fontId="29" fillId="17" borderId="66" applyAlignment="1" pivotButton="0" quotePrefix="0" xfId="23">
      <alignment horizontal="center" vertical="center"/>
    </xf>
    <xf numFmtId="10" fontId="29" fillId="17" borderId="67" applyAlignment="1" pivotButton="0" quotePrefix="0" xfId="23">
      <alignment horizontal="center" vertical="center"/>
    </xf>
    <xf numFmtId="0" fontId="29" fillId="0" borderId="53" applyAlignment="1" pivotButton="0" quotePrefix="0" xfId="23">
      <alignment horizontal="center" vertical="center"/>
    </xf>
    <xf numFmtId="0" fontId="29" fillId="13" borderId="53" applyAlignment="1" pivotButton="0" quotePrefix="0" xfId="23">
      <alignment horizontal="center" vertical="center"/>
    </xf>
    <xf numFmtId="0" fontId="29" fillId="0" borderId="68" applyAlignment="1" pivotButton="0" quotePrefix="0" xfId="23">
      <alignment horizontal="center" vertical="center"/>
    </xf>
    <xf numFmtId="38" fontId="42" fillId="17" borderId="69" applyAlignment="1" pivotButton="0" quotePrefix="0" xfId="19">
      <alignment horizontal="center" vertical="center"/>
    </xf>
    <xf numFmtId="0" fontId="29" fillId="13" borderId="46" applyAlignment="1" pivotButton="0" quotePrefix="0" xfId="23">
      <alignment horizontal="center" vertical="center"/>
    </xf>
    <xf numFmtId="0" fontId="29" fillId="0" borderId="70" applyAlignment="1" pivotButton="0" quotePrefix="0" xfId="23">
      <alignment horizontal="center" vertical="center"/>
    </xf>
    <xf numFmtId="38" fontId="42" fillId="17" borderId="71" applyAlignment="1" pivotButton="0" quotePrefix="0" xfId="19">
      <alignment horizontal="center" vertical="center"/>
    </xf>
    <xf numFmtId="0" fontId="29" fillId="17" borderId="56" applyAlignment="1" pivotButton="0" quotePrefix="0" xfId="23">
      <alignment vertical="center"/>
    </xf>
    <xf numFmtId="10" fontId="29" fillId="17" borderId="57" applyAlignment="1" pivotButton="0" quotePrefix="0" xfId="23">
      <alignment horizontal="center" vertical="center"/>
    </xf>
    <xf numFmtId="10" fontId="29" fillId="17" borderId="72" applyAlignment="1" pivotButton="0" quotePrefix="0" xfId="23">
      <alignment horizontal="center" vertical="center"/>
    </xf>
    <xf numFmtId="10" fontId="29" fillId="17" borderId="73" applyAlignment="1" pivotButton="0" quotePrefix="0" xfId="23">
      <alignment horizontal="center" vertical="center"/>
    </xf>
    <xf numFmtId="38" fontId="42" fillId="17" borderId="75" applyAlignment="1" pivotButton="0" quotePrefix="0" xfId="19">
      <alignment horizontal="center" vertical="center"/>
    </xf>
    <xf numFmtId="0" fontId="29" fillId="0" borderId="59" applyAlignment="1" pivotButton="0" quotePrefix="0" xfId="23">
      <alignment horizontal="center" vertical="center"/>
    </xf>
    <xf numFmtId="0" fontId="29" fillId="13" borderId="59" applyAlignment="1" pivotButton="0" quotePrefix="0" xfId="23">
      <alignment horizontal="center" vertical="center"/>
    </xf>
    <xf numFmtId="0" fontId="29" fillId="0" borderId="74" applyAlignment="1" pivotButton="0" quotePrefix="0" xfId="23">
      <alignment horizontal="center" vertical="center"/>
    </xf>
    <xf numFmtId="10" fontId="29" fillId="17" borderId="76" applyAlignment="1" pivotButton="0" quotePrefix="0" xfId="23">
      <alignment horizontal="center" vertical="center"/>
    </xf>
    <xf numFmtId="38" fontId="42" fillId="17" borderId="77" applyAlignment="1" pivotButton="0" quotePrefix="0" xfId="19">
      <alignment horizontal="center" vertical="center"/>
    </xf>
    <xf numFmtId="0" fontId="29" fillId="0" borderId="79" applyAlignment="1" pivotButton="0" quotePrefix="0" xfId="23">
      <alignment vertical="center"/>
    </xf>
    <xf numFmtId="38" fontId="42" fillId="0" borderId="80" applyAlignment="1" pivotButton="0" quotePrefix="0" xfId="19">
      <alignment horizontal="center" vertical="center"/>
    </xf>
    <xf numFmtId="0" fontId="29" fillId="0" borderId="80" applyAlignment="1" pivotButton="0" quotePrefix="0" xfId="23">
      <alignment horizontal="center" vertical="center"/>
    </xf>
    <xf numFmtId="0" fontId="29" fillId="0" borderId="78" applyAlignment="1" pivotButton="0" quotePrefix="0" xfId="23">
      <alignment horizontal="center" vertical="center"/>
    </xf>
    <xf numFmtId="0" fontId="29" fillId="0" borderId="36" applyAlignment="1" pivotButton="0" quotePrefix="0" xfId="23">
      <alignment vertical="center" wrapText="1"/>
    </xf>
    <xf numFmtId="0" fontId="29" fillId="0" borderId="36" applyAlignment="1" pivotButton="0" quotePrefix="0" xfId="23">
      <alignment vertical="center"/>
    </xf>
    <xf numFmtId="0" fontId="29" fillId="0" borderId="38" applyAlignment="1" pivotButton="0" quotePrefix="0" xfId="23">
      <alignment horizontal="center" vertical="center"/>
    </xf>
    <xf numFmtId="0" fontId="29" fillId="0" borderId="59" applyAlignment="1" pivotButton="0" quotePrefix="0" xfId="23">
      <alignment horizontal="center" vertical="center"/>
    </xf>
    <xf numFmtId="0" fontId="29" fillId="0" borderId="74" applyAlignment="1" pivotButton="0" quotePrefix="0" xfId="23">
      <alignment horizontal="center" vertical="center"/>
    </xf>
    <xf numFmtId="0" fontId="29" fillId="0" borderId="46" applyAlignment="1" pivotButton="0" quotePrefix="0" xfId="23">
      <alignment horizontal="center" vertical="center"/>
    </xf>
    <xf numFmtId="0" fontId="29" fillId="0" borderId="70" applyAlignment="1" pivotButton="0" quotePrefix="0" xfId="23">
      <alignment horizontal="center" vertical="center"/>
    </xf>
    <xf numFmtId="0" fontId="29" fillId="0" borderId="36" applyAlignment="1" pivotButton="0" quotePrefix="0" xfId="23">
      <alignment vertical="center" wrapText="1"/>
    </xf>
    <xf numFmtId="0" fontId="29" fillId="0" borderId="36" applyAlignment="1" pivotButton="0" quotePrefix="0" xfId="23">
      <alignment vertical="center"/>
    </xf>
    <xf numFmtId="10" fontId="29" fillId="0" borderId="38" applyAlignment="1" pivotButton="0" quotePrefix="0" xfId="23">
      <alignment horizontal="center" vertical="center"/>
    </xf>
    <xf numFmtId="0" fontId="31" fillId="0" borderId="59" applyAlignment="1" pivotButton="0" quotePrefix="0" xfId="17">
      <alignment horizontal="center" vertical="center"/>
    </xf>
    <xf numFmtId="0" fontId="45" fillId="0" borderId="46" applyAlignment="1" pivotButton="0" quotePrefix="0" xfId="17">
      <alignment horizontal="center" vertical="center"/>
    </xf>
    <xf numFmtId="0" fontId="29" fillId="0" borderId="0" applyAlignment="1" pivotButton="0" quotePrefix="0" xfId="26">
      <alignment vertical="center"/>
    </xf>
    <xf numFmtId="0" fontId="29" fillId="0" borderId="0" applyAlignment="1" pivotButton="0" quotePrefix="0" xfId="26">
      <alignment horizontal="center" vertical="center"/>
    </xf>
    <xf numFmtId="0" fontId="57" fillId="0" borderId="0" applyAlignment="1" pivotButton="0" quotePrefix="0" xfId="26">
      <alignment vertical="center"/>
    </xf>
    <xf numFmtId="0" fontId="29" fillId="0" borderId="0" applyAlignment="1" pivotButton="0" quotePrefix="0" xfId="26">
      <alignment horizontal="right" vertical="center"/>
    </xf>
    <xf numFmtId="0" fontId="29" fillId="3" borderId="1" applyAlignment="1" pivotButton="0" quotePrefix="0" xfId="26">
      <alignment horizontal="center" vertical="center"/>
    </xf>
    <xf numFmtId="0" fontId="29" fillId="0" borderId="2" applyAlignment="1" pivotButton="0" quotePrefix="0" xfId="27">
      <alignment vertical="center" wrapText="1"/>
    </xf>
    <xf numFmtId="0" fontId="29" fillId="0" borderId="2" applyAlignment="1" pivotButton="0" quotePrefix="0" xfId="27">
      <alignment horizontal="center" vertical="center" wrapText="1"/>
    </xf>
    <xf numFmtId="0" fontId="29" fillId="0" borderId="0" pivotButton="0" quotePrefix="0" xfId="27"/>
    <xf numFmtId="0" fontId="29" fillId="0" borderId="3" applyAlignment="1" pivotButton="0" quotePrefix="0" xfId="27">
      <alignment horizontal="center" vertical="center"/>
    </xf>
    <xf numFmtId="0" fontId="29" fillId="0" borderId="0" applyAlignment="1" pivotButton="0" quotePrefix="0" xfId="27">
      <alignment horizontal="center" vertical="center"/>
    </xf>
    <xf numFmtId="0" fontId="29" fillId="0" borderId="0" applyAlignment="1" pivotButton="0" quotePrefix="0" xfId="27">
      <alignment vertical="center"/>
    </xf>
    <xf numFmtId="0" fontId="58" fillId="0" borderId="0" applyAlignment="1" pivotButton="0" quotePrefix="0" xfId="27">
      <alignment vertical="center"/>
    </xf>
    <xf numFmtId="0" fontId="29" fillId="0" borderId="6" applyAlignment="1" pivotButton="0" quotePrefix="0" xfId="27">
      <alignment horizontal="center" vertical="center" wrapText="1"/>
    </xf>
    <xf numFmtId="0" fontId="29" fillId="0" borderId="6" applyAlignment="1" applyProtection="1" pivotButton="0" quotePrefix="0" xfId="27">
      <alignment horizontal="center" vertical="center"/>
      <protection locked="0" hidden="0"/>
    </xf>
    <xf numFmtId="0" fontId="29" fillId="0" borderId="28" applyAlignment="1" applyProtection="1" pivotButton="0" quotePrefix="0" xfId="27">
      <alignment horizontal="center" vertical="center"/>
      <protection locked="0" hidden="0"/>
    </xf>
    <xf numFmtId="0" fontId="29" fillId="0" borderId="8" applyAlignment="1" pivotButton="0" quotePrefix="0" xfId="27">
      <alignment horizontal="center" vertical="center" wrapText="1"/>
    </xf>
    <xf numFmtId="0" fontId="29" fillId="0" borderId="10" applyAlignment="1" pivotButton="0" quotePrefix="0" xfId="27">
      <alignment horizontal="center" vertical="center" wrapText="1"/>
    </xf>
    <xf numFmtId="0" fontId="29" fillId="0" borderId="11" applyAlignment="1" pivotButton="0" quotePrefix="0" xfId="27">
      <alignment horizontal="center" vertical="center" wrapText="1"/>
    </xf>
    <xf numFmtId="0" fontId="29" fillId="3" borderId="11" applyAlignment="1" pivotButton="0" quotePrefix="0" xfId="27">
      <alignment horizontal="center" vertical="center" wrapText="1"/>
    </xf>
    <xf numFmtId="0" fontId="29" fillId="0" borderId="15" applyAlignment="1" pivotButton="0" quotePrefix="0" xfId="27">
      <alignment horizontal="center" vertical="center" wrapText="1"/>
    </xf>
    <xf numFmtId="0" fontId="29" fillId="17" borderId="11" applyAlignment="1" pivotButton="0" quotePrefix="0" xfId="27">
      <alignment horizontal="center" vertical="center" wrapText="1"/>
    </xf>
    <xf numFmtId="38" fontId="29" fillId="17" borderId="11" applyAlignment="1" pivotButton="0" quotePrefix="0" xfId="28">
      <alignment horizontal="center" vertical="center"/>
    </xf>
    <xf numFmtId="38" fontId="29" fillId="17" borderId="30" applyAlignment="1" pivotButton="0" quotePrefix="0" xfId="28">
      <alignment horizontal="center" vertical="center"/>
    </xf>
    <xf numFmtId="38" fontId="29" fillId="17" borderId="4" applyAlignment="1" pivotButton="0" quotePrefix="0" xfId="28">
      <alignment horizontal="center" vertical="center"/>
    </xf>
    <xf numFmtId="0" fontId="44" fillId="0" borderId="0" applyAlignment="1" pivotButton="0" quotePrefix="0" xfId="26">
      <alignment vertical="center"/>
    </xf>
    <xf numFmtId="0" fontId="29" fillId="0" borderId="21" applyAlignment="1" pivotButton="0" quotePrefix="0" xfId="27">
      <alignment horizontal="center" vertical="center" wrapText="1"/>
    </xf>
    <xf numFmtId="0" fontId="29" fillId="0" borderId="21" applyAlignment="1" applyProtection="1" pivotButton="0" quotePrefix="0" xfId="28">
      <alignment horizontal="center" vertical="center"/>
      <protection locked="0" hidden="0"/>
    </xf>
    <xf numFmtId="0" fontId="29" fillId="0" borderId="34" applyAlignment="1" applyProtection="1" pivotButton="0" quotePrefix="0" xfId="28">
      <alignment horizontal="center" vertical="center"/>
      <protection locked="0" hidden="0"/>
    </xf>
    <xf numFmtId="0" fontId="29" fillId="3" borderId="21" applyAlignment="1" pivotButton="0" quotePrefix="0" xfId="27">
      <alignment horizontal="center" vertical="center" wrapText="1"/>
    </xf>
    <xf numFmtId="38" fontId="29" fillId="3" borderId="21" applyAlignment="1" pivotButton="0" quotePrefix="0" xfId="28">
      <alignment horizontal="center" vertical="center"/>
    </xf>
    <xf numFmtId="38" fontId="29" fillId="3" borderId="34" applyAlignment="1" pivotButton="0" quotePrefix="0" xfId="28">
      <alignment horizontal="center" vertical="center"/>
    </xf>
    <xf numFmtId="0" fontId="29" fillId="0" borderId="0" applyAlignment="1" pivotButton="0" quotePrefix="0" xfId="26">
      <alignment horizontal="right"/>
    </xf>
    <xf numFmtId="38" fontId="29" fillId="0" borderId="15" applyAlignment="1" applyProtection="1" pivotButton="0" quotePrefix="0" xfId="28">
      <alignment horizontal="center" vertical="center"/>
      <protection locked="0" hidden="0"/>
    </xf>
    <xf numFmtId="38" fontId="29" fillId="0" borderId="26" applyAlignment="1" applyProtection="1" pivotButton="0" quotePrefix="0" xfId="28">
      <alignment horizontal="center" vertical="center"/>
      <protection locked="0" hidden="0"/>
    </xf>
    <xf numFmtId="38" fontId="29" fillId="0" borderId="35" applyAlignment="1" applyProtection="1" pivotButton="0" quotePrefix="0" xfId="28">
      <alignment horizontal="center" vertical="center"/>
      <protection locked="0" hidden="0"/>
    </xf>
    <xf numFmtId="0" fontId="29" fillId="0" borderId="19" applyAlignment="1" pivotButton="0" quotePrefix="0" xfId="26">
      <alignment horizontal="center" vertical="center"/>
    </xf>
    <xf numFmtId="0" fontId="29" fillId="0" borderId="22" applyAlignment="1" pivotButton="0" quotePrefix="0" xfId="26">
      <alignment horizontal="center" vertical="center"/>
    </xf>
    <xf numFmtId="38" fontId="29" fillId="0" borderId="8" applyAlignment="1" applyProtection="1" pivotButton="0" quotePrefix="0" xfId="28">
      <alignment horizontal="center" vertical="center" wrapText="1"/>
      <protection locked="0" hidden="0"/>
    </xf>
    <xf numFmtId="38" fontId="29" fillId="0" borderId="29" applyAlignment="1" applyProtection="1" pivotButton="0" quotePrefix="0" xfId="28">
      <alignment horizontal="center" vertical="center" wrapText="1"/>
      <protection locked="0" hidden="0"/>
    </xf>
    <xf numFmtId="0" fontId="29" fillId="0" borderId="23" applyAlignment="1" pivotButton="0" quotePrefix="0" xfId="26">
      <alignment horizontal="center" vertical="center"/>
    </xf>
    <xf numFmtId="38" fontId="29" fillId="0" borderId="11" applyAlignment="1" applyProtection="1" pivotButton="0" quotePrefix="0" xfId="28">
      <alignment horizontal="center" vertical="center"/>
      <protection locked="0" hidden="0"/>
    </xf>
    <xf numFmtId="38" fontId="29" fillId="0" borderId="30" applyAlignment="1" applyProtection="1" pivotButton="0" quotePrefix="0" xfId="28">
      <alignment horizontal="center" vertical="center"/>
      <protection locked="0" hidden="0"/>
    </xf>
    <xf numFmtId="0" fontId="29" fillId="0" borderId="24" applyAlignment="1" pivotButton="0" quotePrefix="0" xfId="26">
      <alignment horizontal="center" vertical="center"/>
    </xf>
    <xf numFmtId="0" fontId="29" fillId="0" borderId="25" applyAlignment="1" pivotButton="0" quotePrefix="0" xfId="26">
      <alignment horizontal="center" vertical="center"/>
    </xf>
    <xf numFmtId="0" fontId="29" fillId="0" borderId="17" applyAlignment="1" pivotButton="0" quotePrefix="0" xfId="26">
      <alignment horizontal="center" vertical="center"/>
    </xf>
    <xf numFmtId="0" fontId="29" fillId="0" borderId="18" applyAlignment="1" pivotButton="0" quotePrefix="0" xfId="27">
      <alignment vertical="center"/>
    </xf>
    <xf numFmtId="0" fontId="29" fillId="0" borderId="0" applyAlignment="1" pivotButton="0" quotePrefix="0" xfId="23">
      <alignment vertical="center"/>
    </xf>
    <xf numFmtId="0" fontId="29" fillId="0" borderId="0" applyAlignment="1" pivotButton="0" quotePrefix="0" xfId="23">
      <alignment horizontal="center" vertical="center"/>
    </xf>
    <xf numFmtId="0" fontId="29" fillId="17" borderId="1" applyAlignment="1" pivotButton="0" quotePrefix="0" xfId="23">
      <alignment horizontal="center" vertical="center"/>
    </xf>
    <xf numFmtId="0" fontId="29" fillId="12" borderId="1" applyAlignment="1" pivotButton="0" quotePrefix="0" xfId="23">
      <alignment horizontal="center" vertical="center"/>
    </xf>
    <xf numFmtId="0" fontId="29" fillId="0" borderId="37" applyAlignment="1" pivotButton="0" quotePrefix="0" xfId="23">
      <alignment horizontal="center" vertical="center"/>
    </xf>
    <xf numFmtId="0" fontId="29" fillId="13" borderId="37" applyAlignment="1" pivotButton="0" quotePrefix="0" xfId="23">
      <alignment horizontal="center" vertical="center"/>
    </xf>
    <xf numFmtId="38" fontId="29" fillId="0" borderId="0" applyAlignment="1" pivotButton="0" quotePrefix="0" xfId="23">
      <alignment vertical="center"/>
    </xf>
    <xf numFmtId="10" fontId="29" fillId="17" borderId="50" applyAlignment="1" pivotButton="0" quotePrefix="0" xfId="23">
      <alignment horizontal="center" vertical="center"/>
    </xf>
    <xf numFmtId="10" fontId="29" fillId="17" borderId="66" applyAlignment="1" pivotButton="0" quotePrefix="0" xfId="23">
      <alignment horizontal="center" vertical="center"/>
    </xf>
    <xf numFmtId="10" fontId="29" fillId="17" borderId="67" applyAlignment="1" pivotButton="0" quotePrefix="0" xfId="23">
      <alignment horizontal="center" vertical="center"/>
    </xf>
    <xf numFmtId="10" fontId="29" fillId="0" borderId="0" applyAlignment="1" pivotButton="0" quotePrefix="0" xfId="23">
      <alignment horizontal="center" vertical="center"/>
    </xf>
    <xf numFmtId="0" fontId="29" fillId="0" borderId="53" applyAlignment="1" pivotButton="0" quotePrefix="0" xfId="23">
      <alignment horizontal="center" vertical="center"/>
    </xf>
    <xf numFmtId="0" fontId="29" fillId="13" borderId="53" applyAlignment="1" pivotButton="0" quotePrefix="0" xfId="23">
      <alignment horizontal="center" vertical="center"/>
    </xf>
    <xf numFmtId="0" fontId="29" fillId="0" borderId="68" applyAlignment="1" pivotButton="0" quotePrefix="0" xfId="23">
      <alignment horizontal="center" vertical="center"/>
    </xf>
    <xf numFmtId="0" fontId="29" fillId="0" borderId="46" applyAlignment="1" pivotButton="0" quotePrefix="0" xfId="23">
      <alignment horizontal="center" vertical="center"/>
    </xf>
    <xf numFmtId="0" fontId="29" fillId="13" borderId="46" applyAlignment="1" pivotButton="0" quotePrefix="0" xfId="23">
      <alignment horizontal="center" vertical="center"/>
    </xf>
    <xf numFmtId="0" fontId="29" fillId="0" borderId="70" applyAlignment="1" pivotButton="0" quotePrefix="0" xfId="23">
      <alignment horizontal="center" vertical="center"/>
    </xf>
    <xf numFmtId="10" fontId="29" fillId="17" borderId="57" applyAlignment="1" pivotButton="0" quotePrefix="0" xfId="23">
      <alignment horizontal="center" vertical="center"/>
    </xf>
    <xf numFmtId="10" fontId="29" fillId="17" borderId="72" applyAlignment="1" pivotButton="0" quotePrefix="0" xfId="23">
      <alignment horizontal="center" vertical="center"/>
    </xf>
    <xf numFmtId="10" fontId="29" fillId="17" borderId="73" applyAlignment="1" pivotButton="0" quotePrefix="0" xfId="23">
      <alignment horizontal="center" vertical="center"/>
    </xf>
    <xf numFmtId="0" fontId="29" fillId="14" borderId="117" applyAlignment="1" pivotButton="0" quotePrefix="0" xfId="23">
      <alignment horizontal="center" vertical="center"/>
    </xf>
    <xf numFmtId="0" fontId="29" fillId="14" borderId="59" applyAlignment="1" pivotButton="0" quotePrefix="0" xfId="23">
      <alignment horizontal="center" vertical="center"/>
    </xf>
    <xf numFmtId="0" fontId="29" fillId="0" borderId="59" applyAlignment="1" pivotButton="0" quotePrefix="0" xfId="23">
      <alignment horizontal="center" vertical="center"/>
    </xf>
    <xf numFmtId="0" fontId="29" fillId="14" borderId="74" applyAlignment="1" pivotButton="0" quotePrefix="0" xfId="23">
      <alignment horizontal="center" vertical="center"/>
    </xf>
    <xf numFmtId="0" fontId="29" fillId="14" borderId="81" applyAlignment="1" pivotButton="0" quotePrefix="0" xfId="23">
      <alignment horizontal="center" vertical="center"/>
    </xf>
    <xf numFmtId="0" fontId="29" fillId="14" borderId="46" applyAlignment="1" pivotButton="0" quotePrefix="0" xfId="23">
      <alignment horizontal="center" vertical="center"/>
    </xf>
    <xf numFmtId="0" fontId="29" fillId="14" borderId="70" applyAlignment="1" pivotButton="0" quotePrefix="0" xfId="23">
      <alignment horizontal="center" vertical="center"/>
    </xf>
    <xf numFmtId="0" fontId="29" fillId="0" borderId="117" applyAlignment="1" pivotButton="0" quotePrefix="0" xfId="23">
      <alignment horizontal="center" vertical="center"/>
    </xf>
    <xf numFmtId="0" fontId="29" fillId="0" borderId="74" applyAlignment="1" pivotButton="0" quotePrefix="0" xfId="23">
      <alignment horizontal="center" vertical="center"/>
    </xf>
    <xf numFmtId="0" fontId="29" fillId="0" borderId="81" applyAlignment="1" pivotButton="0" quotePrefix="0" xfId="23">
      <alignment horizontal="center" vertical="center"/>
    </xf>
    <xf numFmtId="10" fontId="29" fillId="17" borderId="76" applyAlignment="1" pivotButton="0" quotePrefix="0" xfId="23">
      <alignment horizontal="center" vertical="center"/>
    </xf>
    <xf numFmtId="0" fontId="29" fillId="13" borderId="59" applyAlignment="1" pivotButton="0" quotePrefix="0" xfId="23">
      <alignment horizontal="center" vertical="center"/>
    </xf>
    <xf numFmtId="0" fontId="29" fillId="13" borderId="74" applyAlignment="1" pivotButton="0" quotePrefix="0" xfId="23">
      <alignment horizontal="center" vertical="center"/>
    </xf>
    <xf numFmtId="0" fontId="29" fillId="13" borderId="70" applyAlignment="1" pivotButton="0" quotePrefix="0" xfId="23">
      <alignment horizontal="center" vertical="center"/>
    </xf>
    <xf numFmtId="0" fontId="29" fillId="17" borderId="57" applyAlignment="1" pivotButton="0" quotePrefix="0" xfId="23">
      <alignment horizontal="center" vertical="center"/>
    </xf>
    <xf numFmtId="0" fontId="29" fillId="17" borderId="72" applyAlignment="1" pivotButton="0" quotePrefix="0" xfId="23">
      <alignment horizontal="center" vertical="center"/>
    </xf>
    <xf numFmtId="38" fontId="50" fillId="0" borderId="0" applyAlignment="1" pivotButton="0" quotePrefix="0" xfId="8">
      <alignment horizontal="left" vertical="center"/>
    </xf>
    <xf numFmtId="0" fontId="29" fillId="0" borderId="78" applyAlignment="1" pivotButton="0" quotePrefix="0" xfId="23">
      <alignment horizontal="center" vertical="center"/>
    </xf>
    <xf numFmtId="0" fontId="29" fillId="13" borderId="78" applyAlignment="1" pivotButton="0" quotePrefix="0" xfId="23">
      <alignment horizontal="center" vertical="center"/>
    </xf>
    <xf numFmtId="0" fontId="29" fillId="0" borderId="36" applyAlignment="1" pivotButton="0" quotePrefix="0" xfId="23">
      <alignment vertical="center" wrapText="1"/>
    </xf>
    <xf numFmtId="10" fontId="29" fillId="0" borderId="38" applyAlignment="1" pivotButton="0" quotePrefix="0" xfId="23">
      <alignment horizontal="center" vertical="center"/>
    </xf>
    <xf numFmtId="10" fontId="29" fillId="0" borderId="36" applyAlignment="1" pivotButton="0" quotePrefix="0" xfId="23">
      <alignment horizontal="center" vertical="center"/>
    </xf>
    <xf numFmtId="0" fontId="45" fillId="0" borderId="94" applyAlignment="1" pivotButton="0" quotePrefix="0" xfId="0">
      <alignment horizontal="center" vertical="center"/>
    </xf>
    <xf numFmtId="0" fontId="45" fillId="0" borderId="46" applyAlignment="1" pivotButton="0" quotePrefix="0" xfId="0">
      <alignment vertical="center"/>
    </xf>
    <xf numFmtId="38" fontId="45" fillId="0" borderId="46" applyAlignment="1" pivotButton="0" quotePrefix="0" xfId="19">
      <alignment horizontal="left" vertical="center" wrapText="1"/>
    </xf>
    <xf numFmtId="0" fontId="45" fillId="0" borderId="46" applyAlignment="1" pivotButton="0" quotePrefix="0" xfId="16">
      <alignment horizontal="center" vertical="center"/>
    </xf>
    <xf numFmtId="0" fontId="45" fillId="0" borderId="46" applyAlignment="1" pivotButton="0" quotePrefix="0" xfId="0">
      <alignment horizontal="center" vertical="center"/>
    </xf>
    <xf numFmtId="0" fontId="31" fillId="0" borderId="87" applyAlignment="1" pivotButton="0" quotePrefix="0" xfId="0">
      <alignment vertical="center"/>
    </xf>
    <xf numFmtId="0" fontId="45" fillId="0" borderId="87" applyAlignment="1" pivotButton="0" quotePrefix="0" xfId="0">
      <alignment vertical="center"/>
    </xf>
    <xf numFmtId="38" fontId="39" fillId="0" borderId="87" applyAlignment="1" pivotButton="0" quotePrefix="0" xfId="19">
      <alignment horizontal="left" vertical="center" wrapText="1"/>
    </xf>
    <xf numFmtId="0" fontId="31" fillId="0" borderId="87" applyAlignment="1" pivotButton="0" quotePrefix="0" xfId="0">
      <alignment horizontal="center" vertical="center"/>
    </xf>
    <xf numFmtId="0" fontId="31" fillId="0" borderId="46" applyAlignment="1" pivotButton="0" quotePrefix="0" xfId="0">
      <alignment vertical="center"/>
    </xf>
    <xf numFmtId="38" fontId="39" fillId="0" borderId="46" applyAlignment="1" pivotButton="0" quotePrefix="0" xfId="19">
      <alignment horizontal="left" vertical="center" wrapText="1"/>
    </xf>
    <xf numFmtId="0" fontId="31" fillId="0" borderId="46" applyAlignment="1" pivotButton="0" quotePrefix="0" xfId="0">
      <alignment horizontal="center" vertical="center"/>
    </xf>
    <xf numFmtId="38" fontId="31" fillId="0" borderId="92" applyAlignment="1" pivotButton="0" quotePrefix="0" xfId="19">
      <alignment horizontal="left" vertical="center" wrapText="1"/>
    </xf>
    <xf numFmtId="0" fontId="31" fillId="0" borderId="92" applyAlignment="1" pivotButton="0" quotePrefix="0" xfId="0">
      <alignment vertical="center"/>
    </xf>
    <xf numFmtId="0" fontId="45" fillId="0" borderId="92" applyAlignment="1" pivotButton="0" quotePrefix="0" xfId="0">
      <alignment vertical="center"/>
    </xf>
    <xf numFmtId="0" fontId="31" fillId="0" borderId="92" applyAlignment="1" pivotButton="0" quotePrefix="0" xfId="16">
      <alignment horizontal="center" vertical="center"/>
    </xf>
    <xf numFmtId="0" fontId="31" fillId="0" borderId="103" applyAlignment="1" pivotButton="0" quotePrefix="0" xfId="0">
      <alignment vertical="center"/>
    </xf>
    <xf numFmtId="0" fontId="45" fillId="0" borderId="81" applyAlignment="1" pivotButton="0" quotePrefix="0" xfId="0">
      <alignment vertical="center"/>
    </xf>
    <xf numFmtId="38" fontId="31" fillId="0" borderId="46" applyAlignment="1" pivotButton="0" quotePrefix="0" xfId="19">
      <alignment horizontal="left" vertical="center" wrapText="1"/>
    </xf>
    <xf numFmtId="38" fontId="61" fillId="0" borderId="87" applyAlignment="1" pivotButton="0" quotePrefix="0" xfId="19">
      <alignment horizontal="left" vertical="center" wrapText="1"/>
    </xf>
    <xf numFmtId="0" fontId="31" fillId="0" borderId="87" applyAlignment="1" pivotButton="0" quotePrefix="0" xfId="16">
      <alignment vertical="center"/>
    </xf>
    <xf numFmtId="0" fontId="45" fillId="0" borderId="87" applyAlignment="1" pivotButton="0" quotePrefix="0" xfId="16">
      <alignment vertical="center"/>
    </xf>
    <xf numFmtId="0" fontId="45" fillId="0" borderId="46" applyAlignment="1" pivotButton="0" quotePrefix="0" xfId="16">
      <alignment vertical="center"/>
    </xf>
    <xf numFmtId="0" fontId="31" fillId="0" borderId="87" applyAlignment="1" pivotButton="0" quotePrefix="0" xfId="0">
      <alignment horizontal="left" vertical="center"/>
    </xf>
    <xf numFmtId="0" fontId="31" fillId="0" borderId="92" applyAlignment="1" pivotButton="0" quotePrefix="0" xfId="0">
      <alignment horizontal="left" vertical="center"/>
    </xf>
    <xf numFmtId="0" fontId="31" fillId="0" borderId="92" applyAlignment="1" pivotButton="0" quotePrefix="0" xfId="0">
      <alignment horizontal="center" vertical="center"/>
    </xf>
    <xf numFmtId="0" fontId="31" fillId="0" borderId="25" applyAlignment="1" pivotButton="0" quotePrefix="0" xfId="0">
      <alignment horizontal="left" vertical="center"/>
    </xf>
    <xf numFmtId="0" fontId="62" fillId="0" borderId="46" applyAlignment="1" pivotButton="0" quotePrefix="0" xfId="0">
      <alignment horizontal="left" vertical="center"/>
    </xf>
    <xf numFmtId="0" fontId="31" fillId="0" borderId="25" applyAlignment="1" pivotButton="0" quotePrefix="0" xfId="0">
      <alignment horizontal="center" vertical="center"/>
    </xf>
    <xf numFmtId="0" fontId="31" fillId="0" borderId="46" applyAlignment="1" pivotButton="0" quotePrefix="0" xfId="0">
      <alignment horizontal="left" vertical="center"/>
    </xf>
    <xf numFmtId="0" fontId="31" fillId="0" borderId="103" applyAlignment="1" pivotButton="0" quotePrefix="0" xfId="0">
      <alignment horizontal="left" vertical="center"/>
    </xf>
    <xf numFmtId="0" fontId="31" fillId="0" borderId="93" applyAlignment="1" pivotButton="0" quotePrefix="0" xfId="16">
      <alignment horizontal="center" vertical="center"/>
    </xf>
    <xf numFmtId="38" fontId="31" fillId="0" borderId="93" applyAlignment="1" pivotButton="0" quotePrefix="0" xfId="19">
      <alignment vertical="center"/>
    </xf>
    <xf numFmtId="38" fontId="31" fillId="0" borderId="109" applyAlignment="1" pivotButton="0" quotePrefix="0" xfId="19">
      <alignment vertical="center"/>
    </xf>
    <xf numFmtId="0" fontId="31" fillId="14" borderId="97" applyAlignment="1" pivotButton="0" quotePrefix="0" xfId="16">
      <alignment horizontal="center" vertical="center"/>
    </xf>
    <xf numFmtId="0" fontId="31" fillId="14" borderId="87" applyAlignment="1" pivotButton="0" quotePrefix="0" xfId="0">
      <alignment vertical="center"/>
    </xf>
    <xf numFmtId="0" fontId="45" fillId="14" borderId="87" applyAlignment="1" pivotButton="0" quotePrefix="0" xfId="0">
      <alignment vertical="center"/>
    </xf>
    <xf numFmtId="38" fontId="39" fillId="14" borderId="87" applyAlignment="1" pivotButton="0" quotePrefix="0" xfId="19">
      <alignment horizontal="left" vertical="center" wrapText="1"/>
    </xf>
    <xf numFmtId="0" fontId="31" fillId="14" borderId="87" applyAlignment="1" pivotButton="0" quotePrefix="0" xfId="0">
      <alignment horizontal="center" vertical="center"/>
    </xf>
    <xf numFmtId="0" fontId="31" fillId="14" borderId="46" applyAlignment="1" pivotButton="0" quotePrefix="0" xfId="0">
      <alignment vertical="center"/>
    </xf>
    <xf numFmtId="0" fontId="45" fillId="14" borderId="46" applyAlignment="1" pivotButton="0" quotePrefix="0" xfId="0">
      <alignment vertical="center"/>
    </xf>
    <xf numFmtId="38" fontId="39" fillId="14" borderId="46" applyAlignment="1" pivotButton="0" quotePrefix="0" xfId="19">
      <alignment horizontal="left" vertical="center" wrapText="1"/>
    </xf>
    <xf numFmtId="0" fontId="31" fillId="14" borderId="46" applyAlignment="1" pivotButton="0" quotePrefix="0" xfId="0">
      <alignment horizontal="center" vertical="center"/>
    </xf>
    <xf numFmtId="38" fontId="8" fillId="0" borderId="36" applyAlignment="1" pivotButton="0" quotePrefix="0" xfId="1">
      <alignment horizontal="right" vertical="center"/>
    </xf>
    <xf numFmtId="38" fontId="3" fillId="0" borderId="36" applyAlignment="1" pivotButton="0" quotePrefix="0" xfId="1">
      <alignment horizontal="right" vertical="center"/>
    </xf>
    <xf numFmtId="38" fontId="3" fillId="0" borderId="36" applyAlignment="1" pivotButton="0" quotePrefix="0" xfId="1">
      <alignment vertical="center"/>
    </xf>
    <xf numFmtId="38" fontId="3" fillId="0" borderId="36" applyAlignment="1" pivotButton="0" quotePrefix="0" xfId="1">
      <alignment horizontal="center" vertical="center"/>
    </xf>
    <xf numFmtId="38" fontId="7" fillId="17" borderId="36" applyAlignment="1" pivotButton="0" quotePrefix="0" xfId="8">
      <alignment horizontal="center" vertical="center"/>
    </xf>
    <xf numFmtId="38" fontId="8" fillId="18" borderId="36" applyAlignment="1" pivotButton="0" quotePrefix="0" xfId="8">
      <alignment vertical="center"/>
    </xf>
    <xf numFmtId="38" fontId="7" fillId="17" borderId="37" applyAlignment="1" pivotButton="0" quotePrefix="0" xfId="8">
      <alignment horizontal="center" vertical="center"/>
    </xf>
    <xf numFmtId="38" fontId="3" fillId="17" borderId="36" applyAlignment="1" pivotButton="0" quotePrefix="0" xfId="8">
      <alignment horizontal="center" vertical="center"/>
    </xf>
    <xf numFmtId="0" fontId="29" fillId="0" borderId="0" applyAlignment="1" pivotButton="0" quotePrefix="0" xfId="23">
      <alignment vertical="center" wrapText="1"/>
    </xf>
    <xf numFmtId="0" fontId="29" fillId="0" borderId="0" applyAlignment="1" pivotButton="0" quotePrefix="0" xfId="23">
      <alignment vertical="center"/>
    </xf>
    <xf numFmtId="0" fontId="29" fillId="0" borderId="36" applyAlignment="1" pivotButton="0" quotePrefix="0" xfId="23">
      <alignment vertical="center"/>
    </xf>
    <xf numFmtId="10" fontId="29" fillId="0" borderId="0" applyAlignment="1" pivotButton="0" quotePrefix="0" xfId="23">
      <alignment horizontal="center" vertical="center"/>
    </xf>
    <xf numFmtId="38" fontId="43" fillId="0" borderId="36" applyAlignment="1" pivotButton="0" quotePrefix="0" xfId="19">
      <alignment horizontal="center" vertical="center"/>
    </xf>
    <xf numFmtId="0" fontId="31" fillId="0" borderId="78" applyAlignment="1" pivotButton="0" quotePrefix="0" xfId="16">
      <alignment horizontal="left" vertical="center"/>
    </xf>
    <xf numFmtId="38" fontId="50" fillId="0" borderId="0" applyAlignment="1" pivotButton="0" quotePrefix="0" xfId="19">
      <alignment horizontal="left" vertical="center"/>
    </xf>
    <xf numFmtId="0" fontId="29" fillId="0" borderId="13" applyAlignment="1" pivotButton="0" quotePrefix="0" xfId="27">
      <alignment horizontal="left" vertical="center" wrapText="1"/>
    </xf>
    <xf numFmtId="38" fontId="43" fillId="8" borderId="36" applyAlignment="1" pivotButton="0" quotePrefix="0" xfId="19">
      <alignment horizontal="center" vertical="center"/>
    </xf>
    <xf numFmtId="0" fontId="43" fillId="0" borderId="0" applyAlignment="1" pivotButton="0" quotePrefix="0" xfId="23">
      <alignment horizontal="right" vertical="center"/>
    </xf>
    <xf numFmtId="0" fontId="43" fillId="0" borderId="0" applyAlignment="1" pivotButton="0" quotePrefix="0" xfId="23">
      <alignment vertical="center"/>
    </xf>
    <xf numFmtId="49" fontId="43" fillId="0" borderId="0" applyAlignment="1" pivotButton="0" quotePrefix="0" xfId="23">
      <alignment horizontal="right" vertical="center"/>
    </xf>
    <xf numFmtId="38" fontId="46" fillId="0" borderId="0" applyAlignment="1" pivotButton="0" quotePrefix="0" xfId="19">
      <alignment vertical="center"/>
    </xf>
    <xf numFmtId="0" fontId="29" fillId="0" borderId="26" applyAlignment="1" pivotButton="0" quotePrefix="0" xfId="27">
      <alignment horizontal="center" vertical="center" wrapText="1"/>
    </xf>
    <xf numFmtId="0" fontId="31" fillId="0" borderId="6" applyAlignment="1" pivotButton="0" quotePrefix="0" xfId="27">
      <alignment vertical="center" wrapText="1"/>
    </xf>
    <xf numFmtId="0" fontId="31" fillId="0" borderId="11" applyAlignment="1" pivotButton="0" quotePrefix="0" xfId="27">
      <alignment vertical="center" wrapText="1"/>
    </xf>
    <xf numFmtId="0" fontId="31" fillId="0" borderId="4" applyAlignment="1" pivotButton="0" quotePrefix="0" xfId="27">
      <alignment vertical="center" wrapText="1"/>
    </xf>
    <xf numFmtId="0" fontId="31" fillId="0" borderId="19" applyAlignment="1" pivotButton="0" quotePrefix="0" xfId="27">
      <alignment horizontal="left" vertical="center" wrapText="1"/>
    </xf>
    <xf numFmtId="0" fontId="31" fillId="0" borderId="21" applyAlignment="1" pivotButton="0" quotePrefix="0" xfId="27">
      <alignment vertical="center" wrapText="1"/>
    </xf>
    <xf numFmtId="0" fontId="31" fillId="0" borderId="8" applyAlignment="1" pivotButton="0" quotePrefix="0" xfId="26">
      <alignment vertical="center" wrapText="1"/>
    </xf>
    <xf numFmtId="0" fontId="31" fillId="0" borderId="16" applyAlignment="1" pivotButton="0" quotePrefix="0" xfId="27">
      <alignment vertical="center" wrapText="1"/>
    </xf>
    <xf numFmtId="0" fontId="31" fillId="0" borderId="6" applyAlignment="1" pivotButton="0" quotePrefix="0" xfId="27">
      <alignment horizontal="left" vertical="center" wrapText="1"/>
    </xf>
    <xf numFmtId="0" fontId="31" fillId="0" borderId="8" applyAlignment="1" pivotButton="0" quotePrefix="0" xfId="27">
      <alignment horizontal="left" vertical="center" wrapText="1"/>
    </xf>
    <xf numFmtId="0" fontId="31" fillId="0" borderId="11" applyAlignment="1" pivotButton="0" quotePrefix="0" xfId="27">
      <alignment horizontal="left" vertical="center" wrapText="1"/>
    </xf>
    <xf numFmtId="0" fontId="31" fillId="0" borderId="100" applyAlignment="1" pivotButton="0" quotePrefix="0" xfId="27">
      <alignment horizontal="left" vertical="center" wrapText="1"/>
    </xf>
    <xf numFmtId="0" fontId="31" fillId="0" borderId="21" applyAlignment="1" pivotButton="0" quotePrefix="0" xfId="27">
      <alignment horizontal="left" vertical="center" wrapText="1"/>
    </xf>
    <xf numFmtId="0" fontId="31" fillId="0" borderId="15" applyAlignment="1" pivotButton="0" quotePrefix="0" xfId="27">
      <alignment horizontal="left" vertical="center" wrapText="1"/>
    </xf>
    <xf numFmtId="0" fontId="29" fillId="0" borderId="123" applyAlignment="1" pivotButton="0" quotePrefix="0" xfId="26">
      <alignment vertical="center"/>
    </xf>
    <xf numFmtId="0" fontId="29" fillId="0" borderId="3" applyAlignment="1" pivotButton="0" quotePrefix="0" xfId="27">
      <alignment vertical="center"/>
    </xf>
    <xf numFmtId="0" fontId="31" fillId="0" borderId="3" applyAlignment="1" pivotButton="0" quotePrefix="0" xfId="27">
      <alignment vertical="center"/>
    </xf>
    <xf numFmtId="0" fontId="29" fillId="0" borderId="124" applyAlignment="1" pivotButton="0" quotePrefix="0" xfId="27">
      <alignment horizontal="center" vertical="center"/>
    </xf>
    <xf numFmtId="0" fontId="29" fillId="0" borderId="125" applyAlignment="1" pivotButton="0" quotePrefix="0" xfId="27">
      <alignment horizontal="center" vertical="center"/>
    </xf>
    <xf numFmtId="0" fontId="33" fillId="5" borderId="0" applyAlignment="1" pivotButton="0" quotePrefix="0" xfId="18">
      <alignment horizontal="center" vertical="center"/>
    </xf>
    <xf numFmtId="0" fontId="85" fillId="0" borderId="0" applyAlignment="1" pivotButton="0" quotePrefix="0" xfId="23">
      <alignment horizontal="center" vertical="center"/>
    </xf>
    <xf numFmtId="38" fontId="42" fillId="17" borderId="41" applyAlignment="1" pivotButton="0" quotePrefix="0" xfId="19">
      <alignment vertical="center"/>
    </xf>
    <xf numFmtId="38" fontId="42" fillId="17" borderId="42" applyAlignment="1" pivotButton="0" quotePrefix="0" xfId="19">
      <alignment horizontal="center" vertical="center"/>
    </xf>
    <xf numFmtId="38" fontId="42" fillId="17" borderId="94" applyAlignment="1" pivotButton="0" quotePrefix="0" xfId="19">
      <alignment horizontal="center" vertical="center"/>
    </xf>
    <xf numFmtId="0" fontId="29" fillId="17" borderId="45" applyAlignment="1" pivotButton="0" quotePrefix="0" xfId="23">
      <alignment vertical="center"/>
    </xf>
    <xf numFmtId="0" fontId="29" fillId="17" borderId="103" applyAlignment="1" pivotButton="0" quotePrefix="0" xfId="23">
      <alignment horizontal="center" vertical="center"/>
    </xf>
    <xf numFmtId="38" fontId="29" fillId="17" borderId="113" applyAlignment="1" pivotButton="0" quotePrefix="0" xfId="23">
      <alignment horizontal="center" vertical="center"/>
    </xf>
    <xf numFmtId="0" fontId="29" fillId="0" borderId="11" applyAlignment="1" pivotButton="0" quotePrefix="0" xfId="27">
      <alignment horizontal="left" vertical="center" wrapText="1"/>
    </xf>
    <xf numFmtId="0" fontId="29" fillId="0" borderId="6" applyAlignment="1" pivotButton="0" quotePrefix="0" xfId="26">
      <alignment horizontal="center" vertical="center"/>
    </xf>
    <xf numFmtId="0" fontId="29" fillId="0" borderId="6" applyAlignment="1" pivotButton="0" quotePrefix="0" xfId="27">
      <alignment vertical="center" wrapText="1"/>
    </xf>
    <xf numFmtId="0" fontId="29" fillId="0" borderId="6" applyAlignment="1" pivotButton="0" quotePrefix="0" xfId="27">
      <alignment horizontal="left" vertical="center" wrapText="1"/>
    </xf>
    <xf numFmtId="38" fontId="29" fillId="17" borderId="6" applyAlignment="1" pivotButton="0" quotePrefix="0" xfId="28">
      <alignment horizontal="center" vertical="center"/>
    </xf>
    <xf numFmtId="38" fontId="29" fillId="0" borderId="75" applyAlignment="1" pivotButton="0" quotePrefix="0" xfId="28">
      <alignment horizontal="left" vertical="center"/>
    </xf>
    <xf numFmtId="0" fontId="29" fillId="0" borderId="8" applyAlignment="1" pivotButton="0" quotePrefix="0" xfId="26">
      <alignment horizontal="center" vertical="center"/>
    </xf>
    <xf numFmtId="0" fontId="29" fillId="0" borderId="8" applyAlignment="1" pivotButton="0" quotePrefix="0" xfId="27">
      <alignment vertical="center" wrapText="1"/>
    </xf>
    <xf numFmtId="0" fontId="29" fillId="0" borderId="8" applyAlignment="1" pivotButton="0" quotePrefix="0" xfId="27">
      <alignment horizontal="left" vertical="center" wrapText="1"/>
    </xf>
    <xf numFmtId="0" fontId="29" fillId="0" borderId="11" applyAlignment="1" pivotButton="0" quotePrefix="0" xfId="26">
      <alignment horizontal="center" vertical="center"/>
    </xf>
    <xf numFmtId="0" fontId="29" fillId="0" borderId="11" applyAlignment="1" pivotButton="0" quotePrefix="0" xfId="27">
      <alignment vertical="center" wrapText="1"/>
    </xf>
    <xf numFmtId="38" fontId="29" fillId="17" borderId="23" applyAlignment="1" pivotButton="0" quotePrefix="0" xfId="28">
      <alignment horizontal="center" vertical="center"/>
    </xf>
    <xf numFmtId="38" fontId="29" fillId="0" borderId="76" applyAlignment="1" pivotButton="0" quotePrefix="0" xfId="28">
      <alignment horizontal="left" vertical="center"/>
    </xf>
    <xf numFmtId="0" fontId="29" fillId="0" borderId="4" applyAlignment="1" pivotButton="0" quotePrefix="0" xfId="27">
      <alignment vertical="center" wrapText="1"/>
    </xf>
    <xf numFmtId="0" fontId="29" fillId="0" borderId="16" applyAlignment="1" pivotButton="0" quotePrefix="0" xfId="27">
      <alignment vertical="center" wrapText="1"/>
    </xf>
    <xf numFmtId="0" fontId="29" fillId="0" borderId="13" applyAlignment="1" pivotButton="0" quotePrefix="0" xfId="27">
      <alignment vertical="center" wrapText="1"/>
    </xf>
    <xf numFmtId="0" fontId="29" fillId="0" borderId="27" applyAlignment="1" pivotButton="0" quotePrefix="0" xfId="27">
      <alignment horizontal="center" vertical="center"/>
    </xf>
    <xf numFmtId="0" fontId="29" fillId="0" borderId="28" applyAlignment="1" applyProtection="1" pivotButton="0" quotePrefix="0" xfId="27">
      <alignment horizontal="left" vertical="center"/>
      <protection locked="0" hidden="0"/>
    </xf>
    <xf numFmtId="0" fontId="29" fillId="0" borderId="29" applyAlignment="1" applyProtection="1" pivotButton="0" quotePrefix="0" xfId="27">
      <alignment horizontal="left" vertical="center"/>
      <protection locked="0" hidden="0"/>
    </xf>
    <xf numFmtId="0" fontId="29" fillId="0" borderId="30" applyAlignment="1" pivotButton="0" quotePrefix="0" xfId="27">
      <alignment horizontal="left" vertical="center"/>
    </xf>
    <xf numFmtId="0" fontId="29" fillId="0" borderId="32" applyAlignment="1" applyProtection="1" pivotButton="0" quotePrefix="0" xfId="27">
      <alignment horizontal="left" vertical="center"/>
      <protection locked="0" hidden="0"/>
    </xf>
    <xf numFmtId="38" fontId="29" fillId="0" borderId="29" applyAlignment="1" applyProtection="1" pivotButton="0" quotePrefix="0" xfId="28">
      <alignment horizontal="left" vertical="center"/>
      <protection locked="0" hidden="0"/>
    </xf>
    <xf numFmtId="38" fontId="29" fillId="0" borderId="30" applyAlignment="1" pivotButton="0" quotePrefix="0" xfId="28">
      <alignment horizontal="left" vertical="center"/>
    </xf>
    <xf numFmtId="166" fontId="29" fillId="0" borderId="31" applyAlignment="1" pivotButton="0" quotePrefix="0" xfId="28">
      <alignment horizontal="left" vertical="center"/>
    </xf>
    <xf numFmtId="40" fontId="29" fillId="0" borderId="30" applyAlignment="1" pivotButton="0" quotePrefix="0" xfId="28">
      <alignment horizontal="left" vertical="center"/>
    </xf>
    <xf numFmtId="40" fontId="29" fillId="0" borderId="28" applyAlignment="1" pivotButton="0" quotePrefix="0" xfId="28">
      <alignment horizontal="left" vertical="center"/>
    </xf>
    <xf numFmtId="38" fontId="29" fillId="0" borderId="27" applyAlignment="1" pivotButton="0" quotePrefix="0" xfId="28">
      <alignment horizontal="left" vertical="center"/>
    </xf>
    <xf numFmtId="0" fontId="29" fillId="0" borderId="34" applyAlignment="1" applyProtection="1" pivotButton="0" quotePrefix="0" xfId="28">
      <alignment horizontal="left" vertical="center"/>
      <protection locked="0" hidden="0"/>
    </xf>
    <xf numFmtId="38" fontId="29" fillId="0" borderId="34" applyAlignment="1" pivotButton="0" quotePrefix="0" xfId="28">
      <alignment horizontal="left" vertical="center"/>
    </xf>
    <xf numFmtId="38" fontId="29" fillId="0" borderId="29" applyAlignment="1" pivotButton="0" quotePrefix="0" xfId="28">
      <alignment horizontal="left" vertical="center"/>
    </xf>
    <xf numFmtId="38" fontId="29" fillId="0" borderId="29" applyAlignment="1" pivotButton="0" quotePrefix="0" xfId="28">
      <alignment horizontal="left" vertical="center" wrapText="1"/>
    </xf>
    <xf numFmtId="38" fontId="29" fillId="0" borderId="30" applyAlignment="1" pivotButton="0" quotePrefix="0" xfId="28">
      <alignment horizontal="left" vertical="center" wrapText="1"/>
    </xf>
    <xf numFmtId="168" fontId="29" fillId="0" borderId="29" applyAlignment="1" pivotButton="0" quotePrefix="0" xfId="28">
      <alignment horizontal="left" vertical="center"/>
    </xf>
    <xf numFmtId="168" fontId="29" fillId="0" borderId="30" applyAlignment="1" pivotButton="0" quotePrefix="0" xfId="28">
      <alignment horizontal="left" vertical="center"/>
    </xf>
    <xf numFmtId="38" fontId="29" fillId="0" borderId="35" applyAlignment="1" applyProtection="1" pivotButton="0" quotePrefix="0" xfId="28">
      <alignment horizontal="left" vertical="center"/>
      <protection locked="0" hidden="0"/>
    </xf>
    <xf numFmtId="38" fontId="29" fillId="0" borderId="28" applyAlignment="1" pivotButton="0" quotePrefix="0" xfId="28">
      <alignment horizontal="left" vertical="center"/>
    </xf>
    <xf numFmtId="38" fontId="29" fillId="0" borderId="29" applyAlignment="1" applyProtection="1" pivotButton="0" quotePrefix="0" xfId="28">
      <alignment horizontal="left" vertical="center" wrapText="1"/>
      <protection locked="0" hidden="0"/>
    </xf>
    <xf numFmtId="38" fontId="29" fillId="0" borderId="30" applyAlignment="1" applyProtection="1" pivotButton="0" quotePrefix="0" xfId="28">
      <alignment horizontal="left" vertical="center"/>
      <protection locked="0" hidden="0"/>
    </xf>
    <xf numFmtId="38" fontId="29" fillId="0" borderId="35" applyAlignment="1" pivotButton="0" quotePrefix="0" xfId="28">
      <alignment horizontal="left" vertical="center"/>
    </xf>
    <xf numFmtId="0" fontId="31" fillId="0" borderId="46" applyAlignment="1" pivotButton="0" quotePrefix="0" xfId="17">
      <alignment horizontal="left" vertical="center"/>
    </xf>
    <xf numFmtId="0" fontId="31" fillId="0" borderId="93" applyAlignment="1" pivotButton="0" quotePrefix="0" xfId="16">
      <alignment vertical="center"/>
    </xf>
    <xf numFmtId="0" fontId="45" fillId="0" borderId="93" applyAlignment="1" pivotButton="0" quotePrefix="0" xfId="16">
      <alignment vertical="center"/>
    </xf>
    <xf numFmtId="0" fontId="31" fillId="0" borderId="93" applyAlignment="1" pivotButton="0" quotePrefix="0" xfId="0">
      <alignment horizontal="left" vertical="center"/>
    </xf>
    <xf numFmtId="0" fontId="31" fillId="0" borderId="93" applyAlignment="1" pivotButton="0" quotePrefix="0" xfId="0">
      <alignment horizontal="center" vertical="center"/>
    </xf>
    <xf numFmtId="0" fontId="29" fillId="19" borderId="58" applyAlignment="1" pivotButton="0" quotePrefix="0" xfId="23">
      <alignment vertical="center"/>
    </xf>
    <xf numFmtId="0" fontId="29" fillId="19" borderId="59" applyAlignment="1" pivotButton="0" quotePrefix="0" xfId="23">
      <alignment horizontal="center" vertical="center"/>
    </xf>
    <xf numFmtId="0" fontId="29" fillId="19" borderId="74" applyAlignment="1" pivotButton="0" quotePrefix="0" xfId="23">
      <alignment horizontal="center" vertical="center"/>
    </xf>
    <xf numFmtId="38" fontId="42" fillId="19" borderId="77" applyAlignment="1" pivotButton="0" quotePrefix="0" xfId="19">
      <alignment horizontal="center" vertical="center"/>
    </xf>
    <xf numFmtId="0" fontId="29" fillId="19" borderId="45" applyAlignment="1" pivotButton="0" quotePrefix="0" xfId="23">
      <alignment vertical="center"/>
    </xf>
    <xf numFmtId="0" fontId="29" fillId="19" borderId="46" applyAlignment="1" pivotButton="0" quotePrefix="0" xfId="23">
      <alignment horizontal="center" vertical="center"/>
    </xf>
    <xf numFmtId="0" fontId="29" fillId="19" borderId="70" applyAlignment="1" pivotButton="0" quotePrefix="0" xfId="23">
      <alignment horizontal="center" vertical="center"/>
    </xf>
    <xf numFmtId="38" fontId="42" fillId="19" borderId="71" applyAlignment="1" pivotButton="0" quotePrefix="0" xfId="19">
      <alignment horizontal="center" vertical="center"/>
    </xf>
    <xf numFmtId="0" fontId="29" fillId="19" borderId="56" applyAlignment="1" pivotButton="0" quotePrefix="0" xfId="23">
      <alignment vertical="center"/>
    </xf>
    <xf numFmtId="10" fontId="29" fillId="19" borderId="57" applyAlignment="1" pivotButton="0" quotePrefix="0" xfId="23">
      <alignment horizontal="center" vertical="center"/>
    </xf>
    <xf numFmtId="10" fontId="29" fillId="19" borderId="72" applyAlignment="1" pivotButton="0" quotePrefix="0" xfId="23">
      <alignment horizontal="center" vertical="center"/>
    </xf>
    <xf numFmtId="10" fontId="29" fillId="19" borderId="76" applyAlignment="1" pivotButton="0" quotePrefix="0" xfId="23">
      <alignment horizontal="center" vertical="center"/>
    </xf>
    <xf numFmtId="0" fontId="29" fillId="19" borderId="57" applyAlignment="1" pivotButton="0" quotePrefix="0" xfId="23">
      <alignment horizontal="center" vertical="center"/>
    </xf>
    <xf numFmtId="0" fontId="29" fillId="19" borderId="72" applyAlignment="1" pivotButton="0" quotePrefix="0" xfId="23">
      <alignment horizontal="center" vertical="center"/>
    </xf>
    <xf numFmtId="0" fontId="29" fillId="19" borderId="36" applyAlignment="1" pivotButton="0" quotePrefix="0" xfId="23">
      <alignment vertical="center"/>
    </xf>
    <xf numFmtId="38" fontId="7" fillId="19" borderId="36" applyAlignment="1" pivotButton="0" quotePrefix="0" xfId="8">
      <alignment horizontal="center" vertical="center"/>
    </xf>
    <xf numFmtId="38" fontId="8" fillId="19" borderId="36" applyAlignment="1" pivotButton="0" quotePrefix="0" xfId="8">
      <alignment vertical="center"/>
    </xf>
    <xf numFmtId="38" fontId="43" fillId="19" borderId="36" applyAlignment="1" pivotButton="0" quotePrefix="0" xfId="19">
      <alignment horizontal="center" vertical="center"/>
    </xf>
    <xf numFmtId="38" fontId="8" fillId="19" borderId="36" applyAlignment="1" pivotButton="0" quotePrefix="0" xfId="1">
      <alignment horizontal="right" vertical="center"/>
    </xf>
    <xf numFmtId="38" fontId="3" fillId="19" borderId="36" applyAlignment="1" pivotButton="0" quotePrefix="0" xfId="1">
      <alignment horizontal="right" vertical="center"/>
    </xf>
    <xf numFmtId="38" fontId="3" fillId="19" borderId="36" applyAlignment="1" pivotButton="0" quotePrefix="0" xfId="1">
      <alignment vertical="center"/>
    </xf>
    <xf numFmtId="38" fontId="3" fillId="19" borderId="36" applyAlignment="1" pivotButton="0" quotePrefix="0" xfId="1">
      <alignment horizontal="center" vertical="center"/>
    </xf>
    <xf numFmtId="38" fontId="8" fillId="19" borderId="36" applyAlignment="1" pivotButton="0" quotePrefix="0" xfId="1">
      <alignment horizontal="center" vertical="center"/>
    </xf>
    <xf numFmtId="38" fontId="8" fillId="19" borderId="36" applyAlignment="1" pivotButton="0" quotePrefix="0" xfId="1">
      <alignment vertical="center"/>
    </xf>
    <xf numFmtId="38" fontId="7" fillId="19" borderId="37" applyAlignment="1" pivotButton="0" quotePrefix="0" xfId="8">
      <alignment horizontal="center" vertical="center"/>
    </xf>
    <xf numFmtId="38" fontId="3" fillId="19" borderId="36" applyAlignment="1" pivotButton="0" quotePrefix="0" xfId="8">
      <alignment horizontal="center" vertical="center"/>
    </xf>
    <xf numFmtId="0" fontId="29" fillId="0" borderId="52" applyAlignment="1" pivotButton="0" quotePrefix="0" xfId="23">
      <alignment vertical="center"/>
    </xf>
    <xf numFmtId="38" fontId="29" fillId="0" borderId="38" applyAlignment="1" pivotButton="0" quotePrefix="0" xfId="23">
      <alignment horizontal="center" vertical="center"/>
    </xf>
    <xf numFmtId="10" fontId="29" fillId="19" borderId="38" applyAlignment="1" pivotButton="0" quotePrefix="0" xfId="23">
      <alignment horizontal="center" vertical="center"/>
    </xf>
    <xf numFmtId="0" fontId="29" fillId="19" borderId="38" applyAlignment="1" pivotButton="0" quotePrefix="0" xfId="23">
      <alignment horizontal="center" vertical="center"/>
    </xf>
    <xf numFmtId="0" fontId="29" fillId="0" borderId="38" applyAlignment="1" pivotButton="0" quotePrefix="0" xfId="23">
      <alignment horizontal="center" vertical="center"/>
    </xf>
    <xf numFmtId="0" fontId="29" fillId="0" borderId="36" applyAlignment="1" pivotButton="0" quotePrefix="0" xfId="23">
      <alignment horizontal="center" vertical="center"/>
    </xf>
    <xf numFmtId="0" fontId="33" fillId="0" borderId="0" applyAlignment="1" pivotButton="0" quotePrefix="0" xfId="18">
      <alignment vertical="center"/>
    </xf>
    <xf numFmtId="0" fontId="33" fillId="0" borderId="78" applyAlignment="1" pivotButton="0" quotePrefix="0" xfId="18">
      <alignment vertical="center"/>
    </xf>
    <xf numFmtId="0" fontId="33" fillId="0" borderId="36" applyAlignment="1" pivotButton="0" quotePrefix="0" xfId="18">
      <alignment horizontal="center" vertical="center"/>
    </xf>
    <xf numFmtId="0" fontId="33" fillId="0" borderId="8" applyAlignment="1" pivotButton="0" quotePrefix="0" xfId="18">
      <alignment vertical="center"/>
    </xf>
    <xf numFmtId="0" fontId="33" fillId="0" borderId="21" applyAlignment="1" pivotButton="0" quotePrefix="0" xfId="18">
      <alignment vertical="center"/>
    </xf>
    <xf numFmtId="0" fontId="33" fillId="0" borderId="129" applyAlignment="1" pivotButton="0" quotePrefix="0" xfId="18">
      <alignment vertical="center"/>
    </xf>
    <xf numFmtId="38" fontId="33" fillId="0" borderId="130" applyAlignment="1" pivotButton="0" quotePrefix="0" xfId="18">
      <alignment vertical="center"/>
    </xf>
    <xf numFmtId="10" fontId="33" fillId="0" borderId="38" applyAlignment="1" pivotButton="0" quotePrefix="0" xfId="20">
      <alignment vertical="center"/>
    </xf>
    <xf numFmtId="38" fontId="33" fillId="0" borderId="15" applyAlignment="1" pivotButton="0" quotePrefix="0" xfId="18">
      <alignment vertical="center"/>
    </xf>
    <xf numFmtId="0" fontId="33" fillId="0" borderId="130" applyAlignment="1" pivotButton="0" quotePrefix="0" xfId="18">
      <alignment vertical="center"/>
    </xf>
    <xf numFmtId="0" fontId="33" fillId="0" borderId="15" applyAlignment="1" pivotButton="0" quotePrefix="0" xfId="18">
      <alignment vertical="center"/>
    </xf>
    <xf numFmtId="0" fontId="33" fillId="0" borderId="16" applyAlignment="1" pivotButton="0" quotePrefix="0" xfId="18">
      <alignment vertical="center"/>
    </xf>
    <xf numFmtId="38" fontId="31" fillId="0" borderId="130" applyAlignment="1" pivotButton="0" quotePrefix="0" xfId="19">
      <alignment vertical="center"/>
    </xf>
    <xf numFmtId="38" fontId="31" fillId="0" borderId="8" applyAlignment="1" pivotButton="0" quotePrefix="0" xfId="19">
      <alignment vertical="center"/>
    </xf>
    <xf numFmtId="38" fontId="31" fillId="0" borderId="129" applyAlignment="1" pivotButton="0" quotePrefix="0" xfId="19">
      <alignment vertical="center"/>
    </xf>
    <xf numFmtId="38" fontId="31" fillId="0" borderId="15" applyAlignment="1" pivotButton="0" quotePrefix="0" xfId="16">
      <alignment vertical="center"/>
    </xf>
    <xf numFmtId="10" fontId="31" fillId="0" borderId="16" applyAlignment="1" pivotButton="0" quotePrefix="0" xfId="20">
      <alignment vertical="center"/>
    </xf>
    <xf numFmtId="38" fontId="31" fillId="0" borderId="8" applyAlignment="1" pivotButton="0" quotePrefix="0" xfId="19">
      <alignment horizontal="right" vertical="center"/>
    </xf>
    <xf numFmtId="38" fontId="31" fillId="0" borderId="129" applyAlignment="1" pivotButton="0" quotePrefix="0" xfId="19">
      <alignment horizontal="right" vertical="center"/>
    </xf>
    <xf numFmtId="38" fontId="31" fillId="0" borderId="16" applyAlignment="1" pivotButton="0" quotePrefix="0" xfId="19">
      <alignment vertical="center"/>
    </xf>
    <xf numFmtId="10" fontId="31" fillId="0" borderId="38" applyAlignment="1" pivotButton="0" quotePrefix="0" xfId="20">
      <alignment vertical="center"/>
    </xf>
    <xf numFmtId="0" fontId="38" fillId="0" borderId="130" applyAlignment="1" pivotButton="0" quotePrefix="0" xfId="18">
      <alignment vertical="center"/>
    </xf>
    <xf numFmtId="0" fontId="38" fillId="0" borderId="129" applyAlignment="1" pivotButton="0" quotePrefix="0" xfId="18">
      <alignment vertical="center"/>
    </xf>
    <xf numFmtId="0" fontId="15" fillId="0" borderId="130" applyAlignment="1" pivotButton="0" quotePrefix="0" xfId="16">
      <alignment vertical="center"/>
    </xf>
    <xf numFmtId="0" fontId="15" fillId="0" borderId="129" applyAlignment="1" pivotButton="0" quotePrefix="0" xfId="16">
      <alignment vertical="center"/>
    </xf>
    <xf numFmtId="10" fontId="15" fillId="0" borderId="38" applyAlignment="1" pivotButton="0" quotePrefix="0" xfId="20">
      <alignment vertical="center"/>
    </xf>
    <xf numFmtId="0" fontId="33" fillId="16" borderId="78" applyAlignment="1" pivotButton="0" quotePrefix="0" xfId="18">
      <alignment horizontal="center" vertical="center"/>
    </xf>
    <xf numFmtId="38" fontId="29" fillId="0" borderId="83" applyAlignment="1" pivotButton="0" quotePrefix="0" xfId="19">
      <alignment horizontal="center" vertical="center"/>
    </xf>
    <xf numFmtId="10" fontId="33" fillId="17" borderId="99" applyAlignment="1" pivotButton="0" quotePrefix="0" xfId="20">
      <alignment horizontal="center" vertical="center"/>
    </xf>
    <xf numFmtId="38" fontId="31" fillId="0" borderId="87" applyAlignment="1" pivotButton="0" quotePrefix="0" xfId="19">
      <alignment horizontal="center" vertical="center"/>
    </xf>
    <xf numFmtId="38" fontId="31" fillId="0" borderId="46" applyAlignment="1" pivotButton="0" quotePrefix="0" xfId="19">
      <alignment horizontal="center" vertical="center"/>
    </xf>
    <xf numFmtId="38" fontId="31" fillId="0" borderId="83" applyAlignment="1" pivotButton="0" quotePrefix="0" xfId="19">
      <alignment horizontal="center" vertical="center"/>
    </xf>
    <xf numFmtId="10" fontId="31" fillId="17" borderId="97" applyAlignment="1" pivotButton="0" quotePrefix="0" xfId="20">
      <alignment horizontal="center" vertical="center"/>
    </xf>
    <xf numFmtId="10" fontId="31" fillId="17" borderId="93" applyAlignment="1" pivotButton="0" quotePrefix="0" xfId="20">
      <alignment horizontal="center" vertical="center"/>
    </xf>
    <xf numFmtId="38" fontId="31" fillId="0" borderId="93" applyAlignment="1" pivotButton="0" quotePrefix="0" xfId="19">
      <alignment horizontal="center" vertical="center"/>
    </xf>
    <xf numFmtId="10" fontId="31" fillId="17" borderId="99" applyAlignment="1" pivotButton="0" quotePrefix="0" xfId="20">
      <alignment horizontal="center" vertical="center"/>
    </xf>
    <xf numFmtId="10" fontId="31" fillId="17" borderId="95" applyAlignment="1" pivotButton="0" quotePrefix="0" xfId="20">
      <alignment horizontal="center" vertical="center"/>
    </xf>
    <xf numFmtId="10" fontId="15" fillId="4" borderId="99" applyAlignment="1" pivotButton="0" quotePrefix="0" xfId="20">
      <alignment horizontal="center" vertical="center"/>
    </xf>
    <xf numFmtId="38" fontId="42" fillId="17" borderId="64" applyAlignment="1" pivotButton="0" quotePrefix="0" xfId="19">
      <alignment horizontal="center" vertical="center"/>
    </xf>
    <xf numFmtId="38" fontId="42" fillId="17" borderId="65" applyAlignment="1" pivotButton="0" quotePrefix="0" xfId="19">
      <alignment horizontal="center" vertical="center"/>
    </xf>
    <xf numFmtId="0" fontId="0" fillId="0" borderId="0" applyAlignment="1" pivotButton="0" quotePrefix="0" xfId="0">
      <alignment horizontal="center" vertical="center"/>
    </xf>
    <xf numFmtId="169" fontId="33" fillId="0" borderId="87" applyAlignment="1" pivotButton="0" quotePrefix="0" xfId="31">
      <alignment horizontal="center" vertical="center"/>
    </xf>
    <xf numFmtId="169" fontId="33" fillId="0" borderId="93" applyAlignment="1" pivotButton="0" quotePrefix="0" xfId="31">
      <alignment horizontal="center" vertical="center"/>
    </xf>
    <xf numFmtId="169" fontId="33" fillId="0" borderId="81" applyAlignment="1" pivotButton="0" quotePrefix="0" xfId="31">
      <alignment horizontal="center" vertical="center"/>
    </xf>
    <xf numFmtId="169" fontId="33" fillId="0" borderId="91" applyAlignment="1" pivotButton="0" quotePrefix="0" xfId="31">
      <alignment horizontal="center" vertical="center"/>
    </xf>
    <xf numFmtId="9" fontId="45" fillId="0" borderId="36" applyAlignment="1" pivotButton="0" quotePrefix="0" xfId="30">
      <alignment horizontal="center" vertical="center"/>
    </xf>
    <xf numFmtId="9" fontId="45" fillId="0" borderId="36" applyAlignment="1" pivotButton="0" quotePrefix="0" xfId="25">
      <alignment horizontal="center" vertical="center"/>
    </xf>
    <xf numFmtId="9" fontId="42" fillId="0" borderId="36" applyAlignment="1" pivotButton="0" quotePrefix="0" xfId="25">
      <alignment horizontal="center" vertical="center"/>
    </xf>
    <xf numFmtId="169" fontId="29" fillId="0" borderId="46" applyAlignment="1" pivotButton="0" quotePrefix="0" xfId="31">
      <alignment horizontal="center" vertical="center"/>
    </xf>
    <xf numFmtId="169" fontId="33" fillId="0" borderId="81" applyAlignment="1" pivotButton="0" quotePrefix="0" xfId="31">
      <alignment vertical="center"/>
    </xf>
    <xf numFmtId="169" fontId="33" fillId="0" borderId="46" applyAlignment="1" pivotButton="0" quotePrefix="0" xfId="31">
      <alignment vertical="center"/>
    </xf>
    <xf numFmtId="169" fontId="33" fillId="0" borderId="25" applyAlignment="1" pivotButton="0" quotePrefix="0" xfId="31">
      <alignment vertical="center"/>
    </xf>
    <xf numFmtId="169" fontId="29" fillId="0" borderId="81" applyAlignment="1" pivotButton="0" quotePrefix="0" xfId="31">
      <alignment horizontal="center" vertical="center"/>
    </xf>
    <xf numFmtId="169" fontId="33" fillId="0" borderId="91" applyAlignment="1" pivotButton="0" quotePrefix="0" xfId="31">
      <alignment vertical="center"/>
    </xf>
    <xf numFmtId="169" fontId="33" fillId="0" borderId="111" applyAlignment="1" pivotButton="0" quotePrefix="0" xfId="31">
      <alignment vertical="center"/>
    </xf>
    <xf numFmtId="169" fontId="33" fillId="0" borderId="87" applyAlignment="1" pivotButton="0" quotePrefix="0" xfId="31">
      <alignment vertical="center"/>
    </xf>
    <xf numFmtId="169" fontId="33" fillId="0" borderId="102" applyAlignment="1" pivotButton="0" quotePrefix="0" xfId="31">
      <alignment vertical="center"/>
    </xf>
    <xf numFmtId="169" fontId="33" fillId="0" borderId="93" applyAlignment="1" pivotButton="0" quotePrefix="0" xfId="31">
      <alignment vertical="center"/>
    </xf>
    <xf numFmtId="169" fontId="33" fillId="0" borderId="109" applyAlignment="1" pivotButton="0" quotePrefix="0" xfId="31">
      <alignment vertical="center"/>
    </xf>
    <xf numFmtId="169" fontId="33" fillId="0" borderId="83" applyAlignment="1" pivotButton="0" quotePrefix="0" xfId="31">
      <alignment horizontal="center" vertical="center"/>
    </xf>
    <xf numFmtId="169" fontId="33" fillId="0" borderId="83" applyAlignment="1" pivotButton="0" quotePrefix="0" xfId="31">
      <alignment vertical="center"/>
    </xf>
    <xf numFmtId="169" fontId="33" fillId="0" borderId="104" applyAlignment="1" pivotButton="0" quotePrefix="0" xfId="31">
      <alignment vertical="center"/>
    </xf>
    <xf numFmtId="169" fontId="29" fillId="0" borderId="94" applyAlignment="1" pivotButton="0" quotePrefix="0" xfId="31">
      <alignment horizontal="center" vertical="center"/>
    </xf>
    <xf numFmtId="169" fontId="29" fillId="0" borderId="92" applyAlignment="1" pivotButton="0" quotePrefix="0" xfId="31">
      <alignment horizontal="center" vertical="center"/>
    </xf>
    <xf numFmtId="169" fontId="33" fillId="0" borderId="92" applyAlignment="1" pivotButton="0" quotePrefix="0" xfId="31">
      <alignment vertical="center"/>
    </xf>
    <xf numFmtId="169" fontId="29" fillId="0" borderId="83" applyAlignment="1" pivotButton="0" quotePrefix="0" xfId="31">
      <alignment horizontal="center" vertical="center"/>
    </xf>
    <xf numFmtId="169" fontId="29" fillId="0" borderId="91" applyAlignment="1" pivotButton="0" quotePrefix="0" xfId="31">
      <alignment horizontal="center" vertical="center"/>
    </xf>
    <xf numFmtId="169" fontId="33" fillId="0" borderId="82" applyAlignment="1" pivotButton="0" quotePrefix="0" xfId="31">
      <alignment horizontal="center" vertical="center"/>
    </xf>
    <xf numFmtId="169" fontId="33" fillId="0" borderId="82" applyAlignment="1" pivotButton="0" quotePrefix="0" xfId="31">
      <alignment vertical="center"/>
    </xf>
    <xf numFmtId="164" fontId="42" fillId="0" borderId="36" applyAlignment="1" pivotButton="0" quotePrefix="0" xfId="23">
      <alignment horizontal="center" vertical="center"/>
    </xf>
    <xf numFmtId="167" fontId="29" fillId="0" borderId="36" applyAlignment="1" pivotButton="0" quotePrefix="0" xfId="31">
      <alignment horizontal="center" vertical="center"/>
    </xf>
    <xf numFmtId="10" fontId="45" fillId="0" borderId="36" applyAlignment="1" pivotButton="0" quotePrefix="0" xfId="25">
      <alignment horizontal="center" vertical="center"/>
    </xf>
    <xf numFmtId="169" fontId="33" fillId="0" borderId="46" applyAlignment="1" pivotButton="0" quotePrefix="0" xfId="31">
      <alignment horizontal="center" vertical="center"/>
    </xf>
    <xf numFmtId="169" fontId="33" fillId="0" borderId="92" applyAlignment="1" pivotButton="0" quotePrefix="0" xfId="31">
      <alignment horizontal="center" vertical="center"/>
    </xf>
    <xf numFmtId="38" fontId="31" fillId="0" borderId="92" applyAlignment="1" pivotButton="0" quotePrefix="0" xfId="19">
      <alignment horizontal="center" vertical="center"/>
    </xf>
    <xf numFmtId="10" fontId="45" fillId="0" borderId="36" applyAlignment="1" pivotButton="0" quotePrefix="0" xfId="30">
      <alignment horizontal="center" vertical="center"/>
    </xf>
    <xf numFmtId="0" fontId="29" fillId="0" borderId="59" applyAlignment="1" pivotButton="0" quotePrefix="0" xfId="23">
      <alignment horizontal="center" vertical="center"/>
    </xf>
    <xf numFmtId="9" fontId="31" fillId="0" borderId="36" applyAlignment="1" pivotButton="0" quotePrefix="0" xfId="30">
      <alignment horizontal="center" vertical="center"/>
    </xf>
    <xf numFmtId="0" fontId="23" fillId="0" borderId="87" applyAlignment="1" pivotButton="0" quotePrefix="0" xfId="18">
      <alignment horizontal="center" vertical="center"/>
    </xf>
    <xf numFmtId="0" fontId="33" fillId="14" borderId="87" applyAlignment="1" pivotButton="0" quotePrefix="0" xfId="18">
      <alignment horizontal="center" vertical="center"/>
    </xf>
    <xf numFmtId="0" fontId="33" fillId="14" borderId="46" applyAlignment="1" pivotButton="0" quotePrefix="0" xfId="18">
      <alignment horizontal="center" vertical="center"/>
    </xf>
    <xf numFmtId="0" fontId="33" fillId="0" borderId="85" applyAlignment="1" pivotButton="0" quotePrefix="0" xfId="18">
      <alignment vertical="center"/>
    </xf>
    <xf numFmtId="0" fontId="31" fillId="0" borderId="85" applyAlignment="1" pivotButton="0" quotePrefix="0" xfId="18">
      <alignment vertical="center"/>
    </xf>
    <xf numFmtId="0" fontId="33" fillId="0" borderId="85" applyAlignment="1" pivotButton="0" quotePrefix="0" xfId="18">
      <alignment horizontal="center" vertical="center"/>
    </xf>
    <xf numFmtId="0" fontId="15" fillId="14" borderId="85" applyAlignment="1" pivotButton="0" quotePrefix="0" xfId="16">
      <alignment horizontal="center" vertical="center"/>
    </xf>
    <xf numFmtId="0" fontId="33" fillId="14" borderId="96" applyAlignment="1" pivotButton="0" quotePrefix="0" xfId="18">
      <alignment horizontal="center" vertical="center"/>
    </xf>
    <xf numFmtId="0" fontId="38" fillId="14" borderId="85" applyAlignment="1" pivotButton="0" quotePrefix="0" xfId="18">
      <alignment horizontal="center" vertical="center"/>
    </xf>
    <xf numFmtId="0" fontId="45" fillId="0" borderId="95" applyAlignment="1" pivotButton="0" quotePrefix="0" xfId="0">
      <alignment vertical="center"/>
    </xf>
    <xf numFmtId="0" fontId="33" fillId="0" borderId="95" applyAlignment="1" pivotButton="0" quotePrefix="0" xfId="18">
      <alignment horizontal="center" vertical="center"/>
    </xf>
    <xf numFmtId="0" fontId="33" fillId="0" borderId="46" applyAlignment="1" pivotButton="0" quotePrefix="0" xfId="18">
      <alignment vertical="center"/>
    </xf>
    <xf numFmtId="0" fontId="33" fillId="0" borderId="46" applyAlignment="1" pivotButton="0" quotePrefix="0" xfId="18">
      <alignment horizontal="center" vertical="center"/>
    </xf>
    <xf numFmtId="0" fontId="31" fillId="0" borderId="92" applyAlignment="1" pivotButton="0" quotePrefix="0" xfId="16">
      <alignment vertical="center"/>
    </xf>
    <xf numFmtId="0" fontId="45" fillId="0" borderId="92" applyAlignment="1" pivotButton="0" quotePrefix="0" xfId="16">
      <alignment vertical="center"/>
    </xf>
    <xf numFmtId="38" fontId="39" fillId="0" borderId="92" applyAlignment="1" pivotButton="0" quotePrefix="0" xfId="19">
      <alignment horizontal="left" vertical="center" wrapText="1"/>
    </xf>
    <xf numFmtId="0" fontId="23" fillId="0" borderId="92" applyAlignment="1" pivotButton="0" quotePrefix="0" xfId="18">
      <alignment horizontal="center" vertical="center"/>
    </xf>
    <xf numFmtId="0" fontId="33" fillId="14" borderId="92" applyAlignment="1" pivotButton="0" quotePrefix="0" xfId="18">
      <alignment horizontal="center" vertical="center"/>
    </xf>
    <xf numFmtId="169" fontId="33" fillId="0" borderId="133" applyAlignment="1" pivotButton="0" quotePrefix="0" xfId="31">
      <alignment vertical="center"/>
    </xf>
    <xf numFmtId="0" fontId="33" fillId="14" borderId="134" applyAlignment="1" pivotButton="0" quotePrefix="0" xfId="18">
      <alignment vertical="center"/>
    </xf>
    <xf numFmtId="0" fontId="33" fillId="14" borderId="96" applyAlignment="1" pivotButton="0" quotePrefix="0" xfId="18">
      <alignment vertical="center"/>
    </xf>
    <xf numFmtId="0" fontId="31" fillId="14" borderId="96" applyAlignment="1" pivotButton="0" quotePrefix="0" xfId="18">
      <alignment vertical="center"/>
    </xf>
    <xf numFmtId="0" fontId="33" fillId="17" borderId="96" applyAlignment="1" pivotButton="0" quotePrefix="0" xfId="18">
      <alignment vertical="center"/>
    </xf>
    <xf numFmtId="0" fontId="33" fillId="17" borderId="86" applyAlignment="1" pivotButton="0" quotePrefix="0" xfId="18">
      <alignment horizontal="center" vertical="center"/>
    </xf>
    <xf numFmtId="0" fontId="33" fillId="0" borderId="61" applyAlignment="1" pivotButton="0" quotePrefix="0" xfId="18">
      <alignment vertical="center"/>
    </xf>
    <xf numFmtId="0" fontId="15" fillId="14" borderId="134" applyAlignment="1" pivotButton="0" quotePrefix="0" xfId="16">
      <alignment vertical="center"/>
    </xf>
    <xf numFmtId="0" fontId="15" fillId="14" borderId="96" applyAlignment="1" pivotButton="0" quotePrefix="0" xfId="16">
      <alignment vertical="center"/>
    </xf>
    <xf numFmtId="0" fontId="15" fillId="4" borderId="96" applyAlignment="1" pivotButton="0" quotePrefix="0" xfId="16">
      <alignment vertical="center"/>
    </xf>
    <xf numFmtId="0" fontId="15" fillId="14" borderId="96" applyAlignment="1" pivotButton="0" quotePrefix="0" xfId="16">
      <alignment horizontal="center" vertical="center"/>
    </xf>
    <xf numFmtId="0" fontId="15" fillId="4" borderId="86" applyAlignment="1" pivotButton="0" quotePrefix="0" xfId="18">
      <alignment horizontal="center" vertical="center"/>
    </xf>
    <xf numFmtId="0" fontId="15" fillId="14" borderId="61" applyAlignment="1" pivotButton="0" quotePrefix="0" xfId="16">
      <alignment vertical="center"/>
    </xf>
    <xf numFmtId="0" fontId="38" fillId="14" borderId="134" applyAlignment="1" pivotButton="0" quotePrefix="0" xfId="18">
      <alignment vertical="center"/>
    </xf>
    <xf numFmtId="0" fontId="38" fillId="14" borderId="96" applyAlignment="1" pivotButton="0" quotePrefix="0" xfId="18">
      <alignment vertical="center"/>
    </xf>
    <xf numFmtId="0" fontId="38" fillId="17" borderId="96" applyAlignment="1" pivotButton="0" quotePrefix="0" xfId="18">
      <alignment vertical="center"/>
    </xf>
    <xf numFmtId="0" fontId="38" fillId="14" borderId="96" applyAlignment="1" pivotButton="0" quotePrefix="0" xfId="18">
      <alignment horizontal="center" vertical="center"/>
    </xf>
    <xf numFmtId="0" fontId="38" fillId="14" borderId="61" applyAlignment="1" pivotButton="0" quotePrefix="0" xfId="18">
      <alignment vertical="center"/>
    </xf>
    <xf numFmtId="0" fontId="29" fillId="0" borderId="46" applyAlignment="1" pivotButton="0" quotePrefix="0" xfId="23">
      <alignment horizontal="center" vertical="center"/>
    </xf>
    <xf numFmtId="0" fontId="33" fillId="0" borderId="37" applyAlignment="1" pivotButton="0" quotePrefix="0" xfId="18">
      <alignment horizontal="center" vertical="center"/>
    </xf>
    <xf numFmtId="0" fontId="33" fillId="20" borderId="36" applyAlignment="1" pivotButton="0" quotePrefix="0" xfId="18">
      <alignment horizontal="center" vertical="center"/>
    </xf>
    <xf numFmtId="0" fontId="33" fillId="15" borderId="37" applyAlignment="1" pivotButton="0" quotePrefix="0" xfId="18">
      <alignment horizontal="center" vertical="center"/>
    </xf>
    <xf numFmtId="38" fontId="33" fillId="17" borderId="90" applyAlignment="1" pivotButton="0" quotePrefix="0" xfId="18">
      <alignment horizontal="right" vertical="center"/>
    </xf>
    <xf numFmtId="38" fontId="33" fillId="17" borderId="102" applyAlignment="1" pivotButton="0" quotePrefix="0" xfId="18">
      <alignment horizontal="right" vertical="center"/>
    </xf>
    <xf numFmtId="38" fontId="33" fillId="17" borderId="90" applyAlignment="1" pivotButton="0" quotePrefix="0" xfId="1">
      <alignment horizontal="right" vertical="center"/>
    </xf>
    <xf numFmtId="10" fontId="33" fillId="17" borderId="95" applyAlignment="1" pivotButton="0" quotePrefix="0" xfId="20">
      <alignment horizontal="center" vertical="center"/>
    </xf>
    <xf numFmtId="38" fontId="31" fillId="17" borderId="87" applyAlignment="1" pivotButton="0" quotePrefix="0" xfId="16">
      <alignment horizontal="right" vertical="center"/>
    </xf>
    <xf numFmtId="38" fontId="31" fillId="17" borderId="90" applyAlignment="1" pivotButton="0" quotePrefix="0" xfId="16">
      <alignment horizontal="right" vertical="center"/>
    </xf>
    <xf numFmtId="38" fontId="31" fillId="17" borderId="94" applyAlignment="1" pivotButton="0" quotePrefix="0" xfId="16">
      <alignment horizontal="right" vertical="center"/>
    </xf>
    <xf numFmtId="38" fontId="33" fillId="17" borderId="86" applyAlignment="1" pivotButton="0" quotePrefix="0" xfId="1">
      <alignment horizontal="right" vertical="center"/>
    </xf>
    <xf numFmtId="0" fontId="33" fillId="17" borderId="86" applyAlignment="1" pivotButton="0" quotePrefix="0" xfId="18">
      <alignment horizontal="right" vertical="center"/>
    </xf>
    <xf numFmtId="0" fontId="15" fillId="4" borderId="86" applyAlignment="1" pivotButton="0" quotePrefix="0" xfId="16">
      <alignment horizontal="right" vertical="center"/>
    </xf>
    <xf numFmtId="0" fontId="15" fillId="4" borderId="135" applyAlignment="1" pivotButton="0" quotePrefix="0" xfId="16">
      <alignment horizontal="right" vertical="center"/>
    </xf>
    <xf numFmtId="0" fontId="29" fillId="0" borderId="4" applyAlignment="1" pivotButton="0" quotePrefix="0" xfId="27">
      <alignment horizontal="center" vertical="center" wrapText="1"/>
    </xf>
    <xf numFmtId="0" fontId="29" fillId="0" borderId="16" applyAlignment="1" pivotButton="0" quotePrefix="0" xfId="27">
      <alignment horizontal="center" vertical="center" wrapText="1"/>
    </xf>
    <xf numFmtId="0" fontId="29" fillId="0" borderId="13" applyAlignment="1" pivotButton="0" quotePrefix="0" xfId="27">
      <alignment horizontal="center" vertical="center" wrapText="1"/>
    </xf>
    <xf numFmtId="0" fontId="29" fillId="17" borderId="4" applyAlignment="1" pivotButton="0" quotePrefix="0" xfId="27">
      <alignment horizontal="center" vertical="center" wrapText="1"/>
    </xf>
    <xf numFmtId="0" fontId="29" fillId="17" borderId="13" applyAlignment="1" pivotButton="0" quotePrefix="0" xfId="27">
      <alignment horizontal="center" vertical="center" wrapText="1"/>
    </xf>
    <xf numFmtId="0" fontId="31" fillId="0" borderId="4" applyAlignment="1" pivotButton="0" quotePrefix="0" xfId="27">
      <alignment horizontal="left" vertical="center" wrapText="1"/>
    </xf>
    <xf numFmtId="0" fontId="31" fillId="0" borderId="13" applyAlignment="1" pivotButton="0" quotePrefix="0" xfId="27">
      <alignment horizontal="left" vertical="center" wrapText="1"/>
    </xf>
    <xf numFmtId="0" fontId="3" fillId="20" borderId="36" applyAlignment="1" pivotButton="0" quotePrefix="0" xfId="10">
      <alignment horizontal="center" vertical="center"/>
    </xf>
    <xf numFmtId="0" fontId="3" fillId="15" borderId="16" applyAlignment="1" pivotButton="0" quotePrefix="0" xfId="10">
      <alignment horizontal="center" vertical="center"/>
    </xf>
    <xf numFmtId="38" fontId="7" fillId="20" borderId="36" applyAlignment="1" pivotButton="0" quotePrefix="0" xfId="8">
      <alignment horizontal="center" vertical="center"/>
    </xf>
    <xf numFmtId="38" fontId="8" fillId="20" borderId="36" applyAlignment="1" pivotButton="0" quotePrefix="0" xfId="8">
      <alignment horizontal="center" vertical="center"/>
    </xf>
    <xf numFmtId="38" fontId="8" fillId="15" borderId="37" applyAlignment="1" pivotButton="0" quotePrefix="0" xfId="8">
      <alignment horizontal="center" vertical="center"/>
    </xf>
    <xf numFmtId="38" fontId="7" fillId="15" borderId="36" applyAlignment="1" pivotButton="0" quotePrefix="0" xfId="8">
      <alignment horizontal="center" vertical="center"/>
    </xf>
    <xf numFmtId="38" fontId="7" fillId="15" borderId="37" applyAlignment="1" pivotButton="0" quotePrefix="0" xfId="8">
      <alignment horizontal="center" vertical="center"/>
    </xf>
    <xf numFmtId="0" fontId="70" fillId="0" borderId="0" applyAlignment="1" pivotButton="0" quotePrefix="0" xfId="26">
      <alignment vertical="center"/>
    </xf>
    <xf numFmtId="0" fontId="4" fillId="0" borderId="0" applyAlignment="1" pivotButton="0" quotePrefix="0" xfId="12">
      <alignment vertical="center"/>
    </xf>
    <xf numFmtId="0" fontId="31" fillId="0" borderId="8" applyAlignment="1" pivotButton="0" quotePrefix="0" xfId="27">
      <alignment vertical="center" wrapText="1"/>
    </xf>
    <xf numFmtId="0" fontId="29" fillId="0" borderId="8" applyAlignment="1" applyProtection="1" pivotButton="0" quotePrefix="0" xfId="27">
      <alignment horizontal="center" vertical="center"/>
      <protection locked="0" hidden="0"/>
    </xf>
    <xf numFmtId="0" fontId="29" fillId="0" borderId="29" applyAlignment="1" applyProtection="1" pivotButton="0" quotePrefix="0" xfId="27">
      <alignment horizontal="center" vertical="center"/>
      <protection locked="0" hidden="0"/>
    </xf>
    <xf numFmtId="0" fontId="29" fillId="3" borderId="11" applyAlignment="1" pivotButton="0" quotePrefix="0" xfId="27">
      <alignment horizontal="center" vertical="center"/>
    </xf>
    <xf numFmtId="0" fontId="29" fillId="3" borderId="30" applyAlignment="1" pivotButton="0" quotePrefix="0" xfId="27">
      <alignment horizontal="center" vertical="center"/>
    </xf>
    <xf numFmtId="38" fontId="29" fillId="0" borderId="6" applyAlignment="1" applyProtection="1" pivotButton="0" quotePrefix="0" xfId="33">
      <alignment horizontal="center" vertical="center"/>
      <protection locked="0" hidden="0"/>
    </xf>
    <xf numFmtId="38" fontId="29" fillId="0" borderId="8" applyAlignment="1" applyProtection="1" pivotButton="0" quotePrefix="0" xfId="28">
      <alignment horizontal="center" vertical="center"/>
      <protection locked="0" hidden="0"/>
    </xf>
    <xf numFmtId="38" fontId="29" fillId="0" borderId="29" applyAlignment="1" applyProtection="1" pivotButton="0" quotePrefix="0" xfId="28">
      <alignment horizontal="center" vertical="center"/>
      <protection locked="0" hidden="0"/>
    </xf>
    <xf numFmtId="38" fontId="29" fillId="0" borderId="28" applyAlignment="1" applyProtection="1" pivotButton="0" quotePrefix="0" xfId="33">
      <alignment horizontal="center" vertical="center"/>
      <protection locked="0" hidden="0"/>
    </xf>
    <xf numFmtId="38" fontId="29" fillId="0" borderId="28" applyAlignment="1" applyProtection="1" pivotButton="0" quotePrefix="0" xfId="33">
      <alignment horizontal="left" vertical="center"/>
      <protection locked="0" hidden="0"/>
    </xf>
    <xf numFmtId="38" fontId="29" fillId="0" borderId="17" applyAlignment="1" applyProtection="1" pivotButton="0" quotePrefix="0" xfId="33">
      <alignment horizontal="center" vertical="center"/>
      <protection locked="0" hidden="0"/>
    </xf>
    <xf numFmtId="38" fontId="29" fillId="0" borderId="11" applyAlignment="1" applyProtection="1" pivotButton="0" quotePrefix="0" xfId="33">
      <alignment horizontal="center" vertical="center"/>
      <protection locked="0" hidden="0"/>
    </xf>
    <xf numFmtId="38" fontId="29" fillId="0" borderId="11" applyAlignment="1" applyProtection="1" pivotButton="0" quotePrefix="0" xfId="33">
      <alignment horizontal="center"/>
      <protection locked="0" hidden="0"/>
    </xf>
    <xf numFmtId="38" fontId="29" fillId="0" borderId="30" applyAlignment="1" applyProtection="1" pivotButton="0" quotePrefix="0" xfId="33">
      <alignment horizontal="center" vertical="center"/>
      <protection locked="0" hidden="0"/>
    </xf>
    <xf numFmtId="38" fontId="29" fillId="0" borderId="30" applyAlignment="1" applyProtection="1" pivotButton="0" quotePrefix="0" xfId="33">
      <alignment horizontal="left" vertical="center"/>
      <protection locked="0" hidden="0"/>
    </xf>
    <xf numFmtId="38" fontId="29" fillId="0" borderId="32" applyAlignment="1" pivotButton="0" quotePrefix="0" xfId="33">
      <alignment horizontal="left" vertical="center"/>
    </xf>
    <xf numFmtId="0" fontId="31" fillId="0" borderId="13" applyAlignment="1" pivotButton="0" quotePrefix="0" xfId="27">
      <alignment vertical="center" wrapText="1"/>
    </xf>
    <xf numFmtId="40" fontId="29" fillId="17" borderId="11" applyAlignment="1" pivotButton="0" quotePrefix="0" xfId="28">
      <alignment horizontal="center" vertical="center"/>
    </xf>
    <xf numFmtId="40" fontId="29" fillId="17" borderId="30" applyAlignment="1" pivotButton="0" quotePrefix="0" xfId="28">
      <alignment horizontal="center" vertical="center"/>
    </xf>
    <xf numFmtId="38" fontId="59" fillId="0" borderId="0" applyAlignment="1" pivotButton="0" quotePrefix="0" xfId="33">
      <alignment vertical="center"/>
    </xf>
    <xf numFmtId="40" fontId="29" fillId="17" borderId="6" applyAlignment="1" pivotButton="0" quotePrefix="0" xfId="28">
      <alignment horizontal="center" vertical="center"/>
    </xf>
    <xf numFmtId="40" fontId="29" fillId="17" borderId="28" applyAlignment="1" pivotButton="0" quotePrefix="0" xfId="28">
      <alignment horizontal="center" vertical="center"/>
    </xf>
    <xf numFmtId="0" fontId="31" fillId="0" borderId="16" applyAlignment="1" pivotButton="0" quotePrefix="0" xfId="27">
      <alignment horizontal="center" vertical="center" wrapText="1"/>
    </xf>
    <xf numFmtId="166" fontId="29" fillId="0" borderId="16" applyAlignment="1" pivotButton="0" quotePrefix="0" xfId="28">
      <alignment horizontal="center" vertical="center"/>
    </xf>
    <xf numFmtId="166" fontId="29" fillId="0" borderId="31" applyAlignment="1" pivotButton="0" quotePrefix="0" xfId="28">
      <alignment horizontal="center" vertical="center"/>
    </xf>
    <xf numFmtId="38" fontId="60" fillId="0" borderId="0" applyAlignment="1" pivotButton="0" quotePrefix="0" xfId="33">
      <alignment vertical="center"/>
    </xf>
    <xf numFmtId="9" fontId="29" fillId="3" borderId="11" applyAlignment="1" pivotButton="0" quotePrefix="0" xfId="34">
      <alignment horizontal="center" vertical="center"/>
    </xf>
    <xf numFmtId="9" fontId="29" fillId="3" borderId="30" applyAlignment="1" pivotButton="0" quotePrefix="0" xfId="34">
      <alignment horizontal="center" vertical="center"/>
    </xf>
    <xf numFmtId="9" fontId="29" fillId="0" borderId="30" applyAlignment="1" pivotButton="0" quotePrefix="0" xfId="34">
      <alignment horizontal="left" vertical="center"/>
    </xf>
    <xf numFmtId="0" fontId="29" fillId="17" borderId="6" applyAlignment="1" pivotButton="0" quotePrefix="0" xfId="27">
      <alignment horizontal="center" vertical="center" wrapText="1"/>
    </xf>
    <xf numFmtId="1" fontId="29" fillId="17" borderId="6" applyAlignment="1" pivotButton="0" quotePrefix="0" xfId="34">
      <alignment horizontal="center" vertical="center"/>
    </xf>
    <xf numFmtId="1" fontId="29" fillId="17" borderId="28" applyAlignment="1" pivotButton="0" quotePrefix="0" xfId="34">
      <alignment horizontal="center" vertical="center"/>
    </xf>
    <xf numFmtId="1" fontId="29" fillId="0" borderId="28" applyAlignment="1" pivotButton="0" quotePrefix="0" xfId="34">
      <alignment horizontal="left" vertical="center"/>
    </xf>
    <xf numFmtId="1" fontId="29" fillId="17" borderId="13" applyAlignment="1" pivotButton="0" quotePrefix="0" xfId="34">
      <alignment horizontal="center" vertical="center"/>
    </xf>
    <xf numFmtId="1" fontId="29" fillId="17" borderId="33" applyAlignment="1" pivotButton="0" quotePrefix="0" xfId="34">
      <alignment horizontal="center" vertical="center"/>
    </xf>
    <xf numFmtId="1" fontId="29" fillId="0" borderId="33" applyAlignment="1" pivotButton="0" quotePrefix="0" xfId="34">
      <alignment horizontal="left" vertical="center"/>
    </xf>
    <xf numFmtId="0" fontId="29" fillId="3" borderId="8" applyAlignment="1" pivotButton="0" quotePrefix="0" xfId="27">
      <alignment horizontal="center" vertical="center" wrapText="1"/>
    </xf>
    <xf numFmtId="38" fontId="29" fillId="3" borderId="8" applyAlignment="1" pivotButton="0" quotePrefix="0" xfId="28">
      <alignment horizontal="center" vertical="center"/>
    </xf>
    <xf numFmtId="0" fontId="29" fillId="0" borderId="4" applyAlignment="1" pivotButton="0" quotePrefix="0" xfId="26">
      <alignment horizontal="center" vertical="center" wrapText="1"/>
    </xf>
    <xf numFmtId="0" fontId="29" fillId="0" borderId="16" applyAlignment="1" pivotButton="0" quotePrefix="0" xfId="26">
      <alignment horizontal="center" vertical="center" wrapText="1"/>
    </xf>
    <xf numFmtId="38" fontId="29" fillId="3" borderId="8" applyAlignment="1" pivotButton="0" quotePrefix="0" xfId="28">
      <alignment horizontal="center" vertical="center" wrapText="1"/>
    </xf>
    <xf numFmtId="0" fontId="29" fillId="0" borderId="21" applyAlignment="1" pivotButton="0" quotePrefix="0" xfId="26">
      <alignment horizontal="center" vertical="center" wrapText="1"/>
    </xf>
    <xf numFmtId="0" fontId="31" fillId="0" borderId="11" applyAlignment="1" pivotButton="0" quotePrefix="0" xfId="26">
      <alignment horizontal="left" vertical="center" wrapText="1"/>
    </xf>
    <xf numFmtId="38" fontId="29" fillId="17" borderId="11" applyAlignment="1" pivotButton="0" quotePrefix="0" xfId="28">
      <alignment horizontal="center" vertical="center" wrapText="1"/>
    </xf>
    <xf numFmtId="38" fontId="29" fillId="17" borderId="30" applyAlignment="1" pivotButton="0" quotePrefix="0" xfId="28">
      <alignment horizontal="center" vertical="center" wrapText="1"/>
    </xf>
    <xf numFmtId="0" fontId="29" fillId="17" borderId="8" applyAlignment="1" pivotButton="0" quotePrefix="0" xfId="27">
      <alignment horizontal="center" vertical="center" wrapText="1"/>
    </xf>
    <xf numFmtId="168" fontId="29" fillId="17" borderId="6" applyAlignment="1" pivotButton="0" quotePrefix="0" xfId="28">
      <alignment horizontal="center" vertical="center"/>
    </xf>
    <xf numFmtId="168" fontId="29" fillId="17" borderId="29" applyAlignment="1" pivotButton="0" quotePrefix="0" xfId="28">
      <alignment horizontal="center" vertical="center"/>
    </xf>
    <xf numFmtId="168" fontId="29" fillId="17" borderId="11" applyAlignment="1" pivotButton="0" quotePrefix="0" xfId="28">
      <alignment horizontal="center" vertical="center"/>
    </xf>
    <xf numFmtId="168" fontId="29" fillId="17" borderId="30" applyAlignment="1" pivotButton="0" quotePrefix="0" xfId="28">
      <alignment horizontal="center" vertical="center"/>
    </xf>
    <xf numFmtId="40" fontId="29" fillId="17" borderId="17" applyAlignment="1" pivotButton="0" quotePrefix="0" xfId="28">
      <alignment horizontal="center" vertical="center"/>
    </xf>
    <xf numFmtId="168" fontId="29" fillId="17" borderId="8" applyAlignment="1" pivotButton="0" quotePrefix="0" xfId="28">
      <alignment horizontal="center" vertical="center"/>
    </xf>
    <xf numFmtId="0" fontId="29" fillId="3" borderId="6" applyAlignment="1" pivotButton="0" quotePrefix="0" xfId="27">
      <alignment horizontal="center" vertical="center" wrapText="1"/>
    </xf>
    <xf numFmtId="38" fontId="29" fillId="3" borderId="6" applyAlignment="1" pivotButton="0" quotePrefix="0" xfId="28">
      <alignment horizontal="center" vertical="center"/>
    </xf>
    <xf numFmtId="0" fontId="31" fillId="0" borderId="16" applyAlignment="1" pivotButton="0" quotePrefix="0" xfId="26">
      <alignment vertical="center" wrapText="1"/>
    </xf>
    <xf numFmtId="0" fontId="31" fillId="0" borderId="15" applyAlignment="1" pivotButton="0" quotePrefix="0" xfId="27">
      <alignment vertical="center" wrapText="1"/>
    </xf>
    <xf numFmtId="0" fontId="29" fillId="17" borderId="15" applyAlignment="1" pivotButton="0" quotePrefix="0" xfId="27">
      <alignment horizontal="center" vertical="center" wrapText="1"/>
    </xf>
    <xf numFmtId="38" fontId="29" fillId="17" borderId="15" applyAlignment="1" pivotButton="0" quotePrefix="0" xfId="28">
      <alignment horizontal="center" vertical="center"/>
    </xf>
    <xf numFmtId="38" fontId="29" fillId="17" borderId="35" applyAlignment="1" pivotButton="0" quotePrefix="0" xfId="28">
      <alignment horizontal="center" vertical="center"/>
    </xf>
    <xf numFmtId="0" fontId="31" fillId="0" borderId="8" applyAlignment="1" pivotButton="0" quotePrefix="0" xfId="26">
      <alignment horizontal="left" vertical="center" wrapText="1"/>
    </xf>
    <xf numFmtId="38" fontId="29" fillId="17" borderId="8" applyAlignment="1" pivotButton="0" quotePrefix="0" xfId="28">
      <alignment horizontal="center" vertical="center" wrapText="1"/>
    </xf>
    <xf numFmtId="38" fontId="29" fillId="17" borderId="29" applyAlignment="1" pivotButton="0" quotePrefix="0" xfId="28">
      <alignment horizontal="center" vertical="center" wrapText="1"/>
    </xf>
    <xf numFmtId="9" fontId="29" fillId="17" borderId="8" applyAlignment="1" pivotButton="0" quotePrefix="0" xfId="35">
      <alignment horizontal="center" vertical="center"/>
    </xf>
    <xf numFmtId="9" fontId="29" fillId="0" borderId="71" applyAlignment="1" pivotButton="0" quotePrefix="0" xfId="35">
      <alignment horizontal="left" vertical="center"/>
    </xf>
    <xf numFmtId="38" fontId="31" fillId="0" borderId="92" applyAlignment="1" pivotButton="0" quotePrefix="0" xfId="19">
      <alignment vertical="center"/>
    </xf>
    <xf numFmtId="0" fontId="3" fillId="0" borderId="136" applyAlignment="1" pivotButton="0" quotePrefix="0" xfId="9">
      <alignment vertical="center"/>
    </xf>
    <xf numFmtId="169" fontId="29" fillId="17" borderId="46" applyAlignment="1" pivotButton="0" quotePrefix="0" xfId="31">
      <alignment horizontal="center" vertical="center"/>
    </xf>
    <xf numFmtId="169" fontId="29" fillId="0" borderId="59" applyAlignment="1" pivotButton="0" quotePrefix="0" xfId="31">
      <alignment horizontal="center" vertical="center"/>
    </xf>
    <xf numFmtId="169" fontId="29" fillId="13" borderId="59" applyAlignment="1" pivotButton="0" quotePrefix="0" xfId="31">
      <alignment horizontal="center" vertical="center"/>
    </xf>
    <xf numFmtId="0" fontId="29" fillId="0" borderId="97" applyAlignment="1" pivotButton="0" quotePrefix="0" xfId="23">
      <alignment horizontal="center" vertical="center"/>
    </xf>
    <xf numFmtId="169" fontId="33" fillId="0" borderId="92" applyAlignment="1" pivotButton="0" quotePrefix="0" xfId="31">
      <alignment vertical="center"/>
    </xf>
    <xf numFmtId="38" fontId="29" fillId="0" borderId="0" applyAlignment="1" pivotButton="0" quotePrefix="0" xfId="23">
      <alignment horizontal="center" vertical="center"/>
    </xf>
    <xf numFmtId="169" fontId="29" fillId="0" borderId="74" applyAlignment="1" pivotButton="0" quotePrefix="0" xfId="31">
      <alignment horizontal="center" vertical="center"/>
    </xf>
    <xf numFmtId="0" fontId="29" fillId="0" borderId="115" applyAlignment="1" pivotButton="0" quotePrefix="0" xfId="23">
      <alignment horizontal="center" vertical="center"/>
    </xf>
    <xf numFmtId="0" fontId="29" fillId="17" borderId="16" applyAlignment="1" pivotButton="0" quotePrefix="0" xfId="27">
      <alignment horizontal="center" vertical="center" wrapText="1"/>
    </xf>
    <xf numFmtId="169" fontId="33" fillId="0" borderId="91" applyAlignment="1" pivotButton="0" quotePrefix="0" xfId="31">
      <alignment vertical="center"/>
    </xf>
    <xf numFmtId="169" fontId="33" fillId="0" borderId="111" applyAlignment="1" pivotButton="0" quotePrefix="0" xfId="31">
      <alignment vertical="center"/>
    </xf>
    <xf numFmtId="169" fontId="33" fillId="0" borderId="103" applyAlignment="1" pivotButton="0" quotePrefix="0" xfId="31">
      <alignment vertical="center"/>
    </xf>
    <xf numFmtId="169" fontId="31" fillId="0" borderId="94" applyAlignment="1" pivotButton="0" quotePrefix="0" xfId="31">
      <alignment vertical="center"/>
    </xf>
    <xf numFmtId="169" fontId="31" fillId="0" borderId="46" applyAlignment="1" pivotButton="0" quotePrefix="0" xfId="31">
      <alignment vertical="center"/>
    </xf>
    <xf numFmtId="169" fontId="31" fillId="0" borderId="92" applyAlignment="1" pivotButton="0" quotePrefix="0" xfId="31">
      <alignment vertical="center"/>
    </xf>
    <xf numFmtId="169" fontId="31" fillId="0" borderId="92" applyAlignment="1" pivotButton="0" quotePrefix="0" xfId="31">
      <alignment horizontal="center" vertical="center"/>
    </xf>
    <xf numFmtId="169" fontId="31" fillId="0" borderId="106" applyAlignment="1" pivotButton="0" quotePrefix="0" xfId="31">
      <alignment vertical="center"/>
    </xf>
    <xf numFmtId="166" fontId="29" fillId="17" borderId="16" applyAlignment="1" pivotButton="0" quotePrefix="0" xfId="28">
      <alignment horizontal="center" vertical="center"/>
    </xf>
    <xf numFmtId="166" fontId="29" fillId="17" borderId="31" applyAlignment="1" pivotButton="0" quotePrefix="0" xfId="28">
      <alignment horizontal="center" vertical="center"/>
    </xf>
    <xf numFmtId="0" fontId="29" fillId="0" borderId="11" applyAlignment="1" pivotButton="0" quotePrefix="0" xfId="27">
      <alignment horizontal="center" vertical="center" wrapText="1"/>
    </xf>
    <xf numFmtId="0" fontId="31" fillId="0" borderId="4" applyAlignment="1" pivotButton="0" quotePrefix="0" xfId="27">
      <alignment vertical="center" wrapText="1"/>
    </xf>
    <xf numFmtId="0" fontId="31" fillId="0" borderId="16" applyAlignment="1" pivotButton="0" quotePrefix="0" xfId="27">
      <alignment vertical="center" wrapText="1"/>
    </xf>
    <xf numFmtId="0" fontId="29" fillId="0" borderId="13" applyAlignment="1" pivotButton="0" quotePrefix="0" xfId="27">
      <alignment horizontal="center" vertical="center" wrapText="1"/>
    </xf>
    <xf numFmtId="0" fontId="29" fillId="0" borderId="11" applyAlignment="1" pivotButton="0" quotePrefix="0" xfId="27">
      <alignment horizontal="left" vertical="center" wrapText="1"/>
    </xf>
    <xf numFmtId="0" fontId="29" fillId="0" borderId="11" applyAlignment="1" pivotButton="0" quotePrefix="0" xfId="27">
      <alignment horizontal="center" vertical="center"/>
    </xf>
    <xf numFmtId="0" fontId="29" fillId="0" borderId="16" applyAlignment="1" pivotButton="0" quotePrefix="0" xfId="27">
      <alignment horizontal="center" vertical="center" wrapText="1"/>
    </xf>
    <xf numFmtId="0" fontId="31" fillId="0" borderId="16" applyAlignment="1" pivotButton="0" quotePrefix="0" xfId="27">
      <alignment horizontal="left" vertical="center" wrapText="1"/>
    </xf>
    <xf numFmtId="0" fontId="70" fillId="0" borderId="0" applyAlignment="1" pivotButton="0" quotePrefix="0" xfId="26">
      <alignment horizontal="left" vertical="center"/>
    </xf>
    <xf numFmtId="0" fontId="92" fillId="20" borderId="0" applyAlignment="1" applyProtection="1" pivotButton="0" quotePrefix="0" xfId="26">
      <alignment vertical="center"/>
      <protection locked="0" hidden="0"/>
    </xf>
    <xf numFmtId="0" fontId="29" fillId="0" borderId="0" applyAlignment="1" pivotButton="0" quotePrefix="0" xfId="27">
      <alignment horizontal="center" vertical="center"/>
    </xf>
    <xf numFmtId="0" fontId="57" fillId="0" borderId="0" applyAlignment="1" applyProtection="1" pivotButton="0" quotePrefix="0" xfId="26">
      <alignment vertical="center"/>
      <protection locked="0" hidden="0"/>
    </xf>
    <xf numFmtId="0" fontId="29" fillId="0" borderId="0" applyAlignment="1" applyProtection="1" pivotButton="0" quotePrefix="0" xfId="26">
      <alignment horizontal="right" vertical="center"/>
      <protection locked="0" hidden="0"/>
    </xf>
    <xf numFmtId="0" fontId="43" fillId="21" borderId="140" applyAlignment="1" pivotButton="0" quotePrefix="0" xfId="27">
      <alignment horizontal="center" vertical="center"/>
    </xf>
    <xf numFmtId="10" fontId="49" fillId="21" borderId="141" applyAlignment="1" pivotButton="0" quotePrefix="0" xfId="35">
      <alignment horizontal="center" vertical="center"/>
    </xf>
    <xf numFmtId="0" fontId="29" fillId="0" borderId="0" applyAlignment="1" applyProtection="1" pivotButton="0" quotePrefix="0" xfId="27">
      <alignment vertical="center" wrapText="1"/>
      <protection locked="0" hidden="0"/>
    </xf>
    <xf numFmtId="0" fontId="46" fillId="0" borderId="0" applyAlignment="1" pivotButton="0" quotePrefix="0" xfId="27">
      <alignment vertical="center" wrapText="1"/>
    </xf>
    <xf numFmtId="0" fontId="92" fillId="0" borderId="0" applyAlignment="1" applyProtection="1" pivotButton="0" quotePrefix="0" xfId="26">
      <alignment vertical="center"/>
      <protection locked="0" hidden="0"/>
    </xf>
    <xf numFmtId="0" fontId="29" fillId="22" borderId="28" applyAlignment="1" pivotButton="0" quotePrefix="0" xfId="27">
      <alignment horizontal="center" vertical="center"/>
    </xf>
    <xf numFmtId="0" fontId="29" fillId="22" borderId="29" applyAlignment="1" pivotButton="0" quotePrefix="0" xfId="27">
      <alignment horizontal="center" vertical="center"/>
    </xf>
    <xf numFmtId="0" fontId="29" fillId="22" borderId="30" applyAlignment="1" pivotButton="0" quotePrefix="0" xfId="27">
      <alignment horizontal="center" vertical="center"/>
    </xf>
    <xf numFmtId="0" fontId="29" fillId="22" borderId="32" applyAlignment="1" pivotButton="0" quotePrefix="0" xfId="27">
      <alignment horizontal="center" vertical="center"/>
    </xf>
    <xf numFmtId="38" fontId="29" fillId="18" borderId="29" applyAlignment="1" pivotButton="0" quotePrefix="0" xfId="28">
      <alignment horizontal="center" vertical="center"/>
    </xf>
    <xf numFmtId="38" fontId="29" fillId="22" borderId="30" applyAlignment="1" pivotButton="0" quotePrefix="0" xfId="28">
      <alignment horizontal="center" vertical="center"/>
    </xf>
    <xf numFmtId="166" fontId="29" fillId="22" borderId="31" applyAlignment="1" pivotButton="0" quotePrefix="0" xfId="28">
      <alignment horizontal="center" vertical="center"/>
    </xf>
    <xf numFmtId="38" fontId="29" fillId="22" borderId="28" applyAlignment="1" pivotButton="0" quotePrefix="0" xfId="21">
      <alignment horizontal="center" vertical="center"/>
    </xf>
    <xf numFmtId="38" fontId="29" fillId="21" borderId="30" applyAlignment="1" pivotButton="0" quotePrefix="0" xfId="21">
      <alignment horizontal="center" vertical="center"/>
    </xf>
    <xf numFmtId="38" fontId="29" fillId="22" borderId="30" applyAlignment="1" pivotButton="0" quotePrefix="0" xfId="21">
      <alignment horizontal="center" vertical="center"/>
    </xf>
    <xf numFmtId="38" fontId="29" fillId="21" borderId="32" applyAlignment="1" pivotButton="0" quotePrefix="0" xfId="21">
      <alignment horizontal="center" vertical="center"/>
    </xf>
    <xf numFmtId="40" fontId="46" fillId="21" borderId="32" applyAlignment="1" pivotButton="0" quotePrefix="0" xfId="21">
      <alignment horizontal="center" vertical="center"/>
    </xf>
    <xf numFmtId="40" fontId="29" fillId="22" borderId="30" applyAlignment="1" pivotButton="0" quotePrefix="0" xfId="28">
      <alignment horizontal="center" vertical="center"/>
    </xf>
    <xf numFmtId="40" fontId="43" fillId="18" borderId="28" applyAlignment="1" pivotButton="0" quotePrefix="0" xfId="28">
      <alignment horizontal="center" vertical="center"/>
    </xf>
    <xf numFmtId="38" fontId="29" fillId="22" borderId="27" applyAlignment="1" pivotButton="0" quotePrefix="0" xfId="28">
      <alignment horizontal="center" vertical="center"/>
    </xf>
    <xf numFmtId="0" fontId="29" fillId="22" borderId="34" applyAlignment="1" pivotButton="0" quotePrefix="0" xfId="28">
      <alignment horizontal="center" vertical="center"/>
    </xf>
    <xf numFmtId="38" fontId="29" fillId="22" borderId="34" applyAlignment="1" pivotButton="0" quotePrefix="0" xfId="28">
      <alignment horizontal="center" vertical="center"/>
    </xf>
    <xf numFmtId="9" fontId="29" fillId="22" borderId="30" applyAlignment="1" pivotButton="0" quotePrefix="0" xfId="20">
      <alignment horizontal="center" vertical="center"/>
    </xf>
    <xf numFmtId="1" fontId="29" fillId="22" borderId="28" applyAlignment="1" pivotButton="0" quotePrefix="0" xfId="20">
      <alignment horizontal="center" vertical="center"/>
    </xf>
    <xf numFmtId="1" fontId="29" fillId="22" borderId="33" applyAlignment="1" pivotButton="0" quotePrefix="0" xfId="20">
      <alignment horizontal="center" vertical="center"/>
    </xf>
    <xf numFmtId="38" fontId="29" fillId="22" borderId="29" applyAlignment="1" pivotButton="0" quotePrefix="0" xfId="28">
      <alignment horizontal="center" vertical="center"/>
    </xf>
    <xf numFmtId="38" fontId="29" fillId="22" borderId="29" applyAlignment="1" pivotButton="0" quotePrefix="0" xfId="28">
      <alignment horizontal="center" vertical="center" wrapText="1"/>
    </xf>
    <xf numFmtId="38" fontId="29" fillId="22" borderId="30" applyAlignment="1" pivotButton="0" quotePrefix="0" xfId="28">
      <alignment horizontal="center" vertical="center" wrapText="1"/>
    </xf>
    <xf numFmtId="168" fontId="29" fillId="22" borderId="29" applyAlignment="1" pivotButton="0" quotePrefix="0" xfId="28">
      <alignment horizontal="center" vertical="center"/>
    </xf>
    <xf numFmtId="168" fontId="29" fillId="22" borderId="30" applyAlignment="1" pivotButton="0" quotePrefix="0" xfId="28">
      <alignment horizontal="center" vertical="center"/>
    </xf>
    <xf numFmtId="40" fontId="29" fillId="22" borderId="28" applyAlignment="1" pivotButton="0" quotePrefix="0" xfId="28">
      <alignment horizontal="center" vertical="center"/>
    </xf>
    <xf numFmtId="38" fontId="29" fillId="22" borderId="35" applyAlignment="1" pivotButton="0" quotePrefix="0" xfId="28">
      <alignment horizontal="center" vertical="center"/>
    </xf>
    <xf numFmtId="38" fontId="29" fillId="22" borderId="28" applyAlignment="1" pivotButton="0" quotePrefix="0" xfId="28">
      <alignment horizontal="center" vertical="center"/>
    </xf>
    <xf numFmtId="38" fontId="29" fillId="22" borderId="137" applyAlignment="1" pivotButton="0" quotePrefix="0" xfId="28">
      <alignment horizontal="center" vertical="center"/>
    </xf>
    <xf numFmtId="9" fontId="29" fillId="22" borderId="25" applyAlignment="1" pivotButton="0" quotePrefix="0" xfId="35">
      <alignment horizontal="center" vertical="center"/>
    </xf>
    <xf numFmtId="38" fontId="29" fillId="22" borderId="17" applyAlignment="1" pivotButton="0" quotePrefix="0" xfId="28">
      <alignment horizontal="center" vertical="center"/>
    </xf>
    <xf numFmtId="0" fontId="31" fillId="0" borderId="11" applyAlignment="1" pivotButton="0" quotePrefix="0" xfId="27">
      <alignment horizontal="left" vertical="center" wrapText="1"/>
    </xf>
    <xf numFmtId="0" fontId="54" fillId="21" borderId="13" applyAlignment="1" pivotButton="0" quotePrefix="0" xfId="27">
      <alignment horizontal="left" vertical="center" wrapText="1"/>
    </xf>
    <xf numFmtId="0" fontId="29" fillId="21" borderId="11" applyAlignment="1" pivotButton="0" quotePrefix="0" xfId="27">
      <alignment horizontal="center" vertical="center" wrapText="1"/>
    </xf>
    <xf numFmtId="0" fontId="95" fillId="21" borderId="13" applyAlignment="1" pivotButton="0" quotePrefix="0" xfId="27">
      <alignment horizontal="left" vertical="center" wrapText="1"/>
    </xf>
    <xf numFmtId="0" fontId="96" fillId="18" borderId="19" applyAlignment="1" pivotButton="0" quotePrefix="0" xfId="27">
      <alignment horizontal="left" vertical="center" wrapText="1"/>
    </xf>
    <xf numFmtId="0" fontId="96" fillId="18" borderId="16" applyAlignment="1" pivotButton="0" quotePrefix="0" xfId="27">
      <alignment horizontal="left" vertical="center" wrapText="1"/>
    </xf>
    <xf numFmtId="38" fontId="29" fillId="21" borderId="17" applyAlignment="1" pivotButton="0" quotePrefix="0" xfId="33">
      <alignment horizontal="center" vertical="center"/>
    </xf>
    <xf numFmtId="38" fontId="29" fillId="21" borderId="18" applyAlignment="1" pivotButton="0" quotePrefix="0" xfId="33">
      <alignment horizontal="center" vertical="center"/>
    </xf>
    <xf numFmtId="38" fontId="29" fillId="21" borderId="3" applyAlignment="1" pivotButton="0" quotePrefix="0" xfId="33">
      <alignment horizontal="center" vertical="center"/>
    </xf>
    <xf numFmtId="38" fontId="29" fillId="21" borderId="32" applyAlignment="1" pivotButton="0" quotePrefix="0" xfId="33">
      <alignment horizontal="center" vertical="center"/>
    </xf>
    <xf numFmtId="40" fontId="29" fillId="18" borderId="6" applyAlignment="1" pivotButton="0" quotePrefix="0" xfId="28">
      <alignment horizontal="center" vertical="center"/>
    </xf>
    <xf numFmtId="40" fontId="43" fillId="18" borderId="6" applyAlignment="1" pivotButton="0" quotePrefix="0" xfId="28">
      <alignment horizontal="center" vertical="center"/>
    </xf>
    <xf numFmtId="40" fontId="43" fillId="18" borderId="28" applyAlignment="1" pivotButton="0" quotePrefix="0" xfId="28">
      <alignment horizontal="center" vertical="center"/>
    </xf>
    <xf numFmtId="38" fontId="46" fillId="21" borderId="18" applyAlignment="1" pivotButton="0" quotePrefix="0" xfId="33">
      <alignment horizontal="center" vertical="center"/>
    </xf>
    <xf numFmtId="38" fontId="46" fillId="21" borderId="3" applyAlignment="1" pivotButton="0" quotePrefix="0" xfId="33">
      <alignment horizontal="center" vertical="center"/>
    </xf>
    <xf numFmtId="38" fontId="46" fillId="21" borderId="17" applyAlignment="1" pivotButton="0" quotePrefix="0" xfId="33">
      <alignment horizontal="center" vertical="center"/>
    </xf>
    <xf numFmtId="38" fontId="46" fillId="21" borderId="32" applyAlignment="1" pivotButton="0" quotePrefix="0" xfId="33">
      <alignment horizontal="center" vertical="center"/>
    </xf>
    <xf numFmtId="40" fontId="43" fillId="0" borderId="16" applyAlignment="1" pivotButton="0" quotePrefix="0" xfId="28">
      <alignment horizontal="center" vertical="center" wrapText="1"/>
    </xf>
    <xf numFmtId="0" fontId="70" fillId="20" borderId="0" applyAlignment="1" pivotButton="0" quotePrefix="0" xfId="26">
      <alignment horizontal="left" vertical="center"/>
    </xf>
    <xf numFmtId="0" fontId="29" fillId="20" borderId="0" applyAlignment="1" pivotButton="0" quotePrefix="0" xfId="26">
      <alignment horizontal="center" vertical="center"/>
    </xf>
    <xf numFmtId="0" fontId="29" fillId="20" borderId="0" applyAlignment="1" pivotButton="0" quotePrefix="0" xfId="26">
      <alignment vertical="center"/>
    </xf>
    <xf numFmtId="0" fontId="70" fillId="20" borderId="0" applyAlignment="1" pivotButton="0" quotePrefix="0" xfId="26">
      <alignment vertical="center"/>
    </xf>
    <xf numFmtId="9" fontId="45" fillId="0" borderId="36" applyAlignment="1" pivotButton="0" quotePrefix="0" xfId="35">
      <alignment horizontal="center" vertical="center"/>
    </xf>
    <xf numFmtId="9" fontId="45" fillId="0" borderId="36" applyAlignment="1" pivotButton="0" quotePrefix="0" xfId="25">
      <alignment horizontal="center" vertical="center"/>
    </xf>
    <xf numFmtId="10" fontId="45" fillId="0" borderId="36" applyAlignment="1" pivotButton="0" quotePrefix="0" xfId="35">
      <alignment horizontal="center" vertical="center"/>
    </xf>
    <xf numFmtId="9" fontId="42" fillId="0" borderId="36" applyAlignment="1" pivotButton="0" quotePrefix="0" xfId="25">
      <alignment horizontal="center" vertical="center"/>
    </xf>
    <xf numFmtId="0" fontId="29" fillId="0" borderId="53" applyAlignment="1" pivotButton="0" quotePrefix="0" xfId="23">
      <alignment vertical="center"/>
    </xf>
    <xf numFmtId="0" fontId="29" fillId="0" borderId="46" applyAlignment="1" pivotButton="0" quotePrefix="0" xfId="23">
      <alignment vertical="center"/>
    </xf>
    <xf numFmtId="10" fontId="29" fillId="17" borderId="57" applyAlignment="1" pivotButton="0" quotePrefix="0" xfId="23">
      <alignment vertical="center"/>
    </xf>
    <xf numFmtId="0" fontId="29" fillId="0" borderId="59" applyAlignment="1" pivotButton="0" quotePrefix="0" xfId="23">
      <alignment vertical="center"/>
    </xf>
    <xf numFmtId="169" fontId="29" fillId="0" borderId="59" applyAlignment="1" pivotButton="0" quotePrefix="0" xfId="31">
      <alignment vertical="center"/>
    </xf>
    <xf numFmtId="0" fontId="29" fillId="19" borderId="59" applyAlignment="1" pivotButton="0" quotePrefix="0" xfId="23">
      <alignment vertical="center"/>
    </xf>
    <xf numFmtId="0" fontId="29" fillId="19" borderId="46" applyAlignment="1" pivotButton="0" quotePrefix="0" xfId="23">
      <alignment vertical="center"/>
    </xf>
    <xf numFmtId="10" fontId="29" fillId="19" borderId="57" applyAlignment="1" pivotButton="0" quotePrefix="0" xfId="23">
      <alignment vertical="center"/>
    </xf>
    <xf numFmtId="0" fontId="29" fillId="19" borderId="57" applyAlignment="1" pivotButton="0" quotePrefix="0" xfId="23">
      <alignment vertical="center"/>
    </xf>
    <xf numFmtId="38" fontId="42" fillId="0" borderId="80" applyAlignment="1" pivotButton="0" quotePrefix="1" xfId="19">
      <alignment vertical="center"/>
    </xf>
    <xf numFmtId="0" fontId="29" fillId="14" borderId="116" applyAlignment="1" pivotButton="0" quotePrefix="0" xfId="23">
      <alignment horizontal="center" vertical="center"/>
    </xf>
    <xf numFmtId="0" fontId="29" fillId="14" borderId="103" applyAlignment="1" pivotButton="0" quotePrefix="0" xfId="23">
      <alignment horizontal="center" vertical="center"/>
    </xf>
    <xf numFmtId="10" fontId="29" fillId="17" borderId="118" applyAlignment="1" pivotButton="0" quotePrefix="0" xfId="23">
      <alignment horizontal="center" vertical="center"/>
    </xf>
    <xf numFmtId="0" fontId="29" fillId="0" borderId="116" applyAlignment="1" pivotButton="0" quotePrefix="0" xfId="23">
      <alignment horizontal="center" vertical="center"/>
    </xf>
    <xf numFmtId="0" fontId="29" fillId="0" borderId="103" applyAlignment="1" pivotButton="0" quotePrefix="0" xfId="23">
      <alignment horizontal="center" vertical="center"/>
    </xf>
    <xf numFmtId="0" fontId="29" fillId="14" borderId="59" applyAlignment="1" pivotButton="0" quotePrefix="0" xfId="23">
      <alignment horizontal="center" vertical="center"/>
    </xf>
    <xf numFmtId="0" fontId="29" fillId="14" borderId="46" applyAlignment="1" pivotButton="0" quotePrefix="0" xfId="23">
      <alignment horizontal="center" vertical="center"/>
    </xf>
    <xf numFmtId="0" fontId="29" fillId="17" borderId="57" applyAlignment="1" pivotButton="0" quotePrefix="0" xfId="23">
      <alignment horizontal="center" vertical="center"/>
    </xf>
    <xf numFmtId="10" fontId="49" fillId="21" borderId="145" applyAlignment="1" pivotButton="0" quotePrefix="0" xfId="35">
      <alignment horizontal="center" vertical="center"/>
    </xf>
    <xf numFmtId="10" fontId="49" fillId="21" borderId="146" applyAlignment="1" pivotButton="0" quotePrefix="0" xfId="35">
      <alignment horizontal="center" vertical="center"/>
    </xf>
    <xf numFmtId="10" fontId="49" fillId="21" borderId="147" applyAlignment="1" pivotButton="0" quotePrefix="0" xfId="35">
      <alignment horizontal="center" vertical="center"/>
    </xf>
    <xf numFmtId="0" fontId="70" fillId="20" borderId="0" applyAlignment="1" pivotButton="0" quotePrefix="0" xfId="26">
      <alignment vertical="center"/>
    </xf>
    <xf numFmtId="0" fontId="105" fillId="20" borderId="139" applyAlignment="1" applyProtection="1" pivotButton="0" quotePrefix="0" xfId="26">
      <alignment horizontal="center" vertical="center"/>
      <protection locked="0" hidden="0"/>
    </xf>
    <xf numFmtId="165" fontId="94" fillId="20" borderId="141" applyAlignment="1" applyProtection="1" pivotButton="0" quotePrefix="0" xfId="1">
      <alignment horizontal="center" vertical="center"/>
      <protection locked="0" hidden="0"/>
    </xf>
    <xf numFmtId="0" fontId="49" fillId="20" borderId="120" applyAlignment="1" applyProtection="1" pivotButton="0" quotePrefix="0" xfId="26">
      <alignment horizontal="center" vertical="center"/>
      <protection locked="0" hidden="0"/>
    </xf>
    <xf numFmtId="38" fontId="33" fillId="17" borderId="90" applyAlignment="1" pivotButton="0" quotePrefix="0" xfId="18">
      <alignment horizontal="center" vertical="center"/>
    </xf>
    <xf numFmtId="38" fontId="33" fillId="17" borderId="90" applyAlignment="1" pivotButton="0" quotePrefix="0" xfId="1">
      <alignment horizontal="center" vertical="center"/>
    </xf>
    <xf numFmtId="38" fontId="33" fillId="17" borderId="86" applyAlignment="1" pivotButton="0" quotePrefix="0" xfId="1">
      <alignment horizontal="center" vertical="center"/>
    </xf>
    <xf numFmtId="38" fontId="31" fillId="17" borderId="90" applyAlignment="1" pivotButton="0" quotePrefix="0" xfId="16">
      <alignment horizontal="center" vertical="center"/>
    </xf>
    <xf numFmtId="38" fontId="31" fillId="17" borderId="94" applyAlignment="1" pivotButton="0" quotePrefix="0" xfId="16">
      <alignment horizontal="center" vertical="center"/>
    </xf>
    <xf numFmtId="0" fontId="15" fillId="4" borderId="86" applyAlignment="1" pivotButton="0" quotePrefix="0" xfId="16">
      <alignment horizontal="center" vertical="center"/>
    </xf>
    <xf numFmtId="43" fontId="33" fillId="0" borderId="0" applyAlignment="1" pivotButton="0" quotePrefix="0" xfId="18">
      <alignment vertical="center"/>
    </xf>
    <xf numFmtId="38" fontId="31" fillId="0" borderId="102" applyAlignment="1" pivotButton="0" quotePrefix="0" xfId="19">
      <alignment horizontal="right" vertical="center"/>
    </xf>
    <xf numFmtId="38" fontId="31" fillId="0" borderId="93" applyAlignment="1" pivotButton="0" quotePrefix="0" xfId="19">
      <alignment horizontal="right" vertical="center"/>
    </xf>
    <xf numFmtId="38" fontId="31" fillId="0" borderId="109" applyAlignment="1" pivotButton="0" quotePrefix="0" xfId="19">
      <alignment horizontal="right" vertical="center"/>
    </xf>
    <xf numFmtId="0" fontId="29" fillId="0" borderId="93" applyAlignment="1" pivotButton="0" quotePrefix="0" xfId="23">
      <alignment horizontal="center" vertical="center"/>
    </xf>
    <xf numFmtId="0" fontId="31" fillId="0" borderId="87" applyAlignment="1" pivotButton="0" quotePrefix="0" xfId="0">
      <alignment vertical="center"/>
    </xf>
    <xf numFmtId="0" fontId="45" fillId="0" borderId="87" applyAlignment="1" pivotButton="0" quotePrefix="0" xfId="0">
      <alignment vertical="center"/>
    </xf>
    <xf numFmtId="0" fontId="31" fillId="0" borderId="87" applyAlignment="1" pivotButton="0" quotePrefix="0" xfId="0">
      <alignment horizontal="center" vertical="center"/>
    </xf>
    <xf numFmtId="0" fontId="31" fillId="0" borderId="87" applyAlignment="1" pivotButton="0" quotePrefix="0" xfId="16">
      <alignment horizontal="center" vertical="center"/>
    </xf>
    <xf numFmtId="0" fontId="33" fillId="0" borderId="93" applyAlignment="1" pivotButton="0" quotePrefix="0" xfId="18">
      <alignment horizontal="center" vertical="center"/>
    </xf>
    <xf numFmtId="169" fontId="33" fillId="0" borderId="91" applyAlignment="1" pivotButton="0" quotePrefix="0" xfId="31">
      <alignment horizontal="center" vertical="center"/>
    </xf>
    <xf numFmtId="169" fontId="33" fillId="0" borderId="0" applyAlignment="1" pivotButton="0" quotePrefix="0" xfId="18">
      <alignment vertical="center"/>
    </xf>
    <xf numFmtId="0" fontId="45" fillId="0" borderId="94" applyAlignment="1" pivotButton="0" quotePrefix="0" xfId="0">
      <alignment vertical="center"/>
    </xf>
    <xf numFmtId="0" fontId="33" fillId="0" borderId="102" applyAlignment="1" pivotButton="0" quotePrefix="0" xfId="18">
      <alignment horizontal="center" vertical="center"/>
    </xf>
    <xf numFmtId="0" fontId="31" fillId="0" borderId="98" applyAlignment="1" pivotButton="0" quotePrefix="0" xfId="16">
      <alignment horizontal="center" vertical="center"/>
    </xf>
    <xf numFmtId="169" fontId="29" fillId="0" borderId="87" applyAlignment="1" pivotButton="0" quotePrefix="0" xfId="31">
      <alignment horizontal="center" vertical="center"/>
    </xf>
    <xf numFmtId="169" fontId="31" fillId="0" borderId="87" applyAlignment="1" pivotButton="0" quotePrefix="0" xfId="31">
      <alignment vertical="center"/>
    </xf>
    <xf numFmtId="38" fontId="31" fillId="0" borderId="0" applyAlignment="1" pivotButton="0" quotePrefix="0" xfId="16">
      <alignment vertical="center"/>
    </xf>
    <xf numFmtId="0" fontId="31" fillId="0" borderId="0" applyAlignment="1" pivotButton="0" quotePrefix="0" xfId="16">
      <alignment vertical="center"/>
    </xf>
    <xf numFmtId="0" fontId="31" fillId="0" borderId="87" applyAlignment="1" pivotButton="0" quotePrefix="0" xfId="0">
      <alignment horizontal="left" vertical="center"/>
    </xf>
    <xf numFmtId="0" fontId="31" fillId="0" borderId="102" applyAlignment="1" pivotButton="0" quotePrefix="0" xfId="0">
      <alignment horizontal="left" vertical="center"/>
    </xf>
    <xf numFmtId="0" fontId="31" fillId="0" borderId="86" applyAlignment="1" pivotButton="0" quotePrefix="0" xfId="16">
      <alignment horizontal="center" vertical="center"/>
    </xf>
    <xf numFmtId="0" fontId="31" fillId="0" borderId="102" applyAlignment="1" pivotButton="0" quotePrefix="0" xfId="16">
      <alignment horizontal="center" vertical="center"/>
    </xf>
    <xf numFmtId="0" fontId="50" fillId="0" borderId="0" applyAlignment="1" pivotButton="0" quotePrefix="0" xfId="23">
      <alignment horizontal="center" vertical="center"/>
    </xf>
    <xf numFmtId="0" fontId="31" fillId="0" borderId="46" applyAlignment="1" pivotButton="0" quotePrefix="0" xfId="0">
      <alignment vertical="center"/>
    </xf>
    <xf numFmtId="0" fontId="45" fillId="0" borderId="46" applyAlignment="1" pivotButton="0" quotePrefix="0" xfId="0">
      <alignment vertical="center"/>
    </xf>
    <xf numFmtId="0" fontId="31" fillId="0" borderId="46" applyAlignment="1" pivotButton="0" quotePrefix="0" xfId="0">
      <alignment horizontal="center" vertical="center"/>
    </xf>
    <xf numFmtId="0" fontId="31" fillId="0" borderId="46" applyAlignment="1" pivotButton="0" quotePrefix="0" xfId="16">
      <alignment horizontal="center" vertical="center"/>
    </xf>
    <xf numFmtId="0" fontId="45" fillId="0" borderId="46" applyAlignment="1" pivotButton="0" quotePrefix="0" xfId="16">
      <alignment horizontal="center" vertical="center"/>
    </xf>
    <xf numFmtId="169" fontId="33" fillId="0" borderId="87" applyAlignment="1" pivotButton="0" quotePrefix="0" xfId="31">
      <alignment horizontal="center" vertical="center"/>
    </xf>
    <xf numFmtId="169" fontId="33" fillId="0" borderId="87" applyAlignment="1" pivotButton="0" quotePrefix="0" xfId="31">
      <alignment vertical="center"/>
    </xf>
    <xf numFmtId="10" fontId="33" fillId="17" borderId="97" applyAlignment="1" pivotButton="0" quotePrefix="0" xfId="20">
      <alignment horizontal="center" vertical="center"/>
    </xf>
    <xf numFmtId="169" fontId="33" fillId="0" borderId="94" applyAlignment="1" pivotButton="0" quotePrefix="0" xfId="31">
      <alignment horizontal="center" vertical="center"/>
    </xf>
    <xf numFmtId="0" fontId="43" fillId="0" borderId="0" applyAlignment="1" pivotButton="0" quotePrefix="0" xfId="23">
      <alignment horizontal="right" vertical="center"/>
    </xf>
    <xf numFmtId="0" fontId="42" fillId="0" borderId="36" applyAlignment="1" pivotButton="0" quotePrefix="0" xfId="17">
      <alignment horizontal="center" vertical="center"/>
    </xf>
    <xf numFmtId="38" fontId="29" fillId="0" borderId="36" applyAlignment="1" pivotButton="0" quotePrefix="0" xfId="19">
      <alignment horizontal="center" vertical="center"/>
    </xf>
    <xf numFmtId="0" fontId="29" fillId="0" borderId="36" applyAlignment="1" pivotButton="0" quotePrefix="0" xfId="23">
      <alignment horizontal="center" vertical="center"/>
    </xf>
    <xf numFmtId="0" fontId="29" fillId="0" borderId="0" applyAlignment="1" pivotButton="0" quotePrefix="0" xfId="23">
      <alignment vertical="center"/>
    </xf>
    <xf numFmtId="0" fontId="79" fillId="0" borderId="0" applyAlignment="1" pivotButton="0" quotePrefix="0" xfId="0">
      <alignment horizontal="left" vertical="center" indent="1"/>
    </xf>
    <xf numFmtId="0" fontId="30" fillId="0" borderId="0" applyAlignment="1" pivotButton="0" quotePrefix="0" xfId="17">
      <alignment vertical="center"/>
    </xf>
    <xf numFmtId="0" fontId="33" fillId="0" borderId="46" applyAlignment="1" pivotButton="0" quotePrefix="0" xfId="18">
      <alignment horizontal="center" vertical="center"/>
    </xf>
    <xf numFmtId="0" fontId="33" fillId="0" borderId="103" applyAlignment="1" pivotButton="0" quotePrefix="0" xfId="18">
      <alignment horizontal="center" vertical="center"/>
    </xf>
    <xf numFmtId="0" fontId="31" fillId="0" borderId="92" applyAlignment="1" pivotButton="0" quotePrefix="0" xfId="16">
      <alignment horizontal="center" vertical="center"/>
    </xf>
    <xf numFmtId="0" fontId="33" fillId="0" borderId="106" applyAlignment="1" pivotButton="0" quotePrefix="0" xfId="18">
      <alignment horizontal="center" vertical="center"/>
    </xf>
    <xf numFmtId="0" fontId="31" fillId="0" borderId="106" applyAlignment="1" pivotButton="0" quotePrefix="0" xfId="16">
      <alignment horizontal="center" vertical="center"/>
    </xf>
    <xf numFmtId="0" fontId="31" fillId="0" borderId="81" applyAlignment="1" pivotButton="0" quotePrefix="0" xfId="16">
      <alignment horizontal="center" vertical="center"/>
    </xf>
    <xf numFmtId="0" fontId="31" fillId="0" borderId="93" applyAlignment="1" pivotButton="0" quotePrefix="0" xfId="16">
      <alignment horizontal="center" vertical="center"/>
    </xf>
    <xf numFmtId="0" fontId="15" fillId="0" borderId="81" applyAlignment="1" pivotButton="0" quotePrefix="0" xfId="16">
      <alignment horizontal="center" vertical="center"/>
    </xf>
    <xf numFmtId="0" fontId="31" fillId="0" borderId="83" applyAlignment="1" pivotButton="0" quotePrefix="0" xfId="17">
      <alignment horizontal="center" vertical="center"/>
    </xf>
    <xf numFmtId="0" fontId="31" fillId="0" borderId="46" applyAlignment="1" pivotButton="0" quotePrefix="0" xfId="17">
      <alignment horizontal="center" vertical="center"/>
    </xf>
    <xf numFmtId="0" fontId="23" fillId="0" borderId="46" applyAlignment="1" pivotButton="0" quotePrefix="0" xfId="18">
      <alignment horizontal="center" vertical="center"/>
    </xf>
    <xf numFmtId="0" fontId="29" fillId="0" borderId="0" applyAlignment="1" pivotButton="0" quotePrefix="0" xfId="23">
      <alignment horizontal="right" vertical="center"/>
    </xf>
    <xf numFmtId="0" fontId="29" fillId="13" borderId="112" applyAlignment="1" pivotButton="0" quotePrefix="0" xfId="23">
      <alignment horizontal="right" vertical="center"/>
    </xf>
    <xf numFmtId="10" fontId="29" fillId="17" borderId="50" applyAlignment="1" pivotButton="0" quotePrefix="0" xfId="23">
      <alignment horizontal="right" vertical="center"/>
    </xf>
    <xf numFmtId="0" fontId="29" fillId="13" borderId="53" applyAlignment="1" pivotButton="0" quotePrefix="0" xfId="23">
      <alignment horizontal="right" vertical="center"/>
    </xf>
    <xf numFmtId="0" fontId="29" fillId="13" borderId="46" applyAlignment="1" pivotButton="0" quotePrefix="0" xfId="23">
      <alignment horizontal="right" vertical="center"/>
    </xf>
    <xf numFmtId="10" fontId="29" fillId="17" borderId="57" applyAlignment="1" pivotButton="0" quotePrefix="0" xfId="23">
      <alignment horizontal="right" vertical="center"/>
    </xf>
    <xf numFmtId="0" fontId="29" fillId="0" borderId="59" applyAlignment="1" pivotButton="0" quotePrefix="0" xfId="23">
      <alignment horizontal="right" vertical="center"/>
    </xf>
    <xf numFmtId="0" fontId="29" fillId="0" borderId="46" applyAlignment="1" pivotButton="0" quotePrefix="0" xfId="23">
      <alignment horizontal="right" vertical="center"/>
    </xf>
    <xf numFmtId="169" fontId="29" fillId="13" borderId="59" applyAlignment="1" pivotButton="0" quotePrefix="0" xfId="31">
      <alignment horizontal="right" vertical="center"/>
    </xf>
    <xf numFmtId="0" fontId="29" fillId="13" borderId="59" applyAlignment="1" pivotButton="0" quotePrefix="0" xfId="23">
      <alignment horizontal="right" vertical="center"/>
    </xf>
    <xf numFmtId="0" fontId="29" fillId="19" borderId="59" applyAlignment="1" pivotButton="0" quotePrefix="0" xfId="23">
      <alignment horizontal="right" vertical="center"/>
    </xf>
    <xf numFmtId="0" fontId="29" fillId="19" borderId="46" applyAlignment="1" pivotButton="0" quotePrefix="0" xfId="23">
      <alignment horizontal="right" vertical="center"/>
    </xf>
    <xf numFmtId="10" fontId="29" fillId="19" borderId="57" applyAlignment="1" pivotButton="0" quotePrefix="0" xfId="23">
      <alignment horizontal="right" vertical="center"/>
    </xf>
    <xf numFmtId="0" fontId="29" fillId="19" borderId="57" applyAlignment="1" pivotButton="0" quotePrefix="0" xfId="23">
      <alignment horizontal="right" vertical="center"/>
    </xf>
    <xf numFmtId="38" fontId="42" fillId="13" borderId="80" applyAlignment="1" pivotButton="0" quotePrefix="0" xfId="19">
      <alignment horizontal="right" vertical="center"/>
    </xf>
    <xf numFmtId="0" fontId="29" fillId="13" borderId="78" applyAlignment="1" pivotButton="0" quotePrefix="0" xfId="23">
      <alignment horizontal="right" vertical="center"/>
    </xf>
    <xf numFmtId="0" fontId="29" fillId="0" borderId="38" applyAlignment="1" pivotButton="0" quotePrefix="0" xfId="23">
      <alignment horizontal="right" vertical="center"/>
    </xf>
    <xf numFmtId="0" fontId="29" fillId="19" borderId="38" applyAlignment="1" pivotButton="0" quotePrefix="0" xfId="23">
      <alignment horizontal="right" vertical="center"/>
    </xf>
    <xf numFmtId="38" fontId="29" fillId="0" borderId="38" applyAlignment="1" pivotButton="0" quotePrefix="0" xfId="23">
      <alignment horizontal="right" vertical="center"/>
    </xf>
    <xf numFmtId="10" fontId="29" fillId="0" borderId="38" applyAlignment="1" pivotButton="0" quotePrefix="0" xfId="23">
      <alignment horizontal="right" vertical="center"/>
    </xf>
    <xf numFmtId="10" fontId="29" fillId="19" borderId="38" applyAlignment="1" pivotButton="0" quotePrefix="0" xfId="23">
      <alignment horizontal="right" vertical="center"/>
    </xf>
    <xf numFmtId="38" fontId="29" fillId="0" borderId="46" applyAlignment="1" pivotButton="0" quotePrefix="0" xfId="19">
      <alignment horizontal="center" vertical="center"/>
    </xf>
    <xf numFmtId="169" fontId="33" fillId="0" borderId="81" applyAlignment="1" pivotButton="0" quotePrefix="0" xfId="31">
      <alignment horizontal="center" vertical="center"/>
    </xf>
    <xf numFmtId="169" fontId="33" fillId="0" borderId="46" applyAlignment="1" pivotButton="0" quotePrefix="0" xfId="31">
      <alignment horizontal="center" vertical="center"/>
    </xf>
    <xf numFmtId="169" fontId="33" fillId="0" borderId="25" applyAlignment="1" pivotButton="0" quotePrefix="0" xfId="31">
      <alignment vertical="center"/>
    </xf>
    <xf numFmtId="38" fontId="29" fillId="0" borderId="92" applyAlignment="1" pivotButton="0" quotePrefix="0" xfId="19">
      <alignment horizontal="center" vertical="center"/>
    </xf>
    <xf numFmtId="169" fontId="33" fillId="0" borderId="106" applyAlignment="1" pivotButton="0" quotePrefix="0" xfId="31">
      <alignment vertical="center"/>
    </xf>
    <xf numFmtId="169" fontId="89" fillId="0" borderId="91" applyAlignment="1" pivotButton="0" quotePrefix="0" xfId="31">
      <alignment horizontal="center" vertical="center"/>
    </xf>
    <xf numFmtId="169" fontId="33" fillId="0" borderId="92" applyAlignment="1" pivotButton="0" quotePrefix="0" xfId="31">
      <alignment horizontal="center" vertical="center"/>
    </xf>
    <xf numFmtId="169" fontId="31" fillId="0" borderId="87" applyAlignment="1" pivotButton="0" quotePrefix="0" xfId="31">
      <alignment horizontal="center" vertical="center"/>
    </xf>
    <xf numFmtId="169" fontId="31" fillId="0" borderId="102" applyAlignment="1" pivotButton="0" quotePrefix="0" xfId="31">
      <alignment vertical="center"/>
    </xf>
    <xf numFmtId="169" fontId="31" fillId="0" borderId="94" applyAlignment="1" pivotButton="0" quotePrefix="0" xfId="31">
      <alignment horizontal="center" vertical="center"/>
    </xf>
    <xf numFmtId="169" fontId="31" fillId="0" borderId="110" applyAlignment="1" pivotButton="0" quotePrefix="0" xfId="31">
      <alignment horizontal="center" vertical="center"/>
    </xf>
    <xf numFmtId="169" fontId="31" fillId="0" borderId="46" applyAlignment="1" pivotButton="0" quotePrefix="0" xfId="31">
      <alignment horizontal="center" vertical="center"/>
    </xf>
    <xf numFmtId="169" fontId="31" fillId="0" borderId="103" applyAlignment="1" pivotButton="0" quotePrefix="0" xfId="31">
      <alignment vertical="center"/>
    </xf>
    <xf numFmtId="169" fontId="33" fillId="0" borderId="102" applyAlignment="1" pivotButton="0" quotePrefix="0" xfId="31">
      <alignment horizontal="center" vertical="center"/>
    </xf>
    <xf numFmtId="169" fontId="33" fillId="0" borderId="93" applyAlignment="1" pivotButton="0" quotePrefix="0" xfId="31">
      <alignment horizontal="center" vertical="center"/>
    </xf>
    <xf numFmtId="169" fontId="33" fillId="0" borderId="93" applyAlignment="1" pivotButton="0" quotePrefix="0" xfId="31">
      <alignment vertical="center"/>
    </xf>
    <xf numFmtId="169" fontId="33" fillId="0" borderId="109" applyAlignment="1" pivotButton="0" quotePrefix="0" xfId="31">
      <alignment vertical="center"/>
    </xf>
    <xf numFmtId="169" fontId="33" fillId="0" borderId="131" applyAlignment="1" pivotButton="0" quotePrefix="0" xfId="31">
      <alignment vertical="center"/>
    </xf>
    <xf numFmtId="169" fontId="33" fillId="0" borderId="46" applyAlignment="1" pivotButton="0" quotePrefix="0" xfId="31">
      <alignment vertical="center"/>
    </xf>
    <xf numFmtId="169" fontId="33" fillId="0" borderId="132" applyAlignment="1" pivotButton="0" quotePrefix="0" xfId="31">
      <alignment vertical="center"/>
    </xf>
    <xf numFmtId="38" fontId="31" fillId="0" borderId="46" applyAlignment="1" pivotButton="0" quotePrefix="0" xfId="22">
      <alignment horizontal="right" vertical="center"/>
    </xf>
    <xf numFmtId="0" fontId="33" fillId="15" borderId="36" applyAlignment="1" pivotButton="0" quotePrefix="0" xfId="18">
      <alignment horizontal="center" vertical="center"/>
    </xf>
    <xf numFmtId="0" fontId="33" fillId="14" borderId="101" applyAlignment="1" pivotButton="0" quotePrefix="0" xfId="18">
      <alignment horizontal="center" vertical="center"/>
    </xf>
    <xf numFmtId="0" fontId="33" fillId="14" borderId="99" applyAlignment="1" pivotButton="0" quotePrefix="0" xfId="18">
      <alignment horizontal="center" vertical="center"/>
    </xf>
    <xf numFmtId="0" fontId="33" fillId="14" borderId="96" applyAlignment="1" pivotButton="0" quotePrefix="0" xfId="18">
      <alignment horizontal="center" vertical="center"/>
    </xf>
    <xf numFmtId="0" fontId="33" fillId="14" borderId="85" applyAlignment="1" pivotButton="0" quotePrefix="0" xfId="18">
      <alignment horizontal="center" vertical="center"/>
    </xf>
    <xf numFmtId="0" fontId="33" fillId="14" borderId="0" applyAlignment="1" pivotButton="0" quotePrefix="0" xfId="18">
      <alignment horizontal="center" vertical="center"/>
    </xf>
    <xf numFmtId="0" fontId="33" fillId="0" borderId="119" applyAlignment="1" pivotButton="0" quotePrefix="0" xfId="18">
      <alignment horizontal="center" vertical="top"/>
    </xf>
    <xf numFmtId="0" fontId="33" fillId="0" borderId="105" applyAlignment="1" pivotButton="0" quotePrefix="0" xfId="18">
      <alignment horizontal="center" vertical="top"/>
    </xf>
    <xf numFmtId="0" fontId="33" fillId="0" borderId="108" applyAlignment="1" pivotButton="0" quotePrefix="0" xfId="18">
      <alignment horizontal="center" vertical="top"/>
    </xf>
    <xf numFmtId="0" fontId="33" fillId="0" borderId="107" applyAlignment="1" pivotButton="0" quotePrefix="0" xfId="18">
      <alignment horizontal="center" vertical="top"/>
    </xf>
    <xf numFmtId="0" fontId="38" fillId="19" borderId="36" applyAlignment="1" pivotButton="0" quotePrefix="0" xfId="18">
      <alignment horizontal="center" vertical="center"/>
    </xf>
    <xf numFmtId="0" fontId="38" fillId="14" borderId="96" applyAlignment="1" pivotButton="0" quotePrefix="0" xfId="18">
      <alignment horizontal="center" vertical="center"/>
    </xf>
    <xf numFmtId="0" fontId="38" fillId="14" borderId="85" applyAlignment="1" pivotButton="0" quotePrefix="0" xfId="18">
      <alignment horizontal="center" vertical="center"/>
    </xf>
    <xf numFmtId="0" fontId="31" fillId="20" borderId="16" applyAlignment="1" pivotButton="0" quotePrefix="0" xfId="16">
      <alignment horizontal="center" vertical="center"/>
    </xf>
    <xf numFmtId="0" fontId="31" fillId="20" borderId="38" applyAlignment="1" pivotButton="0" quotePrefix="0" xfId="16">
      <alignment horizontal="center" vertical="center"/>
    </xf>
    <xf numFmtId="0" fontId="31" fillId="0" borderId="107" applyAlignment="1" pivotButton="0" quotePrefix="0" xfId="16">
      <alignment horizontal="center" vertical="top"/>
    </xf>
    <xf numFmtId="0" fontId="31" fillId="0" borderId="105" applyAlignment="1" pivotButton="0" quotePrefix="0" xfId="16">
      <alignment horizontal="center" vertical="top"/>
    </xf>
    <xf numFmtId="0" fontId="31" fillId="0" borderId="108" applyAlignment="1" pivotButton="0" quotePrefix="0" xfId="16">
      <alignment horizontal="center" vertical="top"/>
    </xf>
    <xf numFmtId="0" fontId="31" fillId="14" borderId="0" applyAlignment="1" pivotButton="0" quotePrefix="0" xfId="16">
      <alignment horizontal="center" vertical="center"/>
    </xf>
    <xf numFmtId="0" fontId="31" fillId="14" borderId="85" applyAlignment="1" pivotButton="0" quotePrefix="0" xfId="16">
      <alignment horizontal="center" vertical="center"/>
    </xf>
    <xf numFmtId="0" fontId="31" fillId="20" borderId="37" applyAlignment="1" pivotButton="0" quotePrefix="0" xfId="16">
      <alignment horizontal="center" vertical="center"/>
    </xf>
    <xf numFmtId="0" fontId="31" fillId="20" borderId="60" applyAlignment="1" pivotButton="0" quotePrefix="0" xfId="16">
      <alignment horizontal="center" vertical="center"/>
    </xf>
    <xf numFmtId="0" fontId="39" fillId="20" borderId="37" applyAlignment="1" pivotButton="0" quotePrefix="0" xfId="16">
      <alignment horizontal="center" vertical="center"/>
    </xf>
    <xf numFmtId="0" fontId="39" fillId="20" borderId="16" applyAlignment="1" pivotButton="0" quotePrefix="0" xfId="16">
      <alignment horizontal="center" vertical="center"/>
    </xf>
    <xf numFmtId="0" fontId="39" fillId="20" borderId="38" applyAlignment="1" pivotButton="0" quotePrefix="0" xfId="16">
      <alignment horizontal="center" vertical="center"/>
    </xf>
    <xf numFmtId="0" fontId="39" fillId="0" borderId="107" applyAlignment="1" pivotButton="0" quotePrefix="0" xfId="16">
      <alignment horizontal="center" vertical="top"/>
    </xf>
    <xf numFmtId="0" fontId="39" fillId="0" borderId="105" applyAlignment="1" pivotButton="0" quotePrefix="0" xfId="16">
      <alignment horizontal="center" vertical="top"/>
    </xf>
    <xf numFmtId="0" fontId="39" fillId="0" borderId="108" applyAlignment="1" pivotButton="0" quotePrefix="0" xfId="16">
      <alignment horizontal="center" vertical="top"/>
    </xf>
    <xf numFmtId="0" fontId="39" fillId="14" borderId="0" applyAlignment="1" pivotButton="0" quotePrefix="0" xfId="16">
      <alignment horizontal="center" vertical="center"/>
    </xf>
    <xf numFmtId="0" fontId="39" fillId="14" borderId="85" applyAlignment="1" pivotButton="0" quotePrefix="0" xfId="16">
      <alignment horizontal="center" vertical="center"/>
    </xf>
    <xf numFmtId="0" fontId="31" fillId="15" borderId="37" applyAlignment="1" pivotButton="0" quotePrefix="0" xfId="16">
      <alignment horizontal="center" vertical="center"/>
    </xf>
    <xf numFmtId="0" fontId="31" fillId="15" borderId="16" applyAlignment="1" pivotButton="0" quotePrefix="0" xfId="16">
      <alignment horizontal="center" vertical="center"/>
    </xf>
    <xf numFmtId="0" fontId="31" fillId="15" borderId="38" applyAlignment="1" pivotButton="0" quotePrefix="0" xfId="16">
      <alignment horizontal="center" vertical="center"/>
    </xf>
    <xf numFmtId="0" fontId="15" fillId="19" borderId="37" applyAlignment="1" pivotButton="0" quotePrefix="0" xfId="16">
      <alignment horizontal="center" vertical="center"/>
    </xf>
    <xf numFmtId="0" fontId="15" fillId="19" borderId="16" applyAlignment="1" pivotButton="0" quotePrefix="0" xfId="16">
      <alignment horizontal="center" vertical="center"/>
    </xf>
    <xf numFmtId="0" fontId="15" fillId="19" borderId="38" applyAlignment="1" pivotButton="0" quotePrefix="0" xfId="16">
      <alignment horizontal="center" vertical="center"/>
    </xf>
    <xf numFmtId="0" fontId="15" fillId="0" borderId="107" applyAlignment="1" pivotButton="0" quotePrefix="0" xfId="16">
      <alignment horizontal="center" vertical="top"/>
    </xf>
    <xf numFmtId="0" fontId="15" fillId="0" borderId="108" applyAlignment="1" pivotButton="0" quotePrefix="0" xfId="16">
      <alignment horizontal="center" vertical="top"/>
    </xf>
    <xf numFmtId="0" fontId="15" fillId="14" borderId="96" applyAlignment="1" pivotButton="0" quotePrefix="0" xfId="16">
      <alignment horizontal="center" vertical="center"/>
    </xf>
    <xf numFmtId="0" fontId="15" fillId="14" borderId="85" applyAlignment="1" pivotButton="0" quotePrefix="0" xfId="16">
      <alignment horizontal="center" vertical="center"/>
    </xf>
    <xf numFmtId="0" fontId="31" fillId="0" borderId="14" applyAlignment="1" pivotButton="0" quotePrefix="0" xfId="9">
      <alignment vertical="center" wrapText="1"/>
    </xf>
    <xf numFmtId="0" fontId="31" fillId="0" borderId="14" applyAlignment="1" pivotButton="0" quotePrefix="0" xfId="9">
      <alignment vertical="center"/>
    </xf>
    <xf numFmtId="0" fontId="6" fillId="0" borderId="40" applyAlignment="1" pivotButton="0" quotePrefix="0" xfId="9">
      <alignment vertical="center"/>
    </xf>
    <xf numFmtId="0" fontId="3" fillId="0" borderId="44" applyAlignment="1" pivotButton="0" quotePrefix="0" xfId="9">
      <alignment vertical="center"/>
    </xf>
    <xf numFmtId="0" fontId="3" fillId="0" borderId="48" applyAlignment="1" pivotButton="0" quotePrefix="0" xfId="9">
      <alignment vertical="center"/>
    </xf>
    <xf numFmtId="0" fontId="3" fillId="0" borderId="14" applyAlignment="1" pivotButton="0" quotePrefix="0" xfId="9">
      <alignment vertical="center" wrapText="1"/>
    </xf>
    <xf numFmtId="0" fontId="3" fillId="0" borderId="14" applyAlignment="1" pivotButton="0" quotePrefix="0" xfId="9">
      <alignment vertical="center"/>
    </xf>
    <xf numFmtId="0" fontId="3" fillId="0" borderId="12" applyAlignment="1" pivotButton="0" quotePrefix="0" xfId="9">
      <alignment vertical="center" wrapText="1"/>
    </xf>
    <xf numFmtId="0" fontId="3" fillId="0" borderId="20" applyAlignment="1" pivotButton="0" quotePrefix="0" xfId="9">
      <alignment vertical="center"/>
    </xf>
    <xf numFmtId="0" fontId="3" fillId="19" borderId="12" applyAlignment="1" pivotButton="0" quotePrefix="0" xfId="9">
      <alignment vertical="center"/>
    </xf>
    <xf numFmtId="0" fontId="3" fillId="19" borderId="14" applyAlignment="1" pivotButton="0" quotePrefix="0" xfId="9">
      <alignment vertical="center"/>
    </xf>
    <xf numFmtId="0" fontId="3" fillId="19" borderId="20" applyAlignment="1" pivotButton="0" quotePrefix="0" xfId="9">
      <alignment vertical="center"/>
    </xf>
    <xf numFmtId="0" fontId="73" fillId="0" borderId="12" applyAlignment="1" pivotButton="0" quotePrefix="0" xfId="9">
      <alignment vertical="center" wrapText="1"/>
    </xf>
    <xf numFmtId="0" fontId="73" fillId="0" borderId="14" applyAlignment="1" pivotButton="0" quotePrefix="0" xfId="9">
      <alignment vertical="center"/>
    </xf>
    <xf numFmtId="0" fontId="73" fillId="0" borderId="20" applyAlignment="1" pivotButton="0" quotePrefix="0" xfId="9">
      <alignment vertical="center"/>
    </xf>
    <xf numFmtId="38" fontId="42" fillId="0" borderId="39" applyAlignment="1" pivotButton="0" quotePrefix="0" xfId="19">
      <alignment horizontal="center" vertical="center"/>
    </xf>
    <xf numFmtId="38" fontId="42" fillId="0" borderId="43" applyAlignment="1" pivotButton="0" quotePrefix="0" xfId="19">
      <alignment horizontal="center" vertical="center"/>
    </xf>
    <xf numFmtId="38" fontId="42" fillId="0" borderId="47" applyAlignment="1" pivotButton="0" quotePrefix="0" xfId="19">
      <alignment horizontal="center" vertical="center"/>
    </xf>
    <xf numFmtId="0" fontId="52" fillId="0" borderId="40" applyAlignment="1" pivotButton="0" quotePrefix="0" xfId="23">
      <alignment vertical="center"/>
    </xf>
    <xf numFmtId="0" fontId="53" fillId="0" borderId="44" applyAlignment="1" pivotButton="0" quotePrefix="0" xfId="23">
      <alignment vertical="center"/>
    </xf>
    <xf numFmtId="0" fontId="53" fillId="0" borderId="48" applyAlignment="1" pivotButton="0" quotePrefix="0" xfId="23">
      <alignment vertical="center"/>
    </xf>
    <xf numFmtId="38" fontId="91" fillId="0" borderId="51" applyAlignment="1" pivotButton="0" quotePrefix="0" xfId="19">
      <alignment horizontal="center" vertical="center"/>
    </xf>
    <xf numFmtId="38" fontId="91" fillId="0" borderId="54" applyAlignment="1" pivotButton="0" quotePrefix="0" xfId="19">
      <alignment horizontal="center" vertical="center"/>
    </xf>
    <xf numFmtId="38" fontId="91" fillId="0" borderId="55" applyAlignment="1" pivotButton="0" quotePrefix="0" xfId="19">
      <alignment horizontal="center" vertical="center"/>
    </xf>
    <xf numFmtId="0" fontId="75" fillId="0" borderId="14" applyAlignment="1" pivotButton="0" quotePrefix="0" xfId="23">
      <alignment horizontal="left" vertical="center"/>
    </xf>
    <xf numFmtId="38" fontId="91" fillId="0" borderId="62" applyAlignment="1" pivotButton="0" quotePrefix="0" xfId="19">
      <alignment horizontal="center" vertical="center"/>
    </xf>
    <xf numFmtId="38" fontId="91" fillId="0" borderId="63" applyAlignment="1" pivotButton="0" quotePrefix="0" xfId="19">
      <alignment horizontal="center" vertical="center"/>
    </xf>
    <xf numFmtId="0" fontId="75" fillId="0" borderId="12" applyAlignment="1" pivotButton="0" quotePrefix="0" xfId="23">
      <alignment horizontal="left" vertical="center"/>
    </xf>
    <xf numFmtId="0" fontId="75" fillId="0" borderId="20" applyAlignment="1" pivotButton="0" quotePrefix="0" xfId="23">
      <alignment horizontal="left" vertical="center"/>
    </xf>
    <xf numFmtId="0" fontId="100" fillId="0" borderId="12" applyAlignment="1" pivotButton="0" quotePrefix="0" xfId="23">
      <alignment horizontal="left" vertical="center"/>
    </xf>
    <xf numFmtId="0" fontId="100" fillId="0" borderId="14" applyAlignment="1" pivotButton="0" quotePrefix="0" xfId="23">
      <alignment horizontal="left" vertical="center"/>
    </xf>
    <xf numFmtId="0" fontId="100" fillId="0" borderId="20" applyAlignment="1" pivotButton="0" quotePrefix="0" xfId="23">
      <alignment horizontal="left" vertical="center"/>
    </xf>
    <xf numFmtId="38" fontId="91" fillId="0" borderId="120" applyAlignment="1" pivotButton="0" quotePrefix="0" xfId="19">
      <alignment horizontal="center" vertical="center"/>
    </xf>
    <xf numFmtId="38" fontId="91" fillId="0" borderId="121" applyAlignment="1" pivotButton="0" quotePrefix="0" xfId="19">
      <alignment horizontal="center" vertical="center"/>
    </xf>
    <xf numFmtId="38" fontId="91" fillId="0" borderId="122" applyAlignment="1" pivotButton="0" quotePrefix="0" xfId="19">
      <alignment horizontal="center" vertical="center"/>
    </xf>
    <xf numFmtId="38" fontId="91" fillId="0" borderId="12" applyAlignment="1" pivotButton="0" quotePrefix="0" xfId="19">
      <alignment horizontal="left" vertical="center"/>
    </xf>
    <xf numFmtId="38" fontId="91" fillId="0" borderId="14" applyAlignment="1" pivotButton="0" quotePrefix="0" xfId="19">
      <alignment horizontal="left" vertical="center"/>
    </xf>
    <xf numFmtId="38" fontId="91" fillId="0" borderId="20" applyAlignment="1" pivotButton="0" quotePrefix="0" xfId="19">
      <alignment horizontal="left" vertical="center"/>
    </xf>
    <xf numFmtId="0" fontId="75" fillId="0" borderId="12" applyAlignment="1" pivotButton="0" quotePrefix="0" xfId="29">
      <alignment horizontal="left" vertical="center"/>
    </xf>
    <xf numFmtId="38" fontId="91" fillId="0" borderId="120" applyAlignment="1" pivotButton="0" quotePrefix="0" xfId="8">
      <alignment horizontal="center" vertical="center"/>
    </xf>
    <xf numFmtId="38" fontId="91" fillId="0" borderId="121" applyAlignment="1" pivotButton="0" quotePrefix="0" xfId="8">
      <alignment horizontal="center" vertical="center"/>
    </xf>
    <xf numFmtId="38" fontId="91" fillId="0" borderId="122" applyAlignment="1" pivotButton="0" quotePrefix="0" xfId="8">
      <alignment horizontal="center" vertical="center"/>
    </xf>
    <xf numFmtId="0" fontId="75" fillId="0" borderId="12" applyAlignment="1" pivotButton="0" quotePrefix="0" xfId="23">
      <alignment horizontal="center" vertical="center"/>
    </xf>
    <xf numFmtId="0" fontId="75" fillId="0" borderId="14" applyAlignment="1" pivotButton="0" quotePrefix="0" xfId="23">
      <alignment horizontal="center" vertical="center"/>
    </xf>
    <xf numFmtId="0" fontId="75" fillId="0" borderId="20" applyAlignment="1" pivotButton="0" quotePrefix="0" xfId="23">
      <alignment horizontal="center" vertical="center"/>
    </xf>
    <xf numFmtId="38" fontId="42" fillId="0" borderId="120" applyAlignment="1" pivotButton="0" quotePrefix="0" xfId="8">
      <alignment horizontal="center" vertical="center"/>
    </xf>
    <xf numFmtId="38" fontId="42" fillId="0" borderId="121" applyAlignment="1" pivotButton="0" quotePrefix="0" xfId="8">
      <alignment horizontal="center" vertical="center"/>
    </xf>
    <xf numFmtId="38" fontId="42" fillId="0" borderId="122" applyAlignment="1" pivotButton="0" quotePrefix="0" xfId="8">
      <alignment horizontal="center" vertical="center"/>
    </xf>
    <xf numFmtId="38" fontId="7" fillId="0" borderId="37" applyAlignment="1" pivotButton="0" quotePrefix="0" xfId="8">
      <alignment horizontal="center" vertical="center" wrapText="1"/>
    </xf>
    <xf numFmtId="38" fontId="7" fillId="0" borderId="38" applyAlignment="1" pivotButton="0" quotePrefix="0" xfId="8">
      <alignment horizontal="center" vertical="center" wrapText="1"/>
    </xf>
    <xf numFmtId="38" fontId="8" fillId="0" borderId="36" applyAlignment="1" pivotButton="0" quotePrefix="0" xfId="8">
      <alignment horizontal="center" vertical="center" textRotation="255"/>
    </xf>
    <xf numFmtId="38" fontId="8" fillId="0" borderId="37" applyAlignment="1" pivotButton="0" quotePrefix="0" xfId="8">
      <alignment horizontal="center" vertical="center" textRotation="255"/>
    </xf>
    <xf numFmtId="38" fontId="8" fillId="0" borderId="16" applyAlignment="1" pivotButton="0" quotePrefix="0" xfId="8">
      <alignment horizontal="center" vertical="center" textRotation="255"/>
    </xf>
    <xf numFmtId="38" fontId="8" fillId="0" borderId="38" applyAlignment="1" pivotButton="0" quotePrefix="0" xfId="8">
      <alignment horizontal="center" vertical="center" textRotation="255"/>
    </xf>
    <xf numFmtId="10" fontId="49" fillId="21" borderId="145" applyAlignment="1" pivotButton="0" quotePrefix="0" xfId="35">
      <alignment horizontal="center" vertical="center"/>
    </xf>
    <xf numFmtId="10" fontId="49" fillId="21" borderId="146" applyAlignment="1" pivotButton="0" quotePrefix="0" xfId="35">
      <alignment horizontal="center" vertical="center"/>
    </xf>
    <xf numFmtId="0" fontId="49" fillId="20" borderId="138" applyAlignment="1" applyProtection="1" pivotButton="0" quotePrefix="0" xfId="26">
      <alignment horizontal="center" vertical="center"/>
      <protection locked="0" hidden="0"/>
    </xf>
    <xf numFmtId="0" fontId="49" fillId="20" borderId="3" applyAlignment="1" applyProtection="1" pivotButton="0" quotePrefix="0" xfId="26">
      <alignment horizontal="center" vertical="center"/>
      <protection locked="0" hidden="0"/>
    </xf>
    <xf numFmtId="0" fontId="49" fillId="20" borderId="32" applyAlignment="1" applyProtection="1" pivotButton="0" quotePrefix="0" xfId="26">
      <alignment horizontal="center" vertical="center"/>
      <protection locked="0" hidden="0"/>
    </xf>
    <xf numFmtId="0" fontId="49" fillId="21" borderId="142" applyAlignment="1" pivotButton="0" quotePrefix="0" xfId="26">
      <alignment horizontal="center" vertical="center"/>
    </xf>
    <xf numFmtId="0" fontId="49" fillId="21" borderId="143" applyAlignment="1" pivotButton="0" quotePrefix="0" xfId="26">
      <alignment horizontal="center" vertical="center"/>
    </xf>
    <xf numFmtId="0" fontId="49" fillId="21" borderId="144" applyAlignment="1" pivotButton="0" quotePrefix="0" xfId="26">
      <alignment horizontal="center" vertical="center"/>
    </xf>
    <xf numFmtId="0" fontId="29" fillId="0" borderId="5" applyAlignment="1" pivotButton="0" quotePrefix="0" xfId="27">
      <alignment horizontal="center" vertical="center" wrapText="1"/>
    </xf>
    <xf numFmtId="0" fontId="29" fillId="0" borderId="7" applyAlignment="1" pivotButton="0" quotePrefix="0" xfId="27">
      <alignment horizontal="center" vertical="center" wrapText="1"/>
    </xf>
    <xf numFmtId="0" fontId="29" fillId="0" borderId="9" applyAlignment="1" pivotButton="0" quotePrefix="0" xfId="27">
      <alignment horizontal="center" vertical="center" wrapText="1"/>
    </xf>
    <xf numFmtId="0" fontId="29" fillId="0" borderId="4" applyAlignment="1" pivotButton="0" quotePrefix="0" xfId="27">
      <alignment horizontal="center" vertical="center"/>
    </xf>
    <xf numFmtId="0" fontId="29" fillId="0" borderId="16" applyAlignment="1" pivotButton="0" quotePrefix="0" xfId="27">
      <alignment horizontal="center" vertical="center"/>
    </xf>
    <xf numFmtId="0" fontId="29" fillId="0" borderId="13" applyAlignment="1" pivotButton="0" quotePrefix="0" xfId="27">
      <alignment horizontal="center" vertical="center"/>
    </xf>
    <xf numFmtId="0" fontId="29" fillId="0" borderId="12" applyAlignment="1" pivotButton="0" quotePrefix="0" xfId="27">
      <alignment horizontal="center" vertical="center" wrapText="1"/>
    </xf>
    <xf numFmtId="0" fontId="29" fillId="0" borderId="14" applyAlignment="1" pivotButton="0" quotePrefix="0" xfId="27">
      <alignment horizontal="center" vertical="center" wrapText="1"/>
    </xf>
    <xf numFmtId="0" fontId="29" fillId="0" borderId="20" applyAlignment="1" pivotButton="0" quotePrefix="0" xfId="27">
      <alignment horizontal="center" vertical="center" wrapText="1"/>
    </xf>
    <xf numFmtId="0" fontId="29" fillId="0" borderId="4" applyAlignment="1" pivotButton="0" quotePrefix="0" xfId="27">
      <alignment horizontal="left" vertical="center" wrapText="1"/>
    </xf>
    <xf numFmtId="0" fontId="29" fillId="0" borderId="13" applyAlignment="1" pivotButton="0" quotePrefix="0" xfId="27">
      <alignment horizontal="left" vertical="center" wrapText="1"/>
    </xf>
    <xf numFmtId="0" fontId="31" fillId="0" borderId="4" applyAlignment="1" pivotButton="0" quotePrefix="0" xfId="27">
      <alignment horizontal="left" vertical="center"/>
    </xf>
    <xf numFmtId="0" fontId="31" fillId="0" borderId="13" applyAlignment="1" pivotButton="0" quotePrefix="0" xfId="27">
      <alignment horizontal="left" vertical="center"/>
    </xf>
    <xf numFmtId="0" fontId="31" fillId="0" borderId="4" applyAlignment="1" pivotButton="0" quotePrefix="0" xfId="27">
      <alignment horizontal="left" vertical="center" wrapText="1"/>
    </xf>
    <xf numFmtId="0" fontId="31" fillId="0" borderId="13" applyAlignment="1" pivotButton="0" quotePrefix="0" xfId="27">
      <alignment horizontal="left" vertical="center" wrapText="1"/>
    </xf>
    <xf numFmtId="0" fontId="29" fillId="0" borderId="4" applyAlignment="1" pivotButton="0" quotePrefix="0" xfId="27">
      <alignment horizontal="center" vertical="center" wrapText="1"/>
    </xf>
    <xf numFmtId="0" fontId="29" fillId="0" borderId="13" applyAlignment="1" pivotButton="0" quotePrefix="0" xfId="27">
      <alignment horizontal="center" vertical="center" wrapText="1"/>
    </xf>
    <xf numFmtId="0" fontId="29" fillId="18" borderId="4" applyAlignment="1" pivotButton="0" quotePrefix="0" xfId="27">
      <alignment horizontal="center" vertical="center" wrapText="1"/>
    </xf>
    <xf numFmtId="0" fontId="29" fillId="18" borderId="13" applyAlignment="1" pivotButton="0" quotePrefix="0" xfId="27">
      <alignment horizontal="center" vertical="center" wrapText="1"/>
    </xf>
    <xf numFmtId="0" fontId="31" fillId="0" borderId="4" applyAlignment="1" pivotButton="0" quotePrefix="0" xfId="26">
      <alignment horizontal="left" vertical="center" wrapText="1"/>
    </xf>
    <xf numFmtId="0" fontId="31" fillId="0" borderId="13" applyAlignment="1" pivotButton="0" quotePrefix="0" xfId="26">
      <alignment horizontal="left" vertical="center" wrapText="1"/>
    </xf>
    <xf numFmtId="0" fontId="31" fillId="0" borderId="4" applyAlignment="1" pivotButton="0" quotePrefix="0" xfId="27">
      <alignment vertical="center" wrapText="1"/>
    </xf>
    <xf numFmtId="0" fontId="31" fillId="0" borderId="13" applyAlignment="1" pivotButton="0" quotePrefix="0" xfId="27">
      <alignment vertical="center" wrapText="1"/>
    </xf>
    <xf numFmtId="0" fontId="29" fillId="17" borderId="4" applyAlignment="1" pivotButton="0" quotePrefix="0" xfId="27">
      <alignment horizontal="center" vertical="center" wrapText="1"/>
    </xf>
    <xf numFmtId="0" fontId="29" fillId="17" borderId="16" applyAlignment="1" pivotButton="0" quotePrefix="0" xfId="27">
      <alignment horizontal="center" vertical="center" wrapText="1"/>
    </xf>
    <xf numFmtId="0" fontId="29" fillId="17" borderId="13" applyAlignment="1" pivotButton="0" quotePrefix="0" xfId="27">
      <alignment horizontal="center" vertical="center" wrapText="1"/>
    </xf>
    <xf numFmtId="0" fontId="29" fillId="0" borderId="16" applyAlignment="1" pivotButton="0" quotePrefix="0" xfId="27">
      <alignment horizontal="center" vertical="center" wrapText="1"/>
    </xf>
    <xf numFmtId="0" fontId="29" fillId="0" borderId="126" applyAlignment="1" pivotButton="0" quotePrefix="0" xfId="27">
      <alignment horizontal="center" vertical="center" wrapText="1"/>
    </xf>
    <xf numFmtId="0" fontId="29" fillId="0" borderId="127" applyAlignment="1" pivotButton="0" quotePrefix="0" xfId="27">
      <alignment horizontal="center" vertical="center" wrapText="1"/>
    </xf>
    <xf numFmtId="0" fontId="29" fillId="0" borderId="128" applyAlignment="1" pivotButton="0" quotePrefix="0" xfId="27">
      <alignment horizontal="center" vertical="center" wrapText="1"/>
    </xf>
    <xf numFmtId="0" fontId="0" fillId="0" borderId="0" pivotButton="0" quotePrefix="0" xfId="0"/>
    <xf numFmtId="3" fontId="33" fillId="20" borderId="36" applyAlignment="1" pivotButton="0" quotePrefix="0" xfId="18">
      <alignment horizontal="center" vertical="center"/>
    </xf>
    <xf numFmtId="0" fontId="33" fillId="0" borderId="154" applyAlignment="1" pivotButton="0" quotePrefix="0" xfId="18">
      <alignment horizontal="center" vertical="top"/>
    </xf>
    <xf numFmtId="3" fontId="31" fillId="0" borderId="46" applyAlignment="1" pivotButton="0" quotePrefix="0" xfId="19">
      <alignment horizontal="center" vertical="center"/>
    </xf>
    <xf numFmtId="169" fontId="33" fillId="0" borderId="81" applyAlignment="1" pivotButton="0" quotePrefix="0" xfId="31">
      <alignment horizontal="center" vertical="center"/>
    </xf>
    <xf numFmtId="169" fontId="33" fillId="0" borderId="46" applyAlignment="1" pivotButton="0" quotePrefix="0" xfId="31">
      <alignment horizontal="center" vertical="center"/>
    </xf>
    <xf numFmtId="169" fontId="33" fillId="0" borderId="25" applyAlignment="1" pivotButton="0" quotePrefix="0" xfId="31">
      <alignment vertical="center"/>
    </xf>
    <xf numFmtId="0" fontId="0" fillId="0" borderId="16" pivotButton="0" quotePrefix="0" xfId="0"/>
    <xf numFmtId="0" fontId="0" fillId="0" borderId="105" pivotButton="0" quotePrefix="0" xfId="0"/>
    <xf numFmtId="3" fontId="31" fillId="0" borderId="92" applyAlignment="1" pivotButton="0" quotePrefix="0" xfId="19">
      <alignment horizontal="center" vertical="center"/>
    </xf>
    <xf numFmtId="169" fontId="33" fillId="0" borderId="91" applyAlignment="1" pivotButton="0" quotePrefix="0" xfId="31">
      <alignment vertical="center"/>
    </xf>
    <xf numFmtId="169" fontId="33" fillId="0" borderId="92" applyAlignment="1" pivotButton="0" quotePrefix="0" xfId="31">
      <alignment vertical="center"/>
    </xf>
    <xf numFmtId="169" fontId="33" fillId="0" borderId="111" applyAlignment="1" pivotButton="0" quotePrefix="0" xfId="31">
      <alignment vertical="center"/>
    </xf>
    <xf numFmtId="169" fontId="33" fillId="0" borderId="106" applyAlignment="1" pivotButton="0" quotePrefix="0" xfId="31">
      <alignment vertical="center"/>
    </xf>
    <xf numFmtId="169" fontId="33" fillId="0" borderId="103" applyAlignment="1" pivotButton="0" quotePrefix="0" xfId="31">
      <alignment vertical="center"/>
    </xf>
    <xf numFmtId="0" fontId="0" fillId="0" borderId="155" pivotButton="0" quotePrefix="0" xfId="0"/>
    <xf numFmtId="169" fontId="33" fillId="0" borderId="83" applyAlignment="1" pivotButton="0" quotePrefix="0" xfId="31">
      <alignment vertical="center"/>
    </xf>
    <xf numFmtId="0" fontId="33" fillId="14" borderId="151" applyAlignment="1" pivotButton="0" quotePrefix="0" xfId="18">
      <alignment horizontal="center" vertical="center"/>
    </xf>
    <xf numFmtId="0" fontId="0" fillId="0" borderId="38" pivotButton="0" quotePrefix="0" xfId="0"/>
    <xf numFmtId="0" fontId="0" fillId="0" borderId="153" pivotButton="0" quotePrefix="0" xfId="0"/>
    <xf numFmtId="0" fontId="33" fillId="0" borderId="148" applyAlignment="1" pivotButton="0" quotePrefix="0" xfId="18">
      <alignment horizontal="center" vertical="top"/>
    </xf>
    <xf numFmtId="169" fontId="29" fillId="0" borderId="46" applyAlignment="1" pivotButton="0" quotePrefix="0" xfId="31">
      <alignment horizontal="center" vertical="center"/>
    </xf>
    <xf numFmtId="3" fontId="33" fillId="0" borderId="91" applyAlignment="1" pivotButton="0" quotePrefix="0" xfId="31">
      <alignment horizontal="center" vertical="center"/>
    </xf>
    <xf numFmtId="169" fontId="33" fillId="0" borderId="91" applyAlignment="1" pivotButton="0" quotePrefix="0" xfId="31">
      <alignment horizontal="center" vertical="center"/>
    </xf>
    <xf numFmtId="169" fontId="33" fillId="0" borderId="0" applyAlignment="1" pivotButton="0" quotePrefix="0" xfId="18">
      <alignment vertical="center"/>
    </xf>
    <xf numFmtId="0" fontId="0" fillId="0" borderId="149" pivotButton="0" quotePrefix="0" xfId="0"/>
    <xf numFmtId="169" fontId="29" fillId="0" borderId="91" applyAlignment="1" pivotButton="0" quotePrefix="0" xfId="31">
      <alignment horizontal="center" vertical="center"/>
    </xf>
    <xf numFmtId="169" fontId="89" fillId="0" borderId="91" applyAlignment="1" pivotButton="0" quotePrefix="0" xfId="31">
      <alignment horizontal="center" vertical="center"/>
    </xf>
    <xf numFmtId="169" fontId="33" fillId="0" borderId="92" applyAlignment="1" pivotButton="0" quotePrefix="0" xfId="31">
      <alignment horizontal="center" vertical="center"/>
    </xf>
    <xf numFmtId="0" fontId="0" fillId="0" borderId="108" pivotButton="0" quotePrefix="0" xfId="0"/>
    <xf numFmtId="169" fontId="33" fillId="0" borderId="82" applyAlignment="1" pivotButton="0" quotePrefix="0" xfId="31">
      <alignment horizontal="center" vertical="center"/>
    </xf>
    <xf numFmtId="169" fontId="33" fillId="0" borderId="82" applyAlignment="1" pivotButton="0" quotePrefix="0" xfId="31">
      <alignment vertical="center"/>
    </xf>
    <xf numFmtId="169" fontId="33" fillId="0" borderId="104" applyAlignment="1" pivotButton="0" quotePrefix="0" xfId="31">
      <alignment vertical="center"/>
    </xf>
    <xf numFmtId="0" fontId="33" fillId="14" borderId="150" applyAlignment="1" pivotButton="0" quotePrefix="0" xfId="18">
      <alignment horizontal="center" vertical="center"/>
    </xf>
    <xf numFmtId="0" fontId="0" fillId="0" borderId="85" pivotButton="0" quotePrefix="0" xfId="0"/>
    <xf numFmtId="169" fontId="29" fillId="0" borderId="87" applyAlignment="1" pivotButton="0" quotePrefix="0" xfId="31">
      <alignment horizontal="center" vertical="center"/>
    </xf>
    <xf numFmtId="169" fontId="31" fillId="0" borderId="87" applyAlignment="1" pivotButton="0" quotePrefix="0" xfId="31">
      <alignment vertical="center"/>
    </xf>
    <xf numFmtId="3" fontId="31" fillId="0" borderId="87" applyAlignment="1" pivotButton="0" quotePrefix="0" xfId="31">
      <alignment horizontal="center" vertical="center"/>
    </xf>
    <xf numFmtId="169" fontId="31" fillId="0" borderId="87" applyAlignment="1" pivotButton="0" quotePrefix="0" xfId="31">
      <alignment horizontal="center" vertical="center"/>
    </xf>
    <xf numFmtId="169" fontId="31" fillId="0" borderId="102" applyAlignment="1" pivotButton="0" quotePrefix="0" xfId="31">
      <alignment vertical="center"/>
    </xf>
    <xf numFmtId="169" fontId="29" fillId="0" borderId="94" applyAlignment="1" pivotButton="0" quotePrefix="0" xfId="31">
      <alignment horizontal="center" vertical="center"/>
    </xf>
    <xf numFmtId="169" fontId="31" fillId="0" borderId="94" applyAlignment="1" pivotButton="0" quotePrefix="0" xfId="31">
      <alignment vertical="center"/>
    </xf>
    <xf numFmtId="3" fontId="31" fillId="0" borderId="94" applyAlignment="1" pivotButton="0" quotePrefix="0" xfId="31">
      <alignment horizontal="center" vertical="center"/>
    </xf>
    <xf numFmtId="169" fontId="31" fillId="0" borderId="94" applyAlignment="1" pivotButton="0" quotePrefix="0" xfId="31">
      <alignment horizontal="center" vertical="center"/>
    </xf>
    <xf numFmtId="169" fontId="31" fillId="0" borderId="110" applyAlignment="1" pivotButton="0" quotePrefix="0" xfId="31">
      <alignment horizontal="center" vertical="center"/>
    </xf>
    <xf numFmtId="169" fontId="31" fillId="0" borderId="46" applyAlignment="1" pivotButton="0" quotePrefix="0" xfId="31">
      <alignment vertical="center"/>
    </xf>
    <xf numFmtId="3" fontId="31" fillId="0" borderId="46" applyAlignment="1" pivotButton="0" quotePrefix="0" xfId="31">
      <alignment horizontal="center" vertical="center"/>
    </xf>
    <xf numFmtId="169" fontId="31" fillId="0" borderId="46" applyAlignment="1" pivotButton="0" quotePrefix="0" xfId="31">
      <alignment horizontal="center" vertical="center"/>
    </xf>
    <xf numFmtId="169" fontId="31" fillId="0" borderId="103" applyAlignment="1" pivotButton="0" quotePrefix="0" xfId="31">
      <alignment vertical="center"/>
    </xf>
    <xf numFmtId="169" fontId="29" fillId="0" borderId="92" applyAlignment="1" pivotButton="0" quotePrefix="0" xfId="31">
      <alignment horizontal="center" vertical="center"/>
    </xf>
    <xf numFmtId="169" fontId="31" fillId="0" borderId="92" applyAlignment="1" pivotButton="0" quotePrefix="0" xfId="31">
      <alignment vertical="center"/>
    </xf>
    <xf numFmtId="3" fontId="31" fillId="0" borderId="92" applyAlignment="1" pivotButton="0" quotePrefix="0" xfId="31">
      <alignment horizontal="center" vertical="center"/>
    </xf>
    <xf numFmtId="169" fontId="31" fillId="0" borderId="92" applyAlignment="1" pivotButton="0" quotePrefix="0" xfId="31">
      <alignment horizontal="center" vertical="center"/>
    </xf>
    <xf numFmtId="169" fontId="31" fillId="0" borderId="106" applyAlignment="1" pivotButton="0" quotePrefix="0" xfId="31">
      <alignment vertical="center"/>
    </xf>
    <xf numFmtId="169" fontId="29" fillId="0" borderId="83" applyAlignment="1" pivotButton="0" quotePrefix="0" xfId="31">
      <alignment horizontal="center" vertical="center"/>
    </xf>
    <xf numFmtId="169" fontId="33" fillId="0" borderId="83" applyAlignment="1" pivotButton="0" quotePrefix="0" xfId="31">
      <alignment horizontal="center" vertical="center"/>
    </xf>
    <xf numFmtId="169" fontId="33" fillId="0" borderId="87" applyAlignment="1" pivotButton="0" quotePrefix="0" xfId="31">
      <alignment horizontal="center" vertical="center"/>
    </xf>
    <xf numFmtId="169" fontId="33" fillId="0" borderId="87" applyAlignment="1" pivotButton="0" quotePrefix="0" xfId="31">
      <alignment vertical="center"/>
    </xf>
    <xf numFmtId="3" fontId="33" fillId="0" borderId="87" applyAlignment="1" pivotButton="0" quotePrefix="0" xfId="31">
      <alignment horizontal="center" vertical="center"/>
    </xf>
    <xf numFmtId="169" fontId="33" fillId="0" borderId="102" applyAlignment="1" pivotButton="0" quotePrefix="0" xfId="31">
      <alignment horizontal="center" vertical="center"/>
    </xf>
    <xf numFmtId="169" fontId="33" fillId="0" borderId="93" applyAlignment="1" pivotButton="0" quotePrefix="0" xfId="31">
      <alignment horizontal="center" vertical="center"/>
    </xf>
    <xf numFmtId="169" fontId="33" fillId="0" borderId="93" applyAlignment="1" pivotButton="0" quotePrefix="0" xfId="31">
      <alignment vertical="center"/>
    </xf>
    <xf numFmtId="3" fontId="33" fillId="0" borderId="93" applyAlignment="1" pivotButton="0" quotePrefix="0" xfId="31">
      <alignment horizontal="center" vertical="center"/>
    </xf>
    <xf numFmtId="169" fontId="33" fillId="0" borderId="109" applyAlignment="1" pivotButton="0" quotePrefix="0" xfId="31">
      <alignment vertical="center"/>
    </xf>
    <xf numFmtId="169" fontId="33" fillId="0" borderId="131" applyAlignment="1" pivotButton="0" quotePrefix="0" xfId="31">
      <alignment vertical="center"/>
    </xf>
    <xf numFmtId="169" fontId="33" fillId="0" borderId="94" applyAlignment="1" pivotButton="0" quotePrefix="0" xfId="31">
      <alignment horizontal="center" vertical="center"/>
    </xf>
    <xf numFmtId="3" fontId="33" fillId="0" borderId="46" applyAlignment="1" pivotButton="0" quotePrefix="0" xfId="31">
      <alignment horizontal="center" vertical="center"/>
    </xf>
    <xf numFmtId="169" fontId="33" fillId="0" borderId="46" applyAlignment="1" pivotButton="0" quotePrefix="0" xfId="31">
      <alignment vertical="center"/>
    </xf>
    <xf numFmtId="169" fontId="33" fillId="0" borderId="132" applyAlignment="1" pivotButton="0" quotePrefix="0" xfId="31">
      <alignment vertical="center"/>
    </xf>
    <xf numFmtId="169" fontId="33" fillId="0" borderId="133" applyAlignment="1" pivotButton="0" quotePrefix="0" xfId="31">
      <alignment vertical="center"/>
    </xf>
    <xf numFmtId="0" fontId="31" fillId="0" borderId="148" applyAlignment="1" pivotButton="0" quotePrefix="0" xfId="16">
      <alignment horizontal="center" vertical="top"/>
    </xf>
    <xf numFmtId="3" fontId="31" fillId="0" borderId="87" applyAlignment="1" pivotButton="0" quotePrefix="0" xfId="19">
      <alignment horizontal="center" vertical="center"/>
    </xf>
    <xf numFmtId="0" fontId="31" fillId="20" borderId="36" applyAlignment="1" pivotButton="0" quotePrefix="0" xfId="16">
      <alignment horizontal="center" vertical="center"/>
    </xf>
    <xf numFmtId="3" fontId="31" fillId="0" borderId="87" applyAlignment="1" pivotButton="0" quotePrefix="0" xfId="19">
      <alignment horizontal="right" vertical="center"/>
    </xf>
    <xf numFmtId="3" fontId="31" fillId="0" borderId="46" applyAlignment="1" pivotButton="0" quotePrefix="0" xfId="19">
      <alignment horizontal="right" vertical="center"/>
    </xf>
    <xf numFmtId="3" fontId="31" fillId="0" borderId="93" applyAlignment="1" pivotButton="0" quotePrefix="0" xfId="19">
      <alignment horizontal="center" vertical="center"/>
    </xf>
    <xf numFmtId="0" fontId="38" fillId="14" borderId="150" applyAlignment="1" pivotButton="0" quotePrefix="0" xfId="18">
      <alignment horizontal="center" vertical="center"/>
    </xf>
    <xf numFmtId="0" fontId="31" fillId="15" borderId="36" applyAlignment="1" pivotButton="0" quotePrefix="0" xfId="16">
      <alignment horizontal="center" vertical="center"/>
    </xf>
    <xf numFmtId="3" fontId="31" fillId="0" borderId="93" applyAlignment="1" pivotButton="0" quotePrefix="0" xfId="19">
      <alignment horizontal="right" vertical="center"/>
    </xf>
    <xf numFmtId="0" fontId="39" fillId="20" borderId="36" applyAlignment="1" pivotButton="0" quotePrefix="0" xfId="16">
      <alignment horizontal="center" vertical="center"/>
    </xf>
    <xf numFmtId="0" fontId="39" fillId="0" borderId="148" applyAlignment="1" pivotButton="0" quotePrefix="0" xfId="16">
      <alignment horizontal="center" vertical="top"/>
    </xf>
    <xf numFmtId="169" fontId="33" fillId="0" borderId="102" applyAlignment="1" pivotButton="0" quotePrefix="0" xfId="31">
      <alignment vertical="center"/>
    </xf>
    <xf numFmtId="0" fontId="15" fillId="19" borderId="36" applyAlignment="1" pivotButton="0" quotePrefix="0" xfId="16">
      <alignment horizontal="center" vertical="center"/>
    </xf>
    <xf numFmtId="0" fontId="15" fillId="0" borderId="148" applyAlignment="1" pivotButton="0" quotePrefix="0" xfId="16">
      <alignment horizontal="center" vertical="top"/>
    </xf>
    <xf numFmtId="0" fontId="15" fillId="14" borderId="150" applyAlignment="1" pivotButton="0" quotePrefix="0" xfId="16">
      <alignment horizontal="center" vertical="center"/>
    </xf>
    <xf numFmtId="169" fontId="33" fillId="0" borderId="81" applyAlignment="1" pivotButton="0" quotePrefix="0" xfId="31">
      <alignment vertical="center"/>
    </xf>
    <xf numFmtId="3" fontId="33" fillId="0" borderId="81" applyAlignment="1" pivotButton="0" quotePrefix="0" xfId="31">
      <alignment horizontal="center" vertical="center"/>
    </xf>
    <xf numFmtId="169" fontId="29" fillId="0" borderId="81" applyAlignment="1" pivotButton="0" quotePrefix="0" xfId="31">
      <alignment horizontal="center" vertical="center"/>
    </xf>
    <xf numFmtId="164" fontId="42" fillId="0" borderId="36" applyAlignment="1" pivotButton="0" quotePrefix="0" xfId="17">
      <alignment horizontal="center" vertical="center"/>
    </xf>
    <xf numFmtId="3" fontId="42" fillId="0" borderId="36" applyAlignment="1" pivotButton="0" quotePrefix="0" xfId="17">
      <alignment horizontal="center" vertical="center"/>
    </xf>
    <xf numFmtId="164" fontId="29" fillId="0" borderId="36" applyAlignment="1" pivotButton="0" quotePrefix="0" xfId="23">
      <alignment horizontal="center" vertical="center"/>
    </xf>
    <xf numFmtId="164" fontId="29" fillId="0" borderId="0" applyAlignment="1" pivotButton="0" quotePrefix="0" xfId="23">
      <alignment horizontal="center" vertical="center"/>
    </xf>
    <xf numFmtId="3" fontId="42" fillId="0" borderId="36" applyAlignment="1" pivotButton="0" quotePrefix="0" xfId="19">
      <alignment horizontal="center" vertical="center"/>
    </xf>
    <xf numFmtId="3" fontId="29" fillId="0" borderId="36" applyAlignment="1" pivotButton="0" quotePrefix="0" xfId="23">
      <alignment horizontal="center" vertical="center"/>
    </xf>
    <xf numFmtId="164" fontId="29" fillId="0" borderId="36" applyAlignment="1" pivotButton="0" quotePrefix="0" xfId="23">
      <alignment vertical="center"/>
    </xf>
    <xf numFmtId="164" fontId="29" fillId="0" borderId="0" applyAlignment="1" pivotButton="0" quotePrefix="0" xfId="23">
      <alignment vertical="center"/>
    </xf>
    <xf numFmtId="164" fontId="42" fillId="0" borderId="36" applyAlignment="1" pivotButton="0" quotePrefix="0" xfId="23">
      <alignment horizontal="center" vertical="center"/>
    </xf>
    <xf numFmtId="165" fontId="29" fillId="0" borderId="36" applyAlignment="1" pivotButton="0" quotePrefix="0" xfId="23">
      <alignment horizontal="center" vertical="center"/>
    </xf>
    <xf numFmtId="167" fontId="29" fillId="0" borderId="36" applyAlignment="1" pivotButton="0" quotePrefix="0" xfId="24">
      <alignment horizontal="center" vertical="center"/>
    </xf>
    <xf numFmtId="167" fontId="29" fillId="0" borderId="36" applyAlignment="1" pivotButton="0" quotePrefix="0" xfId="31">
      <alignment horizontal="center" vertical="center"/>
    </xf>
    <xf numFmtId="165" fontId="29" fillId="0" borderId="0" applyAlignment="1" pivotButton="0" quotePrefix="0" xfId="23">
      <alignment horizontal="center" vertical="center"/>
    </xf>
    <xf numFmtId="167" fontId="29" fillId="0" borderId="0" applyAlignment="1" pivotButton="0" quotePrefix="0" xfId="24">
      <alignment horizontal="center" vertical="center"/>
    </xf>
    <xf numFmtId="169" fontId="29" fillId="17" borderId="46" applyAlignment="1" pivotButton="0" quotePrefix="0" xfId="31">
      <alignment horizontal="center" vertical="center"/>
    </xf>
    <xf numFmtId="3" fontId="29" fillId="17" borderId="46" applyAlignment="1" pivotButton="0" quotePrefix="0" xfId="31">
      <alignment horizontal="center" vertical="center"/>
    </xf>
    <xf numFmtId="0" fontId="0" fillId="0" borderId="158" pivotButton="0" quotePrefix="0" xfId="0"/>
    <xf numFmtId="3" fontId="29" fillId="17" borderId="103" applyAlignment="1" pivotButton="0" quotePrefix="0" xfId="23">
      <alignment horizontal="center" vertical="center"/>
    </xf>
    <xf numFmtId="0" fontId="0" fillId="0" borderId="159" pivotButton="0" quotePrefix="0" xfId="0"/>
    <xf numFmtId="3" fontId="29" fillId="0" borderId="53" applyAlignment="1" pivotButton="0" quotePrefix="0" xfId="23">
      <alignment horizontal="center" vertical="center"/>
    </xf>
    <xf numFmtId="0" fontId="0" fillId="0" borderId="14" pivotButton="0" quotePrefix="0" xfId="0"/>
    <xf numFmtId="3" fontId="29" fillId="0" borderId="46" applyAlignment="1" pivotButton="0" quotePrefix="0" xfId="23">
      <alignment horizontal="center" vertical="center"/>
    </xf>
    <xf numFmtId="0" fontId="3" fillId="0" borderId="156" applyAlignment="1" pivotButton="0" quotePrefix="0" xfId="9">
      <alignment vertical="center" wrapText="1"/>
    </xf>
    <xf numFmtId="3" fontId="29" fillId="0" borderId="59" applyAlignment="1" pivotButton="0" quotePrefix="0" xfId="23">
      <alignment horizontal="center" vertical="center"/>
    </xf>
    <xf numFmtId="0" fontId="0" fillId="0" borderId="20" pivotButton="0" quotePrefix="0" xfId="0"/>
    <xf numFmtId="169" fontId="29" fillId="0" borderId="59" applyAlignment="1" pivotButton="0" quotePrefix="0" xfId="31">
      <alignment vertical="center"/>
    </xf>
    <xf numFmtId="169" fontId="29" fillId="13" borderId="59" applyAlignment="1" pivotButton="0" quotePrefix="0" xfId="31">
      <alignment horizontal="right" vertical="center"/>
    </xf>
    <xf numFmtId="169" fontId="29" fillId="0" borderId="59" applyAlignment="1" pivotButton="0" quotePrefix="0" xfId="31">
      <alignment horizontal="center" vertical="center"/>
    </xf>
    <xf numFmtId="169" fontId="29" fillId="0" borderId="74" applyAlignment="1" pivotButton="0" quotePrefix="0" xfId="31">
      <alignment horizontal="center" vertical="center"/>
    </xf>
    <xf numFmtId="3" fontId="29" fillId="13" borderId="59" applyAlignment="1" pivotButton="0" quotePrefix="0" xfId="31">
      <alignment horizontal="center" vertical="center"/>
    </xf>
    <xf numFmtId="169" fontId="29" fillId="13" borderId="59" applyAlignment="1" pivotButton="0" quotePrefix="0" xfId="31">
      <alignment horizontal="center" vertical="center"/>
    </xf>
    <xf numFmtId="0" fontId="73" fillId="0" borderId="156" applyAlignment="1" pivotButton="0" quotePrefix="0" xfId="9">
      <alignment vertical="center" wrapText="1"/>
    </xf>
    <xf numFmtId="0" fontId="3" fillId="19" borderId="156" applyAlignment="1" pivotButton="0" quotePrefix="0" xfId="9">
      <alignment vertical="center"/>
    </xf>
    <xf numFmtId="3" fontId="29" fillId="19" borderId="59" applyAlignment="1" pivotButton="0" quotePrefix="0" xfId="23">
      <alignment horizontal="center" vertical="center"/>
    </xf>
    <xf numFmtId="3" fontId="29" fillId="19" borderId="46" applyAlignment="1" pivotButton="0" quotePrefix="0" xfId="23">
      <alignment horizontal="center" vertical="center"/>
    </xf>
    <xf numFmtId="3" fontId="42" fillId="0" borderId="80" applyAlignment="1" pivotButton="0" quotePrefix="0" xfId="19">
      <alignment horizontal="center" vertical="center"/>
    </xf>
    <xf numFmtId="3" fontId="0" fillId="0" borderId="0" pivotButton="0" quotePrefix="0" xfId="0"/>
    <xf numFmtId="3" fontId="29" fillId="0" borderId="38" applyAlignment="1" pivotButton="0" quotePrefix="0" xfId="23">
      <alignment horizontal="center" vertical="center"/>
    </xf>
    <xf numFmtId="3" fontId="29" fillId="19" borderId="38" applyAlignment="1" pivotButton="0" quotePrefix="0" xfId="23">
      <alignment horizontal="center" vertical="center"/>
    </xf>
    <xf numFmtId="0" fontId="0" fillId="0" borderId="162" pivotButton="0" quotePrefix="0" xfId="0"/>
    <xf numFmtId="0" fontId="0" fillId="0" borderId="51" pivotButton="0" quotePrefix="0" xfId="0"/>
    <xf numFmtId="0" fontId="75" fillId="0" borderId="156" applyAlignment="1" pivotButton="0" quotePrefix="0" xfId="23">
      <alignment horizontal="left" vertical="center"/>
    </xf>
    <xf numFmtId="0" fontId="100" fillId="0" borderId="156" applyAlignment="1" pivotButton="0" quotePrefix="0" xfId="23">
      <alignment horizontal="left" vertical="center"/>
    </xf>
    <xf numFmtId="38" fontId="91" fillId="0" borderId="160" applyAlignment="1" pivotButton="0" quotePrefix="0" xfId="19">
      <alignment horizontal="center" vertical="center"/>
    </xf>
    <xf numFmtId="0" fontId="0" fillId="0" borderId="121" pivotButton="0" quotePrefix="0" xfId="0"/>
    <xf numFmtId="0" fontId="0" fillId="0" borderId="122" pivotButton="0" quotePrefix="0" xfId="0"/>
    <xf numFmtId="38" fontId="91" fillId="0" borderId="156" applyAlignment="1" pivotButton="0" quotePrefix="0" xfId="19">
      <alignment horizontal="left" vertical="center"/>
    </xf>
    <xf numFmtId="0" fontId="75" fillId="0" borderId="156" applyAlignment="1" pivotButton="0" quotePrefix="0" xfId="29">
      <alignment horizontal="left" vertical="center"/>
    </xf>
    <xf numFmtId="38" fontId="91" fillId="0" borderId="160" applyAlignment="1" pivotButton="0" quotePrefix="0" xfId="8">
      <alignment horizontal="center" vertical="center"/>
    </xf>
    <xf numFmtId="0" fontId="75" fillId="0" borderId="156" applyAlignment="1" pivotButton="0" quotePrefix="0" xfId="23">
      <alignment horizontal="center" vertical="center"/>
    </xf>
    <xf numFmtId="38" fontId="42" fillId="0" borderId="160" applyAlignment="1" pivotButton="0" quotePrefix="0" xfId="8">
      <alignment horizontal="center" vertical="center"/>
    </xf>
    <xf numFmtId="38" fontId="7" fillId="0" borderId="36" applyAlignment="1" pivotButton="0" quotePrefix="0" xfId="8">
      <alignment horizontal="center" vertical="center" wrapText="1"/>
    </xf>
    <xf numFmtId="3" fontId="3" fillId="0" borderId="36" applyAlignment="1" pivotButton="0" quotePrefix="0" xfId="1">
      <alignment horizontal="right" vertical="center"/>
    </xf>
    <xf numFmtId="3" fontId="3" fillId="0" borderId="37" applyAlignment="1" pivotButton="0" quotePrefix="0" xfId="1">
      <alignment vertical="center"/>
    </xf>
    <xf numFmtId="3" fontId="3" fillId="4" borderId="36" applyAlignment="1" pivotButton="0" quotePrefix="0" xfId="8">
      <alignment horizontal="center" vertical="center"/>
    </xf>
    <xf numFmtId="3" fontId="3" fillId="0" borderId="36" applyAlignment="1" pivotButton="0" quotePrefix="0" xfId="8">
      <alignment horizontal="center" vertical="center"/>
    </xf>
    <xf numFmtId="3" fontId="3" fillId="17" borderId="36" applyAlignment="1" pivotButton="0" quotePrefix="0" xfId="8">
      <alignment horizontal="center" vertical="center"/>
    </xf>
    <xf numFmtId="0" fontId="0" fillId="0" borderId="171" applyProtection="1" pivotButton="0" quotePrefix="0" xfId="0">
      <protection locked="0" hidden="0"/>
    </xf>
    <xf numFmtId="0" fontId="0" fillId="0" borderId="124" applyProtection="1" pivotButton="0" quotePrefix="0" xfId="0">
      <protection locked="0" hidden="0"/>
    </xf>
    <xf numFmtId="165" fontId="94" fillId="20" borderId="141" applyAlignment="1" applyProtection="1" pivotButton="0" quotePrefix="0" xfId="1">
      <alignment horizontal="center" vertical="center"/>
      <protection locked="0" hidden="0"/>
    </xf>
    <xf numFmtId="0" fontId="0" fillId="0" borderId="174" pivotButton="0" quotePrefix="0" xfId="0"/>
    <xf numFmtId="0" fontId="0" fillId="0" borderId="175" pivotButton="0" quotePrefix="0" xfId="0"/>
    <xf numFmtId="0" fontId="0" fillId="0" borderId="167" pivotButton="0" quotePrefix="0" xfId="0"/>
    <xf numFmtId="0" fontId="0" fillId="0" borderId="168" pivotButton="0" quotePrefix="0" xfId="0"/>
    <xf numFmtId="3" fontId="29" fillId="0" borderId="6" applyAlignment="1" applyProtection="1" pivotButton="0" quotePrefix="0" xfId="27">
      <alignment horizontal="center" vertical="center"/>
      <protection locked="0" hidden="0"/>
    </xf>
    <xf numFmtId="3" fontId="29" fillId="0" borderId="8" applyAlignment="1" applyProtection="1" pivotButton="0" quotePrefix="0" xfId="27">
      <alignment horizontal="center" vertical="center"/>
      <protection locked="0" hidden="0"/>
    </xf>
    <xf numFmtId="0" fontId="0" fillId="0" borderId="164" pivotButton="0" quotePrefix="0" xfId="0"/>
    <xf numFmtId="0" fontId="0" fillId="0" borderId="13" pivotButton="0" quotePrefix="0" xfId="0"/>
    <xf numFmtId="0" fontId="29" fillId="0" borderId="156" applyAlignment="1" pivotButton="0" quotePrefix="0" xfId="27">
      <alignment horizontal="center" vertical="center" wrapText="1"/>
    </xf>
    <xf numFmtId="0" fontId="29" fillId="0" borderId="3" applyAlignment="1" pivotButton="0" quotePrefix="0" xfId="27">
      <alignment horizontal="left" vertical="center" wrapText="1"/>
    </xf>
    <xf numFmtId="0" fontId="31" fillId="0" borderId="3" applyAlignment="1" pivotButton="0" quotePrefix="0" xfId="27">
      <alignment horizontal="left" vertical="center"/>
    </xf>
    <xf numFmtId="3" fontId="29" fillId="0" borderId="8" applyAlignment="1" applyProtection="1" pivotButton="0" quotePrefix="0" xfId="28">
      <alignment horizontal="center" vertical="center"/>
      <protection locked="0" hidden="0"/>
    </xf>
    <xf numFmtId="0" fontId="31" fillId="0" borderId="3" applyAlignment="1" pivotButton="0" quotePrefix="0" xfId="27">
      <alignment horizontal="left" vertical="center" wrapText="1"/>
    </xf>
    <xf numFmtId="0" fontId="29" fillId="0" borderId="3" applyAlignment="1" pivotButton="0" quotePrefix="0" xfId="27">
      <alignment horizontal="center" vertical="center" wrapText="1"/>
    </xf>
    <xf numFmtId="3" fontId="29" fillId="0" borderId="6" applyAlignment="1" applyProtection="1" pivotButton="0" quotePrefix="0" xfId="33">
      <alignment horizontal="center" vertical="center"/>
      <protection locked="0" hidden="0"/>
    </xf>
    <xf numFmtId="3" fontId="29" fillId="0" borderId="11" applyAlignment="1" applyProtection="1" pivotButton="0" quotePrefix="0" xfId="33">
      <alignment horizontal="center"/>
      <protection locked="0" hidden="0"/>
    </xf>
    <xf numFmtId="0" fontId="29" fillId="18" borderId="3" applyAlignment="1" pivotButton="0" quotePrefix="0" xfId="27">
      <alignment horizontal="center" vertical="center" wrapText="1"/>
    </xf>
    <xf numFmtId="0" fontId="31" fillId="0" borderId="3" applyAlignment="1" pivotButton="0" quotePrefix="0" xfId="26">
      <alignment horizontal="left" vertical="center" wrapText="1"/>
    </xf>
    <xf numFmtId="168" fontId="29" fillId="17" borderId="6" applyAlignment="1" pivotButton="0" quotePrefix="0" xfId="28">
      <alignment horizontal="center" vertical="center"/>
    </xf>
    <xf numFmtId="168" fontId="29" fillId="17" borderId="29" applyAlignment="1" pivotButton="0" quotePrefix="0" xfId="28">
      <alignment horizontal="center" vertical="center"/>
    </xf>
    <xf numFmtId="168" fontId="29" fillId="22" borderId="29" applyAlignment="1" pivotButton="0" quotePrefix="0" xfId="28">
      <alignment horizontal="center" vertical="center"/>
    </xf>
    <xf numFmtId="168" fontId="29" fillId="0" borderId="29" applyAlignment="1" pivotButton="0" quotePrefix="0" xfId="28">
      <alignment horizontal="left" vertical="center"/>
    </xf>
    <xf numFmtId="168" fontId="29" fillId="17" borderId="11" applyAlignment="1" pivotButton="0" quotePrefix="0" xfId="28">
      <alignment horizontal="center" vertical="center"/>
    </xf>
    <xf numFmtId="168" fontId="29" fillId="17" borderId="30" applyAlignment="1" pivotButton="0" quotePrefix="0" xfId="28">
      <alignment horizontal="center" vertical="center"/>
    </xf>
    <xf numFmtId="168" fontId="29" fillId="22" borderId="30" applyAlignment="1" pivotButton="0" quotePrefix="0" xfId="28">
      <alignment horizontal="center" vertical="center"/>
    </xf>
    <xf numFmtId="168" fontId="29" fillId="0" borderId="30" applyAlignment="1" pivotButton="0" quotePrefix="0" xfId="28">
      <alignment horizontal="left" vertical="center"/>
    </xf>
    <xf numFmtId="0" fontId="31" fillId="0" borderId="3" applyAlignment="1" pivotButton="0" quotePrefix="0" xfId="27">
      <alignment vertical="center" wrapText="1"/>
    </xf>
    <xf numFmtId="3" fontId="29" fillId="0" borderId="15" applyAlignment="1" applyProtection="1" pivotButton="0" quotePrefix="0" xfId="28">
      <alignment horizontal="center" vertical="center"/>
      <protection locked="0" hidden="0"/>
    </xf>
    <xf numFmtId="168" fontId="29" fillId="17" borderId="8" applyAlignment="1" pivotButton="0" quotePrefix="0" xfId="28">
      <alignment horizontal="center" vertical="center"/>
    </xf>
    <xf numFmtId="3" fontId="29" fillId="0" borderId="8" applyAlignment="1" applyProtection="1" pivotButton="0" quotePrefix="0" xfId="28">
      <alignment horizontal="center" vertical="center" wrapText="1"/>
      <protection locked="0" hidden="0"/>
    </xf>
    <xf numFmtId="3" fontId="29" fillId="0" borderId="11" applyAlignment="1" applyProtection="1" pivotButton="0" quotePrefix="0" xfId="28">
      <alignment horizontal="center" vertical="center"/>
      <protection locked="0" hidden="0"/>
    </xf>
    <xf numFmtId="0" fontId="29" fillId="17" borderId="3" applyAlignment="1" pivotButton="0" quotePrefix="0" xfId="27">
      <alignment horizontal="center" vertical="center" wrapText="1"/>
    </xf>
    <xf numFmtId="0" fontId="0" fillId="0" borderId="163" pivotButton="0" quotePrefix="0" xfId="0"/>
  </cellXfs>
  <cellStyles count="36">
    <cellStyle name="Normal" xfId="0" builtinId="0"/>
    <cellStyle name="Comma [0]" xfId="1" builtinId="6"/>
    <cellStyle name="標準 3" xfId="2"/>
    <cellStyle name="千分位 2" xfId="3"/>
    <cellStyle name="パーセント 3" xfId="4"/>
    <cellStyle name="パーセント 2 2" xfId="5"/>
    <cellStyle name="桁区切り 3" xfId="6"/>
    <cellStyle name="一般 2" xfId="7"/>
    <cellStyle name="桁区切り 2" xfId="8"/>
    <cellStyle name="標準 2" xfId="9"/>
    <cellStyle name="標準_Sheet1" xfId="10"/>
    <cellStyle name="標準 4" xfId="11"/>
    <cellStyle name="標準_Du lieu tinh san xuat VNM-VDM" xfId="12"/>
    <cellStyle name="パーセント 2" xfId="13"/>
    <cellStyle name="標準 3 2" xfId="14"/>
    <cellStyle name="一般_机械别稼动率1" xfId="15"/>
    <cellStyle name="標準 3 2 2" xfId="16"/>
    <cellStyle name="標準 5" xfId="17"/>
    <cellStyle name="標準 3 3" xfId="18"/>
    <cellStyle name="桁区切り 2 2" xfId="19"/>
    <cellStyle name="パーセント 4" xfId="20"/>
    <cellStyle name="桁区切り 4" xfId="21"/>
    <cellStyle name="桁区切り [0.00] 2" xfId="22"/>
    <cellStyle name="標準 2 2" xfId="23"/>
    <cellStyle name="桁区切り [0.00] 3" xfId="24"/>
    <cellStyle name="パーセント 2 2 2" xfId="25"/>
    <cellStyle name="標準_Du lieu tinh san xuat VNM-VDM 2" xfId="26"/>
    <cellStyle name="標準_Sheet1 2" xfId="27"/>
    <cellStyle name="桁区切り 3 2" xfId="28"/>
    <cellStyle name="Hyperlink" xfId="29" builtinId="8"/>
    <cellStyle name="Percent" xfId="30" builtinId="5"/>
    <cellStyle name="Comma" xfId="31" builtinId="3"/>
    <cellStyle name="標準 6" xfId="32"/>
    <cellStyle name="桁区切り 4 2" xfId="33"/>
    <cellStyle name="パーセント 4 2" xfId="34"/>
    <cellStyle name="パーセント 5" xfId="3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【LA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機械別実績!$J$10:$K$10</f>
              <strCache>
                <ptCount val="2"/>
                <pt idx="0">
                  <v>LA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機械別実績!$L$10:$W$10</f>
              <numCache>
                <formatCode>#,##0_);[Red]\(#,##0\)</formatCode>
                <ptCount val="12"/>
                <pt idx="0">
                  <v>45133</v>
                </pt>
                <pt idx="1">
                  <v>32367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711808"/>
        <axId val="98721792"/>
      </barChart>
      <lineChart>
        <grouping val="standard"/>
        <varyColors val="0"/>
        <ser>
          <idx val="3"/>
          <order val="1"/>
          <tx>
            <strRef>
              <f>機械別実績!$J$11:$K$11</f>
              <strCache>
                <ptCount val="2"/>
                <pt idx="0">
                  <v>LA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rgbClr val="FFC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機械別実績!$L$11:$W$11</f>
              <numCache>
                <formatCode>0.00%</formatCode>
                <ptCount val="12"/>
                <pt idx="0">
                  <v>0.7514652014652015</v>
                </pt>
                <pt idx="1">
                  <v>0.7904029304029304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724864"/>
        <axId val="98723328"/>
      </lineChart>
      <catAx>
        <axId val="987118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721792"/>
        <crossesAt val="0"/>
        <auto val="1"/>
        <lblAlgn val="ctr"/>
        <lblOffset val="100"/>
        <noMultiLvlLbl val="0"/>
      </catAx>
      <valAx>
        <axId val="987217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711808"/>
        <crosses val="autoZero"/>
        <crossBetween val="between"/>
      </valAx>
      <catAx>
        <axId val="98724864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723328"/>
        <crosses val="autoZero"/>
        <auto val="1"/>
        <lblAlgn val="ctr"/>
        <lblOffset val="100"/>
        <noMultiLvlLbl val="0"/>
      </catAx>
      <valAx>
        <axId val="98723328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724864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【MA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機械別実績!$J$17:$K$17</f>
              <strCache>
                <ptCount val="2"/>
                <pt idx="0">
                  <v>MA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機械別実績!$L$17:$W$17</f>
              <numCache>
                <formatCode>#,##0_);[Red]\(#,##0\)</formatCode>
                <ptCount val="12"/>
                <pt idx="0">
                  <v>56798</v>
                </pt>
                <pt idx="1">
                  <v>38270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437376"/>
        <axId val="98439168"/>
      </barChart>
      <lineChart>
        <grouping val="standard"/>
        <varyColors val="0"/>
        <ser>
          <idx val="3"/>
          <order val="1"/>
          <tx>
            <strRef>
              <f>機械別実績!$J$18:$K$18</f>
              <strCache>
                <ptCount val="2"/>
                <pt idx="0">
                  <v>MA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機械別実績!$L$18:$W$18</f>
              <numCache>
                <formatCode>0.00%</formatCode>
                <ptCount val="12"/>
                <pt idx="0">
                  <v>0.7092657342657342</v>
                </pt>
                <pt idx="1">
                  <v>0.7009157509157509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442240"/>
        <axId val="98440704"/>
      </lineChart>
      <catAx>
        <axId val="984373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439168"/>
        <crossesAt val="0"/>
        <auto val="1"/>
        <lblAlgn val="ctr"/>
        <lblOffset val="100"/>
        <noMultiLvlLbl val="0"/>
      </catAx>
      <valAx>
        <axId val="984391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437376"/>
        <crosses val="autoZero"/>
        <crossBetween val="between"/>
      </valAx>
      <catAx>
        <axId val="98442240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440704"/>
        <crosses val="autoZero"/>
        <auto val="1"/>
        <lblAlgn val="ctr"/>
        <lblOffset val="100"/>
        <noMultiLvlLbl val="0"/>
      </catAx>
      <valAx>
        <axId val="98440704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442240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【BJ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機械別実績!$J$26:$K$26</f>
              <strCache>
                <ptCount val="2"/>
                <pt idx="0">
                  <v>BJ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機械別実績!$L$26:$W$26</f>
              <numCache>
                <formatCode>#,##0_);[Red]\(#,##0\)</formatCode>
                <ptCount val="12"/>
                <pt idx="0">
                  <v>88979</v>
                </pt>
                <pt idx="1">
                  <v>66083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492416"/>
        <axId val="98493952"/>
      </barChart>
      <lineChart>
        <grouping val="standard"/>
        <varyColors val="0"/>
        <ser>
          <idx val="3"/>
          <order val="1"/>
          <tx>
            <strRef>
              <f>機械別実績!$J$27:$K$27</f>
              <strCache>
                <ptCount val="2"/>
                <pt idx="0">
                  <v>BJ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機械別実績!$L$27:$W$27</f>
              <numCache>
                <formatCode>0.00%</formatCode>
                <ptCount val="12"/>
                <pt idx="0">
                  <v>0.8889010989010989</v>
                </pt>
                <pt idx="1">
                  <v>0.9682490842490843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497280"/>
        <axId val="98495488"/>
      </lineChart>
      <catAx>
        <axId val="984924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493952"/>
        <crossesAt val="0"/>
        <auto val="1"/>
        <lblAlgn val="ctr"/>
        <lblOffset val="100"/>
        <noMultiLvlLbl val="0"/>
      </catAx>
      <valAx>
        <axId val="984939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492416"/>
        <crosses val="autoZero"/>
        <crossBetween val="between"/>
      </valAx>
      <catAx>
        <axId val="98497280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495488"/>
        <crosses val="autoZero"/>
        <auto val="1"/>
        <lblAlgn val="ctr"/>
        <lblOffset val="100"/>
        <noMultiLvlLbl val="0"/>
      </catAx>
      <valAx>
        <axId val="98495488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497280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【DA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機械別実績!$J$31:$K$31</f>
              <strCache>
                <ptCount val="2"/>
                <pt idx="0">
                  <v>DA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機械別実績!$L$31:$W$31</f>
              <numCache>
                <formatCode>#,##0_);[Red]\(#,##0\)</formatCode>
                <ptCount val="12"/>
                <pt idx="0">
                  <v>8420</v>
                </pt>
                <pt idx="1">
                  <v>6820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540544"/>
        <axId val="98550528"/>
      </barChart>
      <lineChart>
        <grouping val="standard"/>
        <varyColors val="0"/>
        <ser>
          <idx val="3"/>
          <order val="1"/>
          <tx>
            <strRef>
              <f>機械別実績!$J$32:$K$32</f>
              <strCache>
                <ptCount val="2"/>
                <pt idx="0">
                  <v>DA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機械別実績!$L$32:$W$32</f>
              <numCache>
                <formatCode>0.00%</formatCode>
                <ptCount val="12"/>
                <pt idx="0">
                  <v>0.2102897102897103</v>
                </pt>
                <pt idx="1">
                  <v>0.2498168498168498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562048"/>
        <axId val="98552064"/>
      </lineChart>
      <catAx>
        <axId val="985405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550528"/>
        <crossesAt val="0"/>
        <auto val="1"/>
        <lblAlgn val="ctr"/>
        <lblOffset val="100"/>
        <noMultiLvlLbl val="0"/>
      </catAx>
      <valAx>
        <axId val="985505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540544"/>
        <crosses val="autoZero"/>
        <crossBetween val="between"/>
      </valAx>
      <catAx>
        <axId val="98562048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552064"/>
        <crosses val="autoZero"/>
        <auto val="1"/>
        <lblAlgn val="ctr"/>
        <lblOffset val="100"/>
        <noMultiLvlLbl val="0"/>
      </catAx>
      <valAx>
        <axId val="98552064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562048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【LN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機械別実績!$J$42:$K$42</f>
              <strCache>
                <ptCount val="2"/>
                <pt idx="0">
                  <v>LN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機械別実績!$L$42:$W$42</f>
              <numCache>
                <formatCode>#,##0_);[Red]\(#,##0\)</formatCode>
                <ptCount val="12"/>
                <pt idx="0">
                  <v>48637</v>
                </pt>
                <pt idx="1">
                  <v>35111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785536"/>
        <axId val="98795520"/>
      </barChart>
      <lineChart>
        <grouping val="standard"/>
        <varyColors val="0"/>
        <ser>
          <idx val="3"/>
          <order val="1"/>
          <tx>
            <strRef>
              <f>機械別実績!$J$43:$K$43</f>
              <strCache>
                <ptCount val="2"/>
                <pt idx="0">
                  <v>LN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機械別実績!$L$43:$W$43</f>
              <numCache>
                <formatCode>0.00%</formatCode>
                <ptCount val="12"/>
                <pt idx="0">
                  <v>1.21471028971029</v>
                </pt>
                <pt idx="1">
                  <v>1.286117216117216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798592"/>
        <axId val="98797056"/>
      </lineChart>
      <catAx>
        <axId val="987855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795520"/>
        <crossesAt val="0"/>
        <auto val="1"/>
        <lblAlgn val="ctr"/>
        <lblOffset val="100"/>
        <noMultiLvlLbl val="0"/>
      </catAx>
      <valAx>
        <axId val="987955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785536"/>
        <crosses val="autoZero"/>
        <crossBetween val="between"/>
      </valAx>
      <catAx>
        <axId val="98798592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797056"/>
        <crosses val="autoZero"/>
        <auto val="1"/>
        <lblAlgn val="ctr"/>
        <lblOffset val="100"/>
        <noMultiLvlLbl val="0"/>
      </catAx>
      <valAx>
        <axId val="98797056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798592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【MC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機械別実績!$J$49:$K$49</f>
              <strCache>
                <ptCount val="2"/>
                <pt idx="0">
                  <v>MC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機械別実績!$L$49:$W$49</f>
              <numCache>
                <formatCode>#,##0_);[Red]\(#,##0\)</formatCode>
                <ptCount val="12"/>
                <pt idx="0">
                  <v>69255</v>
                </pt>
                <pt idx="1">
                  <v>48039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機械別実績!$J$50:$K$50</f>
              <strCache>
                <ptCount val="2"/>
                <pt idx="0">
                  <v>MC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機械別実績!$L$50:$W$50</f>
              <numCache>
                <formatCode>0.00%</formatCode>
                <ptCount val="12"/>
                <pt idx="0">
                  <v>1.153096903096903</v>
                </pt>
                <pt idx="1">
                  <v>1.173113553113553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【HT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機械別実績!$J$37:$K$37</f>
              <strCache>
                <ptCount val="2"/>
                <pt idx="0">
                  <v>HT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機械別実績!$L$37:$W$37</f>
              <numCache>
                <formatCode>#,##0_);[Red]\(#,##0\)</formatCode>
                <ptCount val="12"/>
                <pt idx="0">
                  <v>14010</v>
                </pt>
                <pt idx="1">
                  <v>9620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540544"/>
        <axId val="98550528"/>
      </barChart>
      <lineChart>
        <grouping val="standard"/>
        <varyColors val="0"/>
        <ser>
          <idx val="3"/>
          <order val="1"/>
          <tx>
            <strRef>
              <f>機械別実績!$J$38:$K$38</f>
              <strCache>
                <ptCount val="2"/>
                <pt idx="0">
                  <v>HT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機械別実績!$L$38:$W$38</f>
              <numCache>
                <formatCode>0.00%</formatCode>
                <ptCount val="12"/>
                <pt idx="0">
                  <v>0.4332096474953618</v>
                </pt>
                <pt idx="1">
                  <v>0.436281179138322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562048"/>
        <axId val="98552064"/>
      </lineChart>
      <catAx>
        <axId val="985405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550528"/>
        <crossesAt val="0"/>
        <auto val="1"/>
        <lblAlgn val="ctr"/>
        <lblOffset val="100"/>
        <noMultiLvlLbl val="0"/>
      </catAx>
      <valAx>
        <axId val="985505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540544"/>
        <crosses val="autoZero"/>
        <crossBetween val="between"/>
      </valAx>
      <catAx>
        <axId val="98562048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552064"/>
        <crosses val="autoZero"/>
        <auto val="1"/>
        <lblAlgn val="ctr"/>
        <lblOffset val="100"/>
        <noMultiLvlLbl val="0"/>
      </catAx>
      <valAx>
        <axId val="98552064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562048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【LN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機械別実績!$C$39</f>
              <strCache>
                <ptCount val="1"/>
                <pt idx="0">
                  <v>LN01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機械別実績!$L$39:$W$39</f>
              <numCache>
                <formatCode>#,##0_);[Red]\(#,##0\)</formatCode>
                <ptCount val="12"/>
                <pt idx="0">
                  <v>23009</v>
                </pt>
                <pt idx="1">
                  <v>14812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08691037037037036"/>
          <h val="0.105751193255553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【MC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機械別実績!$C$44</f>
              <strCache>
                <ptCount val="1"/>
                <pt idx="0">
                  <v>MC1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機械別実績!$L$44:$W$44</f>
              <numCache>
                <formatCode>#,##0_);[Red]\(#,##0\)</formatCode>
                <ptCount val="12"/>
                <pt idx="0">
                  <v>24069</v>
                </pt>
                <pt idx="1">
                  <v>15339</v>
                </pt>
              </numCache>
            </numRef>
          </val>
        </ser>
        <ser>
          <idx val="1"/>
          <order val="1"/>
          <tx>
            <strRef>
              <f>機械別実績!$C$45</f>
              <strCache>
                <ptCount val="1"/>
                <pt idx="0">
                  <v>MC2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機械別実績!$L$45:$W$45</f>
              <numCache>
                <formatCode>#,##0_);[Red]\(#,##0\)</formatCode>
                <ptCount val="12"/>
                <pt idx="0">
                  <v>20892</v>
                </pt>
                <pt idx="1">
                  <v>15143</v>
                </pt>
              </numCache>
            </numRef>
          </val>
        </ser>
        <ser>
          <idx val="2"/>
          <order val="2"/>
          <tx>
            <strRef>
              <f>機械別実績!$C$46</f>
              <strCache>
                <ptCount val="1"/>
                <pt idx="0">
                  <v>MC3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機械別実績!$L$46:$W$46</f>
              <numCache>
                <formatCode>#,##0_);[Red]\(#,##0\)</formatCode>
                <ptCount val="12"/>
                <pt idx="0">
                  <v>24294</v>
                </pt>
                <pt idx="1">
                  <v>17557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2785816666666667"/>
          <h val="0.105751193255553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【ED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機械別実績!$C$51</f>
              <strCache>
                <ptCount val="1"/>
                <pt idx="0">
                  <v>ED01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機械別実績!$L$51:$W$51</f>
              <numCache>
                <formatCode>_(* #,##0_);_(* \(#,##0\);_(* "-"??_);_(@_)</formatCode>
                <ptCount val="12"/>
                <pt idx="0">
                  <v>0</v>
                </pt>
                <pt idx="1">
                  <v>0</v>
                </pt>
              </numCache>
            </numRef>
          </val>
        </ser>
        <ser>
          <idx val="1"/>
          <order val="1"/>
          <tx>
            <strRef>
              <f>機械別実績!$C$52</f>
              <strCache>
                <ptCount val="1"/>
                <pt idx="0">
                  <v>ED02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機械別実績!$L$52:$W$52</f>
              <numCache>
                <formatCode>#,##0_);[Red]\(#,##0\)</formatCode>
                <ptCount val="12"/>
                <pt idx="0">
                  <v>9745</v>
                </pt>
                <pt idx="1">
                  <v>4140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1758978124069637"/>
          <h val="0.0906639847164758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【ED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機械別実績!$J$54:$K$54</f>
              <strCache>
                <ptCount val="2"/>
                <pt idx="0">
                  <v>ED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機械別実績!$L$54:$W$54</f>
              <numCache>
                <formatCode>#,##0_);[Red]\(#,##0\)</formatCode>
                <ptCount val="12"/>
                <pt idx="0">
                  <v>9745</v>
                </pt>
                <pt idx="1">
                  <v>4140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機械別実績!$J$55:$K$55</f>
              <strCache>
                <ptCount val="2"/>
                <pt idx="0">
                  <v>ED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機械別実績!$L$55:$W$55</f>
              <numCache>
                <formatCode>0.00%</formatCode>
                <ptCount val="12"/>
                <pt idx="0">
                  <v>0.2433816183816184</v>
                </pt>
                <pt idx="1">
                  <v>0.1516483516483516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【EN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機械別実績!$J$65:$K$65</f>
              <strCache>
                <ptCount val="2"/>
                <pt idx="0">
                  <v>EN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機械別実績!$L$65:$W$65</f>
              <numCache>
                <formatCode>#,##0_);[Red]\(#,##0\)</formatCode>
                <ptCount val="12"/>
                <pt idx="0">
                  <v>89769</v>
                </pt>
                <pt idx="1">
                  <v>59099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機械別実績!$J$66:$K$66</f>
              <strCache>
                <ptCount val="2"/>
                <pt idx="0">
                  <v>EN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機械別実績!$L$66:$W$66</f>
              <numCache>
                <formatCode>0.00%</formatCode>
                <ptCount val="12"/>
                <pt idx="0">
                  <v>1.120991508491509</v>
                </pt>
                <pt idx="1">
                  <v>1.082399267399268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【EW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機械別実績!$J$72:$K$72</f>
              <strCache>
                <ptCount val="2"/>
                <pt idx="0">
                  <v>EW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機械別実績!$L$72:$W$72</f>
              <numCache>
                <formatCode>#,##0_);[Red]\(#,##0\)</formatCode>
                <ptCount val="12"/>
                <pt idx="0">
                  <v>102209</v>
                </pt>
                <pt idx="1">
                  <v>72836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機械別実績!$J$73:$K$73</f>
              <strCache>
                <ptCount val="2"/>
                <pt idx="0">
                  <v>EW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機械別実績!$L$73:$W$73</f>
              <numCache>
                <formatCode>0.00%</formatCode>
                <ptCount val="12"/>
                <pt idx="0">
                  <v>1.276336163836164</v>
                </pt>
                <pt idx="1">
                  <v>1.333992673992674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【GC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機械別実績!$J$77:$K$77</f>
              <strCache>
                <ptCount val="2"/>
                <pt idx="0">
                  <v>GC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機械別実績!$L$77:$W$77</f>
              <numCache>
                <formatCode>#,##0_);[Red]\(#,##0\)</formatCode>
                <ptCount val="12"/>
                <pt idx="0">
                  <v>24212</v>
                </pt>
                <pt idx="1">
                  <v>16319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機械別実績!$J$78:$K$78</f>
              <strCache>
                <ptCount val="2"/>
                <pt idx="0">
                  <v>GC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機械別実績!$L$78:$W$78</f>
              <numCache>
                <formatCode>0.00%</formatCode>
                <ptCount val="12"/>
                <pt idx="0">
                  <v>0.6046953046953047</v>
                </pt>
                <pt idx="1">
                  <v>0.5977655677655678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【GJ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機械別実績!$J$82:$K$82</f>
              <strCache>
                <ptCount val="2"/>
                <pt idx="0">
                  <v>GJ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機械別実績!$L$82:$W$82</f>
              <numCache>
                <formatCode>#,##0_);[Red]\(#,##0\)</formatCode>
                <ptCount val="12"/>
                <pt idx="0">
                  <v>34124</v>
                </pt>
                <pt idx="1">
                  <v>21730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機械別実績!$J$83:$K$83</f>
              <strCache>
                <ptCount val="2"/>
                <pt idx="0">
                  <v>GJ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機械別実績!$L$83:$W$83</f>
              <numCache>
                <formatCode>0.00%</formatCode>
                <ptCount val="12"/>
                <pt idx="0">
                  <v>0.8522477522477523</v>
                </pt>
                <pt idx="1">
                  <v>0.7959706959706959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【GP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機械別実績!$C$84</f>
              <strCache>
                <ptCount val="1"/>
                <pt idx="0">
                  <v>GP02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機械別実績!$L$84:$W$84</f>
              <numCache>
                <formatCode>#,##0_);[Red]\(#,##0\)</formatCode>
                <ptCount val="12"/>
                <pt idx="0">
                  <v>19083</v>
                </pt>
                <pt idx="1">
                  <v>11551</v>
                </pt>
              </numCache>
            </numRef>
          </val>
        </ser>
        <ser>
          <idx val="1"/>
          <order val="1"/>
          <tx>
            <strRef>
              <f>機械別実績!$C$85</f>
              <strCache>
                <ptCount val="1"/>
                <pt idx="0">
                  <v>GP03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機械別実績!$L$85:$W$85</f>
              <numCache>
                <formatCode>#,##0_);[Red]\(#,##0\)</formatCode>
                <ptCount val="12"/>
                <pt idx="0">
                  <v>22024</v>
                </pt>
                <pt idx="1">
                  <v>15204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1804248148148148"/>
          <h val="0.105751193255553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【GP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機械別実績!$J$88:$K$88</f>
              <strCache>
                <ptCount val="2"/>
                <pt idx="0">
                  <v>GP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機械別実績!$L$88:$W$88</f>
              <numCache>
                <formatCode>#,##0_);[Red]\(#,##0\)</formatCode>
                <ptCount val="12"/>
                <pt idx="0">
                  <v>41107</v>
                </pt>
                <pt idx="1">
                  <v>26755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機械別実績!$J$89:$K$89</f>
              <strCache>
                <ptCount val="2"/>
                <pt idx="0">
                  <v>GP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機械別実績!$L$89:$W$89</f>
              <numCache>
                <formatCode>0.00%</formatCode>
                <ptCount val="12"/>
                <pt idx="0">
                  <v>1.026648351648352</v>
                </pt>
                <pt idx="1">
                  <v>0.98003663003663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【GR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機械別実績!$C$90</f>
              <strCache>
                <ptCount val="1"/>
                <pt idx="0">
                  <v>GR02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機械別実績!$L$90:$W$90</f>
              <numCache>
                <formatCode>_(* #,##0_);_(* \(#,##0\);_(* "-"??_);_(@_)</formatCode>
                <ptCount val="12"/>
                <pt idx="0">
                  <v>21736</v>
                </pt>
                <pt idx="1">
                  <v>15067</v>
                </pt>
              </numCache>
            </numRef>
          </val>
        </ser>
        <ser>
          <idx val="1"/>
          <order val="1"/>
          <tx>
            <strRef>
              <f>機械別実績!$C$91</f>
              <strCache>
                <ptCount val="1"/>
                <pt idx="0">
                  <v>GR04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機械別実績!$L$91:$W$91</f>
              <numCache>
                <formatCode>_(* #,##0_);_(* \(#,##0\);_(* "-"??_);_(@_)</formatCode>
                <ptCount val="12"/>
                <pt idx="0">
                  <v>21282</v>
                </pt>
                <pt idx="1">
                  <v>15244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1804248148148148"/>
          <h val="0.105751193255553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【GR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機械別実績!$J$93:$K$93</f>
              <strCache>
                <ptCount val="2"/>
                <pt idx="0">
                  <v>GR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機械別実績!$L$93:$W$93</f>
              <numCache>
                <formatCode>#,##0_);[Red]\(#,##0\)</formatCode>
                <ptCount val="12"/>
                <pt idx="0">
                  <v>43018</v>
                </pt>
                <pt idx="1">
                  <v>30311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機械別実績!$J$94:$K$94</f>
              <strCache>
                <ptCount val="2"/>
                <pt idx="0">
                  <v>GR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機械別実績!$L$94:$W$94</f>
              <numCache>
                <formatCode>0.00%</formatCode>
                <ptCount val="12"/>
                <pt idx="0">
                  <v>1.074375624375624</v>
                </pt>
                <pt idx="1">
                  <v>1.11029304029304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【GX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機械別実績!$C$95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機械別実績!$L$95:$W$95</f>
              <numCache>
                <formatCode>General</formatCode>
                <ptCount val="12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1804248148148148"/>
          <h val="0.105751193255553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【GX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機械別実績!$J$97:$K$97</f>
              <strCache>
                <ptCount val="2"/>
                <pt idx="0">
                  <v>GX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機械別実績!$L$97:$W$97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機械別実績!$J$98:$K$98</f>
              <strCache>
                <ptCount val="2"/>
                <pt idx="0">
                  <v>GX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機械別実績!$L$98:$W$98</f>
              <numCache>
                <formatCode>0.00%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【GS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機械別実績!$J$107:$K$107</f>
              <strCache>
                <ptCount val="2"/>
                <pt idx="0">
                  <v>GS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機械別実績!$L$107:$W$107</f>
              <numCache>
                <formatCode>#,##0_);[Red]\(#,##0\)</formatCode>
                <ptCount val="12"/>
                <pt idx="0">
                  <v>130317</v>
                </pt>
                <pt idx="1">
                  <v>89896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機械別実績!$J$108:$K$108</f>
              <strCache>
                <ptCount val="2"/>
                <pt idx="0">
                  <v>GS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機械別実績!$L$108:$W$108</f>
              <numCache>
                <formatCode>0.00%</formatCode>
                <ptCount val="12"/>
                <pt idx="0">
                  <v>0.929905808477237</v>
                </pt>
                <pt idx="1">
                  <v>0.9408267922553637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【LA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機械別実績!$C$5</f>
              <strCache>
                <ptCount val="1"/>
                <pt idx="0">
                  <v>LA03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機械別実績!$L$5:$W$5</f>
              <numCache>
                <formatCode>#,##0_);[Red]\(#,##0\)</formatCode>
                <ptCount val="12"/>
                <pt idx="0">
                  <v>21317</v>
                </pt>
                <pt idx="1">
                  <v>15533</v>
                </pt>
              </numCache>
            </numRef>
          </val>
        </ser>
        <ser>
          <idx val="1"/>
          <order val="1"/>
          <tx>
            <strRef>
              <f>機械別実績!$C$6</f>
              <strCache>
                <ptCount val="1"/>
                <pt idx="0">
                  <v>LA04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機械別実績!$L$6:$W$6</f>
              <numCache>
                <formatCode>#,##0_);[Red]\(#,##0\)</formatCode>
                <ptCount val="12"/>
                <pt idx="0">
                  <v>3020</v>
                </pt>
                <pt idx="1">
                  <v>1811</v>
                </pt>
              </numCache>
            </numRef>
          </val>
        </ser>
        <ser>
          <idx val="2"/>
          <order val="2"/>
          <tx>
            <strRef>
              <f>機械別実績!$C$7</f>
              <strCache>
                <ptCount val="1"/>
                <pt idx="0">
                  <v>LA05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機械別実績!$L$7:$W$7</f>
              <numCache>
                <formatCode>#,##0_);[Red]\(#,##0\)</formatCode>
                <ptCount val="12"/>
                <pt idx="0">
                  <v>20796</v>
                </pt>
                <pt idx="1">
                  <v>15023</v>
                </pt>
              </numCache>
            </numRef>
          </val>
        </ser>
        <ser>
          <idx val="3"/>
          <order val="3"/>
          <tx>
            <strRef>
              <f>機械別実績!$C$8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機械別実績!$L$8:$W$8</f>
              <numCache>
                <formatCode>#,##0_);[Red]\(#,##0\)</formatCode>
                <ptCount val="12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4328061108778838"/>
          <h val="0.096078038605357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【MA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機械別実績!$C$12</f>
              <strCache>
                <ptCount val="1"/>
                <pt idx="0">
                  <v>MA01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機械別実績!$L$12:$W$12</f>
              <numCache>
                <formatCode>_(* #,##0_);_(* \(#,##0\);_(* "-"??_);_(@_)</formatCode>
                <ptCount val="12"/>
                <pt idx="0">
                  <v>21082</v>
                </pt>
                <pt idx="1">
                  <v>15201</v>
                </pt>
              </numCache>
            </numRef>
          </val>
        </ser>
        <ser>
          <idx val="1"/>
          <order val="1"/>
          <tx>
            <strRef>
              <f>機械別実績!$C$13</f>
              <strCache>
                <ptCount val="1"/>
                <pt idx="0">
                  <v>MA02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機械別実績!$L$13:$W$13</f>
              <numCache>
                <formatCode>_(* #,##0_);_(* \(#,##0\);_(* "-"??_);_(@_)</formatCode>
                <ptCount val="12"/>
                <pt idx="0">
                  <v>20751</v>
                </pt>
                <pt idx="1">
                  <v>12066</v>
                </pt>
              </numCache>
            </numRef>
          </val>
        </ser>
        <ser>
          <idx val="2"/>
          <order val="2"/>
          <tx>
            <strRef>
              <f>機械別実績!$C$14</f>
              <strCache>
                <ptCount val="1"/>
                <pt idx="0">
                  <v>MA03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機械別実績!$L$14:$W$14</f>
              <numCache>
                <formatCode>_(* #,##0_);_(* \(#,##0\);_(* "-"??_);_(@_)</formatCode>
                <ptCount val="12"/>
                <pt idx="0">
                  <v>14965</v>
                </pt>
                <pt idx="1">
                  <v>11003</v>
                </pt>
              </numCache>
            </numRef>
          </val>
        </ser>
        <ser>
          <idx val="3"/>
          <order val="3"/>
          <tx>
            <strRef>
              <f>機械別実績!$C$15</f>
              <strCache>
                <ptCount val="1"/>
                <pt idx="0">
                  <v>MA04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機械別実績!$L$15:$W$15</f>
              <numCache>
                <formatCode>_(* #,##0_);_(* \(#,##0\);_(* "-"??_);_(@_)</formatCode>
                <ptCount val="1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3470106759059993"/>
          <h val="0.096078038605357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【DA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018741668423934"/>
          <y val="0.282810961831901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機械別実績!$C$28</f>
              <strCache>
                <ptCount val="1"/>
                <pt idx="0">
                  <v>DA01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機械別実績!$L$28:$W$28</f>
              <numCache>
                <formatCode>_(* #,##0_);_(* \(#,##0\);_(* "-"??_);_(@_)</formatCode>
                <ptCount val="12"/>
                <pt idx="0">
                  <v>0</v>
                </pt>
                <pt idx="1">
                  <v>0</v>
                </pt>
              </numCache>
            </numRef>
          </val>
        </ser>
        <ser>
          <idx val="1"/>
          <order val="1"/>
          <tx>
            <strRef>
              <f>機械別実績!$C$29</f>
              <strCache>
                <ptCount val="1"/>
                <pt idx="0">
                  <v>DA04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機械別実績!$L$29:$W$29</f>
              <numCache>
                <formatCode>_(* #,##0_);_(* \(#,##0\);_(* "-"??_);_(@_)</formatCode>
                <ptCount val="12"/>
                <pt idx="0">
                  <v>8420</v>
                </pt>
                <pt idx="1">
                  <v>6820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373274064334128"/>
          <h val="0.096078038605357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【HT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018741668423934"/>
          <y val="0.282810961831901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機械別実績!$C$33</f>
              <strCache>
                <ptCount val="1"/>
                <pt idx="0">
                  <v>HT01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機械別実績!$L$33:$W$33</f>
              <numCache>
                <formatCode>_(* #,##0_);_(* \(#,##0\);_(* "-"??_);_(@_)</formatCode>
                <ptCount val="12"/>
                <pt idx="0">
                  <v>0</v>
                </pt>
                <pt idx="1">
                  <v>0</v>
                </pt>
              </numCache>
            </numRef>
          </val>
        </ser>
        <ser>
          <idx val="1"/>
          <order val="1"/>
          <tx>
            <strRef>
              <f>機械別実績!$C$34</f>
              <strCache>
                <ptCount val="1"/>
                <pt idx="0">
                  <v>HT02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機械別実績!$L$34:$W$34</f>
              <numCache>
                <formatCode>_(* #,##0_);_(* \(#,##0\);_(* "-"??_);_(@_)</formatCode>
                <ptCount val="12"/>
                <pt idx="0">
                  <v>0</v>
                </pt>
                <pt idx="1">
                  <v>0</v>
                </pt>
              </numCache>
            </numRef>
          </val>
        </ser>
        <ser>
          <idx val="2"/>
          <order val="2"/>
          <tx>
            <strRef>
              <f>機械別実績!#REF!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3"/>
          <order val="3"/>
          <tx>
            <strRef>
              <f>機械別実績!$C$35</f>
              <strCache>
                <ptCount val="1"/>
                <pt idx="0">
                  <v>HT05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機械別実績!$L$35:$W$35</f>
              <numCache>
                <formatCode>_(* #,##0_);_(* \(#,##0\);_(* "-"??_);_(@_)</formatCode>
                <ptCount val="12"/>
                <pt idx="0">
                  <formatCode>#,##0_);[Red]\(#,##0\)</formatCode>
                  <v>14010</v>
                </pt>
                <pt idx="1">
                  <v>9620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3536192347902528"/>
          <h val="0.096078038605357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【EN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機械別実績!$C$60</f>
              <strCache>
                <ptCount val="1"/>
                <pt idx="0">
                  <v>EN0１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機械別実績!$L$60:$W$60</f>
              <numCache>
                <formatCode>#,##0_);[Red]\(#,##0\)</formatCode>
                <ptCount val="12"/>
                <pt idx="0">
                  <v>19667</v>
                </pt>
                <pt idx="1">
                  <v>13014</v>
                </pt>
              </numCache>
            </numRef>
          </val>
        </ser>
        <ser>
          <idx val="1"/>
          <order val="1"/>
          <tx>
            <strRef>
              <f>機械別実績!$C$61</f>
              <strCache>
                <ptCount val="1"/>
                <pt idx="0">
                  <v>EN02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機械別実績!$L$61:$W$61</f>
              <numCache>
                <formatCode>#,##0_);[Red]\(#,##0\)</formatCode>
                <ptCount val="12"/>
                <pt idx="0">
                  <v>21497</v>
                </pt>
                <pt idx="1">
                  <v>13307</v>
                </pt>
              </numCache>
            </numRef>
          </val>
        </ser>
        <ser>
          <idx val="2"/>
          <order val="2"/>
          <tx>
            <strRef>
              <f>機械別実績!$C$62</f>
              <strCache>
                <ptCount val="1"/>
                <pt idx="0">
                  <v>EN03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機械別実績!$L$62:$W$62</f>
              <numCache>
                <formatCode>#,##0_);[Red]\(#,##0\)</formatCode>
                <ptCount val="12"/>
                <pt idx="0">
                  <v>24023</v>
                </pt>
                <pt idx="1">
                  <v>15658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2684056258729972"/>
          <h val="0.096078038605357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【EW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機械別実績!$C$67</f>
              <strCache>
                <ptCount val="1"/>
                <pt idx="0">
                  <v>EW0１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機械別実績!$L$67:$W$67</f>
              <numCache>
                <formatCode>#,##0_);[Red]\(#,##0\)</formatCode>
                <ptCount val="12"/>
                <pt idx="0">
                  <v>23148</v>
                </pt>
                <pt idx="1">
                  <v>16109</v>
                </pt>
              </numCache>
            </numRef>
          </val>
        </ser>
        <ser>
          <idx val="1"/>
          <order val="1"/>
          <tx>
            <strRef>
              <f>機械別実績!$C$68</f>
              <strCache>
                <ptCount val="1"/>
                <pt idx="0">
                  <v>EW02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機械別実績!$L$68:$W$68</f>
              <numCache>
                <formatCode>#,##0_);[Red]\(#,##0\)</formatCode>
                <ptCount val="12"/>
                <pt idx="0">
                  <v>27835</v>
                </pt>
                <pt idx="1">
                  <v>19930</v>
                </pt>
              </numCache>
            </numRef>
          </val>
        </ser>
        <ser>
          <idx val="2"/>
          <order val="2"/>
          <tx>
            <strRef>
              <f>機械別実績!$C$69</f>
              <strCache>
                <ptCount val="1"/>
                <pt idx="0">
                  <v>EW03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機械別実績!$L$69:$W$69</f>
              <numCache>
                <formatCode>#,##0_);[Red]\(#,##0\)</formatCode>
                <ptCount val="12"/>
                <pt idx="0">
                  <v>26471</v>
                </pt>
                <pt idx="1">
                  <v>17275</v>
                </pt>
              </numCache>
            </numRef>
          </val>
        </ser>
        <ser>
          <idx val="3"/>
          <order val="3"/>
          <tx>
            <strRef>
              <f>機械別実績!$C$70</f>
              <strCache>
                <ptCount val="1"/>
                <pt idx="0">
                  <v>EW04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機械別実績!$L$70:$W$70</f>
              <numCache>
                <formatCode>#,##0_);[Red]\(#,##0\)</formatCode>
                <ptCount val="12"/>
                <pt idx="0">
                  <v>24755</v>
                </pt>
                <pt idx="1">
                  <v>19522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397539608567185"/>
          <h val="0.096078038605357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【GC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機械別実績!$C$74</f>
              <strCache>
                <ptCount val="1"/>
                <pt idx="0">
                  <v>GC01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機械別実績!$L$74:$W$74</f>
              <numCache>
                <formatCode>#,##0_);[Red]\(#,##0\)</formatCode>
                <ptCount val="12"/>
                <pt idx="0">
                  <v>3897</v>
                </pt>
                <pt idx="1">
                  <v>5002</v>
                </pt>
              </numCache>
            </numRef>
          </val>
        </ser>
        <ser>
          <idx val="1"/>
          <order val="1"/>
          <tx>
            <strRef>
              <f>機械別実績!$C$75</f>
              <strCache>
                <ptCount val="1"/>
                <pt idx="0">
                  <v>GC02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機械別実績!$L$75:$W$75</f>
              <numCache>
                <formatCode>#,##0_);[Red]\(#,##0\)</formatCode>
                <ptCount val="12"/>
                <pt idx="0">
                  <v>20315</v>
                </pt>
                <pt idx="1">
                  <v>11317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2093132798605354"/>
          <h val="0.096078038605357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【GJ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機械別実績!$C$79</f>
              <strCache>
                <ptCount val="1"/>
                <pt idx="0">
                  <v>GJ02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機械別実績!$L$79:$W$79</f>
              <numCache>
                <formatCode>#,##0_);[Red]\(#,##0\)</formatCode>
                <ptCount val="12"/>
                <pt idx="0">
                  <v>18055</v>
                </pt>
                <pt idx="1">
                  <v>13250</v>
                </pt>
              </numCache>
            </numRef>
          </val>
        </ser>
        <ser>
          <idx val="1"/>
          <order val="1"/>
          <tx>
            <strRef>
              <f>機械別実績!$C$80</f>
              <strCache>
                <ptCount val="1"/>
                <pt idx="0">
                  <v>GJ03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機械別実績!$L$80:$W$80</f>
              <numCache>
                <formatCode>#,##0_);[Red]\(#,##0\)</formatCode>
                <ptCount val="12"/>
                <pt idx="0">
                  <v>16069</v>
                </pt>
                <pt idx="1">
                  <v>8480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2093132798605354"/>
          <h val="0.096078038605357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【GS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機械別実績!$C$99</f>
              <strCache>
                <ptCount val="1"/>
                <pt idx="0">
                  <v>GS01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機械別実績!$L$99:$W$99</f>
              <numCache>
                <formatCode>_(* #,##0_);_(* \(#,##0\);_(* "-"??_);_(@_)</formatCode>
                <ptCount val="12"/>
                <pt idx="0">
                  <v>21508</v>
                </pt>
                <pt idx="1">
                  <v>15192</v>
                </pt>
              </numCache>
            </numRef>
          </val>
        </ser>
        <ser>
          <idx val="1"/>
          <order val="1"/>
          <tx>
            <strRef>
              <f>機械別実績!$C$100</f>
              <strCache>
                <ptCount val="1"/>
                <pt idx="0">
                  <v>GS02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機械別実績!$L$100:$W$100</f>
              <numCache>
                <formatCode>_(* #,##0_);_(* \(#,##0\);_(* "-"??_);_(@_)</formatCode>
                <ptCount val="12"/>
                <pt idx="0">
                  <v>21883</v>
                </pt>
                <pt idx="1">
                  <v>15609</v>
                </pt>
              </numCache>
            </numRef>
          </val>
        </ser>
        <ser>
          <idx val="2"/>
          <order val="2"/>
          <tx>
            <strRef>
              <f>機械別実績!$C$101</f>
              <strCache>
                <ptCount val="1"/>
                <pt idx="0">
                  <v>GS03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機械別実績!$L$101:$W$101</f>
              <numCache>
                <formatCode>_(* #,##0_);_(* \(#,##0\);_(* "-"??_);_(@_)</formatCode>
                <ptCount val="12"/>
                <pt idx="0">
                  <v>21072</v>
                </pt>
                <pt idx="1">
                  <v>14268</v>
                </pt>
              </numCache>
            </numRef>
          </val>
        </ser>
        <ser>
          <idx val="3"/>
          <order val="3"/>
          <tx>
            <strRef>
              <f>機械別実績!$C$102</f>
              <strCache>
                <ptCount val="1"/>
                <pt idx="0">
                  <v>GS04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機械別実績!$L$102:$W$102</f>
              <numCache>
                <formatCode>_(* #,##0_);_(* \(#,##0\);_(* "-"??_);_(@_)</formatCode>
                <ptCount val="12"/>
                <pt idx="0">
                  <v>21830</v>
                </pt>
                <pt idx="1">
                  <v>15348</v>
                </pt>
              </numCache>
            </numRef>
          </val>
        </ser>
        <ser>
          <idx val="4"/>
          <order val="4"/>
          <tx>
            <strRef>
              <f>機械別実績!$C$103</f>
              <strCache>
                <ptCount val="1"/>
                <pt idx="0">
                  <v>GS05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機械別実績!$L$103:$W$103</f>
              <numCache>
                <formatCode>_(* #,##0_);_(* \(#,##0\);_(* "-"??_);_(@_)</formatCode>
                <ptCount val="12"/>
                <pt idx="0">
                  <v>23003</v>
                </pt>
                <pt idx="1">
                  <v>14490</v>
                </pt>
              </numCache>
            </numRef>
          </val>
        </ser>
        <ser>
          <idx val="5"/>
          <order val="5"/>
          <tx>
            <strRef>
              <f>機械別実績!$C$104</f>
              <strCache>
                <ptCount val="1"/>
                <pt idx="0">
                  <v>GS07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機械別実績!$L$104:$W$104</f>
              <numCache>
                <formatCode>_(* #,##0_);_(* \(#,##0\);_(* "-"??_);_(@_)</formatCode>
                <ptCount val="12"/>
                <pt idx="0">
                  <v>243</v>
                </pt>
                <pt idx="1">
                  <v>436</v>
                </pt>
              </numCache>
            </numRef>
          </val>
        </ser>
        <ser>
          <idx val="6"/>
          <order val="6"/>
          <tx>
            <strRef>
              <f>機械別実績!$C$105</f>
              <strCache>
                <ptCount val="1"/>
                <pt idx="0">
                  <v>GS08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機械別実績!$L$105:$W$105</f>
              <numCache>
                <formatCode>_(* #,##0_);_(* \(#,##0\);_(* "-"??_);_(@_)</formatCode>
                <ptCount val="12"/>
                <pt idx="0">
                  <v>20778</v>
                </pt>
                <pt idx="1">
                  <v>14553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5909907242249712"/>
          <y val="0.08964106495897853"/>
          <w val="0.4090092757750288"/>
          <h val="0.156504477979796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【BJ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機械別実績!$C$19</f>
              <strCache>
                <ptCount val="1"/>
                <pt idx="0">
                  <v>BJ01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機械別実績!$L$19:$W$19</f>
              <numCache>
                <formatCode>_(* #,##0_);_(* \(#,##0\);_(* "-"??_);_(@_)</formatCode>
                <ptCount val="12"/>
                <pt idx="0">
                  <v>15951</v>
                </pt>
                <pt idx="1">
                  <v>14279</v>
                </pt>
              </numCache>
            </numRef>
          </val>
        </ser>
        <ser>
          <idx val="1"/>
          <order val="1"/>
          <tx>
            <strRef>
              <f>機械別実績!$C$20</f>
              <strCache>
                <ptCount val="1"/>
                <pt idx="0">
                  <v>BJ04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機械別実績!$L$20:$W$20</f>
              <numCache>
                <formatCode>_(* #,##0_);_(* \(#,##0\);_(* "-"??_);_(@_)</formatCode>
                <ptCount val="12"/>
                <pt idx="0">
                  <v>8213</v>
                </pt>
                <pt idx="1">
                  <v>7268</v>
                </pt>
              </numCache>
            </numRef>
          </val>
        </ser>
        <ser>
          <idx val="2"/>
          <order val="2"/>
          <tx>
            <strRef>
              <f>機械別実績!$C$21</f>
              <strCache>
                <ptCount val="1"/>
                <pt idx="0">
                  <v>BJ06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機械別実績!$L$21:$W$21</f>
              <numCache>
                <formatCode>_(* #,##0_);_(* \(#,##0\);_(* "-"??_);_(@_)</formatCode>
                <ptCount val="12"/>
                <pt idx="0">
                  <v>20771</v>
                </pt>
                <pt idx="1">
                  <v>14098</v>
                </pt>
              </numCache>
            </numRef>
          </val>
        </ser>
        <ser>
          <idx val="3"/>
          <order val="3"/>
          <tx>
            <strRef>
              <f>機械別実績!$C$22</f>
              <strCache>
                <ptCount val="1"/>
                <pt idx="0">
                  <v>BJ07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機械別実績!$L$22:$W$22</f>
              <numCache>
                <formatCode>_(* #,##0_);_(* \(#,##0\);_(* "-"??_);_(@_)</formatCode>
                <ptCount val="12"/>
                <pt idx="0">
                  <v>22592</v>
                </pt>
                <pt idx="1">
                  <v>15368</v>
                </pt>
              </numCache>
            </numRef>
          </val>
        </ser>
        <ser>
          <idx val="4"/>
          <order val="4"/>
          <tx>
            <strRef>
              <f>機械別実績!$C$23</f>
              <strCache>
                <ptCount val="1"/>
                <pt idx="0">
                  <v>BJ08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機械別実績!$L$23:$W$23</f>
              <numCache>
                <formatCode>_(* #,##0_);_(* \(#,##0\);_(* "-"??_);_(@_)</formatCode>
                <ptCount val="12"/>
                <pt idx="0">
                  <v>21452</v>
                </pt>
                <pt idx="1">
                  <v>15070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373274064334128"/>
          <h val="0.096078038605357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【Pcs】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3775797619047618"/>
          <y val="0.0453571428571428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014822820401352"/>
          <y val="0.2209396825396825"/>
          <w val="0.9021335123280778"/>
          <h val="0.6493809523809524"/>
        </manualLayout>
      </layout>
      <barChart>
        <barDir val="col"/>
        <grouping val="clustered"/>
        <varyColors val="0"/>
        <ser>
          <idx val="0"/>
          <order val="0"/>
          <tx>
            <strRef>
              <f>指標1!$A$4</f>
              <strCache>
                <ptCount val="1"/>
                <pt idx="0">
                  <v>số pcs nhận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指標1!$B$3:$M$3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指標1!$B$4:$M$4</f>
              <numCache>
                <formatCode xml:space="preserve">#,##0_ </formatCode>
                <ptCount val="12"/>
                <pt idx="0">
                  <v>37419</v>
                </pt>
                <pt idx="1">
                  <v>18771</v>
                </pt>
              </numCache>
            </numRef>
          </val>
        </ser>
        <ser>
          <idx val="1"/>
          <order val="1"/>
          <tx>
            <strRef>
              <f>指標1!$A$14</f>
              <strCache>
                <ptCount val="1"/>
                <pt idx="0">
                  <v>số pcs hoàn thành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指標1!$B$3:$M$3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指標1!$B$14:$M$14</f>
              <numCache>
                <formatCode xml:space="preserve">#,##0_ </formatCode>
                <ptCount val="12"/>
                <pt idx="0">
                  <v>34099</v>
                </pt>
                <pt idx="1">
                  <v>19956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2732704"/>
        <axId val="982736968"/>
      </barChart>
      <lineChart>
        <grouping val="standard"/>
        <varyColors val="0"/>
        <ser>
          <idx val="2"/>
          <order val="1"/>
          <tx>
            <strRef>
              <f>指標1!$A$9</f>
              <strCache>
                <ptCount val="1"/>
                <pt idx="0">
                  <v>số pcs tồn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指標1!$B$3:$M$3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指標1!$B$9:$M$9</f>
              <numCache>
                <formatCode xml:space="preserve">#,##0_ </formatCode>
                <ptCount val="12"/>
                <pt idx="0">
                  <v>33772</v>
                </pt>
                <pt idx="1">
                  <v>31704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2732704"/>
        <axId val="982736968"/>
      </lineChart>
      <catAx>
        <axId val="982732704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ja-JP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(Pcs)</a:t>
                </a:r>
                <a:endParaRPr lang="ja-JP" alt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02771825396825397"/>
              <y val="0.1042972222222222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lang="ja-JP"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ja-JP" alt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36968"/>
        <crosses val="autoZero"/>
        <auto val="1"/>
        <lblAlgn val="ctr"/>
        <lblOffset val="100"/>
        <noMultiLvlLbl val="0"/>
      </catAx>
      <valAx>
        <axId val="9827369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3270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3645209118917"/>
          <y val="0.02797063492063492"/>
          <w val="0.3036761762197351"/>
          <h val="0.250996651329330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en-US" altLang="ja-JP" sz="1400" b="0" i="0" strike="noStrike" baseline="0">
                <effectLst/>
              </a:rPr>
              <a:t>Số Bản vẽ</a:t>
            </a:r>
            <a:r>
              <a:rPr lang="en-US" altLang="ja-JP"/>
              <a:t>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3775797619047618"/>
          <y val="0.0453571428571428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6762838643420366"/>
          <y val="0.2209396825396825"/>
          <w val="0.9046533540978877"/>
          <h val="0.6493809523809524"/>
        </manualLayout>
      </layout>
      <barChart>
        <barDir val="col"/>
        <grouping val="clustered"/>
        <varyColors val="0"/>
        <ser>
          <idx val="0"/>
          <order val="0"/>
          <tx>
            <strRef>
              <f>指標1!$A$19</f>
              <strCache>
                <ptCount val="1"/>
                <pt idx="0">
                  <v>bản vẽ nhận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指標1!$B$18:$M$18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指標1!$B$19:$M$19</f>
              <numCache>
                <formatCode xml:space="preserve">#,##0_ </formatCode>
                <ptCount val="12"/>
                <pt idx="0">
                  <v>2874</v>
                </pt>
                <pt idx="1">
                  <v>1546</v>
                </pt>
              </numCache>
            </numRef>
          </val>
        </ser>
        <ser>
          <idx val="1"/>
          <order val="1"/>
          <tx>
            <strRef>
              <f>指標1!$A$29</f>
              <strCache>
                <ptCount val="1"/>
                <pt idx="0">
                  <v>bản vẽ hoàn thành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指標1!$B$18:$M$18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指標1!$B$29:$M$29</f>
              <numCache>
                <formatCode xml:space="preserve">#,##0_ </formatCode>
                <ptCount val="12"/>
                <pt idx="0">
                  <v>2412</v>
                </pt>
                <pt idx="1">
                  <v>1563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2732704"/>
        <axId val="982736968"/>
      </barChart>
      <lineChart>
        <grouping val="standard"/>
        <varyColors val="0"/>
        <ser>
          <idx val="2"/>
          <order val="1"/>
          <tx>
            <strRef>
              <f>指標1!$A$24</f>
              <strCache>
                <ptCount val="1"/>
                <pt idx="0">
                  <v>bản vẽ tồn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指標1!$B$18:$M$18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指標1!$B$24:$M$24</f>
              <numCache>
                <formatCode xml:space="preserve">#,##0_ </formatCode>
                <ptCount val="12"/>
                <pt idx="0">
                  <v>2586</v>
                </pt>
                <pt idx="1">
                  <v>2542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2732704"/>
        <axId val="982736968"/>
      </lineChart>
      <catAx>
        <axId val="982732704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ja-JP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</a:t>
                </a:r>
                <a:r>
                  <a:rPr lang="ja-JP" altLang="en-US"/>
                  <a:t>枚</a:t>
                </a:r>
                <a:r>
                  <a:rPr lang="en-US" altLang="ja-JP"/>
                  <a:t>)</a:t>
                </a:r>
                <a:endParaRPr lang="ja-JP" alt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02771825396825397"/>
              <y val="0.1042972222222222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lang="ja-JP"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ja-JP" alt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36968"/>
        <crosses val="autoZero"/>
        <auto val="1"/>
        <lblAlgn val="ctr"/>
        <lblOffset val="100"/>
        <noMultiLvlLbl val="0"/>
      </catAx>
      <valAx>
        <axId val="9827369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3270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585730765031387"/>
          <y val="0.02797063492063492"/>
          <w val="0.3187483088355135"/>
          <h val="0.257171780921961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内外作</a:t>
            </a:r>
            <a:r>
              <a:rPr lang="en-US" altLang="ja-JP"/>
              <a:t>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3775797619047618"/>
          <y val="0.0453571428571428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625887028945839"/>
          <y val="0.2209396825396825"/>
          <w val="0.9096930376375074"/>
          <h val="0.6493809523809524"/>
        </manualLayout>
      </layout>
      <barChart>
        <barDir val="col"/>
        <grouping val="clustered"/>
        <varyColors val="0"/>
        <ser>
          <idx val="0"/>
          <order val="0"/>
          <tx>
            <strRef>
              <f>指標1!$A$29</f>
              <strCache>
                <ptCount val="1"/>
                <pt idx="0">
                  <v>bản vẽ hoàn thành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指標1!$B$28:$M$28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指標1!$B$29:$M$29</f>
              <numCache>
                <formatCode xml:space="preserve">#,##0_ </formatCode>
                <ptCount val="12"/>
                <pt idx="0">
                  <v>2412</v>
                </pt>
                <pt idx="1">
                  <v>1563</v>
                </pt>
              </numCache>
            </numRef>
          </val>
        </ser>
        <ser>
          <idx val="1"/>
          <order val="1"/>
          <tx>
            <strRef>
              <f>指標1!$A$34</f>
              <strCache>
                <ptCount val="1"/>
                <pt idx="0">
                  <v>bản vẽ GCN hoàn thành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指標1!$B$28:$M$28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指標1!$B$34:$M$34</f>
              <numCache>
                <formatCode xml:space="preserve">#,##0_ </formatCode>
                <ptCount val="12"/>
                <pt idx="0">
                  <v>2076</v>
                </pt>
                <pt idx="1">
                  <v>1771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2732704"/>
        <axId val="982736968"/>
      </barChart>
      <catAx>
        <axId val="982732704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ja-JP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</a:t>
                </a:r>
                <a:r>
                  <a:rPr lang="ja-JP" altLang="en-US"/>
                  <a:t>枚</a:t>
                </a:r>
                <a:r>
                  <a:rPr lang="en-US" altLang="ja-JP"/>
                  <a:t>)</a:t>
                </a:r>
                <a:endParaRPr lang="ja-JP" alt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02771825396825397"/>
              <y val="0.1042972222222222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lang="ja-JP"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ja-JP" alt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36968"/>
        <crosses val="autoZero"/>
        <auto val="1"/>
        <lblAlgn val="ctr"/>
        <lblOffset val="100"/>
        <noMultiLvlLbl val="0"/>
      </catAx>
      <valAx>
        <axId val="9827369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3270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585730765031387"/>
          <y val="0.02797063492063492"/>
          <w val="0.3187483088355135"/>
          <h val="0.201595614588281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【L/T</a:t>
            </a:r>
            <a:r>
              <a:rPr lang="ja-JP" altLang="en-US"/>
              <a:t>＆納期遵守率</a:t>
            </a:r>
            <a:r>
              <a:rPr lang="en-US" altLang="ja-JP"/>
              <a:t>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2037107547045149"/>
          <y val="0.0453571428571428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1978786106902"/>
          <y val="0.2209396825396825"/>
          <w val="0.8305616727304905"/>
          <h val="0.6493809523809524"/>
        </manualLayout>
      </layout>
      <barChart>
        <barDir val="col"/>
        <grouping val="clustered"/>
        <varyColors val="0"/>
        <ser>
          <idx val="0"/>
          <order val="0"/>
          <tx>
            <strRef>
              <f>指標1!$A$44</f>
              <strCache>
                <ptCount val="1"/>
                <pt idx="0">
                  <v>L/T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指標1!$B$43:$M$43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指標1!$B$44:$M$44</f>
              <numCache>
                <formatCode>General</formatCode>
                <ptCount val="12"/>
                <pt idx="0">
                  <formatCode>0.0</formatCode>
                  <v>21.7</v>
                </pt>
                <pt idx="1">
                  <v>21.2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2732704"/>
        <axId val="982736968"/>
      </barChart>
      <lineChart>
        <grouping val="standard"/>
        <varyColors val="0"/>
        <ser>
          <idx val="1"/>
          <order val="1"/>
          <tx>
            <strRef>
              <f>指標1!$A$39</f>
              <strCache>
                <ptCount val="1"/>
                <pt idx="0">
                  <v>Tỷ lệ giao hàng đúng hạn</v>
                </pt>
              </strCache>
            </strRef>
          </tx>
          <spPr>
            <a:ln xmlns:a="http://schemas.openxmlformats.org/drawingml/2006/main" w="28575" cap="rnd">
              <a:solidFill>
                <a:srgbClr val="FFC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指標1!$B$43:$M$43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指標1!$B$39:$M$39</f>
              <numCache>
                <formatCode>0%</formatCode>
                <ptCount val="12"/>
                <pt idx="0">
                  <v>1</v>
                </pt>
                <pt idx="1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2780592"/>
        <axId val="982777312"/>
      </lineChart>
      <catAx>
        <axId val="982732704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ja-JP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(ngày)</a:t>
                </a:r>
                <a:endParaRPr lang="ja-JP" alt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02771825396825397"/>
              <y val="0.1042972222222222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lang="ja-JP"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ja-JP" alt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36968"/>
        <crosses val="autoZero"/>
        <auto val="1"/>
        <lblAlgn val="ctr"/>
        <lblOffset val="100"/>
        <noMultiLvlLbl val="0"/>
      </catAx>
      <valAx>
        <axId val="9827369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32704"/>
        <crosses val="autoZero"/>
        <crossBetween val="between"/>
      </valAx>
      <catAx>
        <axId val="982780592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982777312"/>
        <crosses val="autoZero"/>
        <auto val="1"/>
        <lblAlgn val="ctr"/>
        <lblOffset val="100"/>
        <noMultiLvlLbl val="0"/>
      </catAx>
      <valAx>
        <axId val="982777312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80592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008042858738663"/>
          <y val="0.02797063492063492"/>
          <w val="0.3466649497351091"/>
          <h val="0.135442063492063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検査合格率</a:t>
            </a:r>
            <a:r>
              <a:rPr lang="en-US" altLang="ja-JP"/>
              <a:t>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3775797619047618"/>
          <y val="0.0453571428571428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205450396825397"/>
          <y val="0.2209396825396825"/>
          <w val="0.8517367063492064"/>
          <h val="0.6493809523809524"/>
        </manualLayout>
      </layout>
      <barChart>
        <barDir val="col"/>
        <grouping val="clustered"/>
        <varyColors val="0"/>
        <ser>
          <idx val="0"/>
          <order val="0"/>
          <tx>
            <strRef>
              <f>指標1!$A$79</f>
              <strCache>
                <ptCount val="1"/>
                <pt idx="0">
                  <v>Độ chính xác cao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指標1!$B$78:$M$78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指標1!$B$79:$M$79</f>
              <numCache>
                <formatCode>0%</formatCode>
                <ptCount val="12"/>
                <pt idx="0">
                  <v>1</v>
                </pt>
                <pt idx="1">
                  <v>1</v>
                </pt>
              </numCache>
            </numRef>
          </val>
        </ser>
        <ser>
          <idx val="1"/>
          <order val="1"/>
          <tx>
            <strRef>
              <f>指標1!$A$84</f>
              <strCache>
                <ptCount val="1"/>
                <pt idx="0">
                  <v>0.02㎜～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0"/>
          <cat>
            <strRef>
              <f>指標1!$B$78:$M$78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指標1!$B$84:$M$84</f>
              <numCache>
                <formatCode>0%</formatCode>
                <ptCount val="12"/>
                <pt idx="0">
                  <v>1</v>
                </pt>
                <pt idx="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82732704"/>
        <axId val="982736968"/>
      </barChart>
      <catAx>
        <axId val="9827327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36968"/>
        <crosses val="autoZero"/>
        <auto val="1"/>
        <lblAlgn val="ctr"/>
        <lblOffset val="100"/>
        <noMultiLvlLbl val="0"/>
      </catAx>
      <valAx>
        <axId val="982736968"/>
        <scaling>
          <orientation val="minMax"/>
          <max val="1"/>
          <min val="0.9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3270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63995389681624"/>
          <y val="0.02797063492063492"/>
          <w val="0.2710696966408128"/>
          <h val="0.135442063492063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【Số Khiếu nại】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3775797619047618"/>
          <y val="0.0453571428571428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778710317460317"/>
          <y val="0.2209396825396825"/>
          <w val="0.8844946428571429"/>
          <h val="0.6493809523809524"/>
        </manualLayout>
      </layout>
      <barChart>
        <barDir val="col"/>
        <grouping val="clustered"/>
        <varyColors val="0"/>
        <ser>
          <idx val="0"/>
          <order val="0"/>
          <tx>
            <strRef>
              <f>指標1!$A$89</f>
              <strCache>
                <ptCount val="1"/>
                <pt idx="0">
                  <v>Số Khiếu nại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指標1!$B$88:$M$88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指標1!$B$89:$M$89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82732704"/>
        <axId val="982736968"/>
      </barChart>
      <catAx>
        <axId val="982732704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ja-JP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</a:t>
                </a:r>
                <a:r>
                  <a:rPr lang="ja-JP" altLang="en-US"/>
                  <a:t>件</a:t>
                </a:r>
                <a:r>
                  <a:rPr lang="en-US" altLang="ja-JP"/>
                  <a:t>)</a:t>
                </a:r>
                <a:endParaRPr lang="ja-JP" alt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02771825396825397"/>
              <y val="0.1042972222222222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lang="ja-JP"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ja-JP" alt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36968"/>
        <crosses val="autoZero"/>
        <auto val="1"/>
        <lblAlgn val="ctr"/>
        <lblOffset val="100"/>
        <noMultiLvlLbl val="0"/>
      </catAx>
      <valAx>
        <axId val="982736968"/>
        <scaling>
          <orientation val="minMax"/>
          <max val="1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73270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7066376984126984"/>
          <y val="0.02797063492063492"/>
          <w val="0.2408315476190476"/>
          <h val="0.135442063492063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en-US" altLang="ja-JP" sz="1400" b="0" i="0" strike="noStrike" baseline="0">
                <effectLst/>
              </a:rPr>
              <a:t>Số phế phẩm</a:t>
            </a:r>
            <a:r>
              <a:rPr lang="en-US" altLang="ja-JP" sz="1400" b="0" i="0" strike="noStrike" baseline="0"/>
              <a:t> </a:t>
            </a:r>
            <a:r>
              <a:rPr lang="en-US"/>
              <a:t>】</a:t>
            </a:r>
            <a:endParaRPr lang="ja-JP"/>
          </a:p>
        </rich>
      </tx>
      <layout>
        <manualLayout>
          <xMode val="edge"/>
          <yMode val="edge"/>
          <wMode val="factor"/>
          <hMode val="factor"/>
          <x val="0.0763899490294401"/>
          <y val="0.009259259259259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ja-JP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3239401446078558"/>
          <y val="0.1223611111111113"/>
          <w val="0.9540257293846719"/>
          <h val="0.578748888888888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'指標２(内作)'!$C$64</f>
              <strCache>
                <ptCount val="1"/>
                <pt idx="0">
                  <v>1月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('指標２(内作)'!$C$65:$C$72,'指標２(内作)'!$C$74:$C$77,'指標２(内作)'!$C$79:$C$80)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1"/>
          <order val="1"/>
          <tx>
            <strRef>
              <f>'指標２(内作)'!$D$64</f>
              <strCache>
                <ptCount val="1"/>
                <pt idx="0">
                  <v>2月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('指標２(内作)'!$D$65:$D$72,'指標２(内作)'!$D$74:$D$77,'指標２(内作)'!$D$79:$D$80)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2"/>
          <order val="2"/>
          <tx>
            <strRef>
              <f>'指標２(内作)'!$E$64</f>
              <strCache>
                <ptCount val="1"/>
                <pt idx="0">
                  <v>3月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('指標２(内作)'!$E$65:$E$72,'指標２(内作)'!$E$74:$E$77,'指標２(内作)'!$E$79:$E$80)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3"/>
          <order val="3"/>
          <tx>
            <strRef>
              <f>'指標２(内作)'!$F$64</f>
              <strCache>
                <ptCount val="1"/>
                <pt idx="0">
                  <v>4月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('指標２(内作)'!$F$65:$F$72,'指標２(内作)'!$F$74:$F$77,'指標２(内作)'!$F$79:$F$80)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4"/>
          <order val="4"/>
          <tx>
            <strRef>
              <f>'指標２(内作)'!$G$64</f>
              <strCache>
                <ptCount val="1"/>
                <pt idx="0">
                  <v>5月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('指標２(内作)'!$G$65:$G$72,'指標２(内作)'!$G$74:$G$77,'指標２(内作)'!$G$79:$G$80)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5"/>
          <order val="5"/>
          <tx>
            <strRef>
              <f>'指標２(内作)'!$H$64</f>
              <strCache>
                <ptCount val="1"/>
                <pt idx="0">
                  <v>6月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('指標２(内作)'!$H$65:$H$72,'指標２(内作)'!$H$74:$H$77,'指標２(内作)'!$H$79:$H$80)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6"/>
          <order val="6"/>
          <tx>
            <strRef>
              <f>'指標２(内作)'!$I$64</f>
              <strCache>
                <ptCount val="1"/>
                <pt idx="0">
                  <v>7月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('指標２(内作)'!$I$65:$I$72,'指標２(内作)'!$I$74:$I$77,'指標２(内作)'!$I$79:$I$80)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7"/>
          <order val="7"/>
          <tx>
            <strRef>
              <f>'指標２(内作)'!$J$64</f>
              <strCache>
                <ptCount val="1"/>
                <pt idx="0">
                  <v>8月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('指標２(内作)'!$J$65:$J$72,'指標２(内作)'!$J$74:$J$77,'指標２(内作)'!$J$79:$J$80)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8"/>
          <order val="8"/>
          <tx>
            <strRef>
              <f>'指標２(内作)'!$K$64</f>
              <strCache>
                <ptCount val="1"/>
                <pt idx="0">
                  <v>9月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('指標２(内作)'!$K$65:$K$72,'指標２(内作)'!$K$74:$K$77,'指標２(内作)'!$K$79:$K$80)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9"/>
          <order val="9"/>
          <tx>
            <strRef>
              <f>'指標２(内作)'!$L$64</f>
              <strCache>
                <ptCount val="1"/>
                <pt idx="0">
                  <v>10月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('指標２(内作)'!$L$65:$L$72,'指標２(内作)'!$L$74:$L$77,'指標２(内作)'!$L$79:$L$80)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10"/>
          <order val="10"/>
          <tx>
            <strRef>
              <f>'指標２(内作)'!$M$64</f>
              <strCache>
                <ptCount val="1"/>
                <pt idx="0">
                  <v>11月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('指標２(内作)'!$M$65:$M$72,'指標２(内作)'!$M$74:$M$77,'指標２(内作)'!$M$79:$M$80)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11"/>
          <order val="11"/>
          <tx>
            <strRef>
              <f>'指標２(内作)'!$N$64</f>
              <strCache>
                <ptCount val="1"/>
                <pt idx="0">
                  <v>12月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('指標２(内作)'!$N$65:$N$72,'指標２(内作)'!$N$74:$N$77,'指標２(内作)'!$N$79:$N$80)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2743424"/>
        <axId val="102753408"/>
      </barChart>
      <catAx>
        <axId val="1027434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spcFirstLastPara="1" vertOverflow="ellipsis" vert="eaVert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02753408"/>
        <crosses val="autoZero"/>
        <auto val="1"/>
        <lblAlgn val="ctr"/>
        <lblOffset val="100"/>
        <noMultiLvlLbl val="0"/>
      </catAx>
      <valAx>
        <axId val="102753408"/>
        <scaling>
          <orientation val="minMax"/>
          <max val="3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02743424"/>
        <crosses val="autoZero"/>
        <crossBetween val="between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4721866666666666"/>
          <y val="0.0005781568970545354"/>
          <w val="0.5259973611111111"/>
          <h val="0.145916666666666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</a:t>
            </a:r>
            <a:r>
              <a:rPr lang="ja-JP" altLang="en-US"/>
              <a:t>率</a:t>
            </a:r>
            <a:r>
              <a:rPr lang="en-US"/>
              <a:t>】</a:t>
            </a:r>
            <a:endParaRPr lang="ja-JP"/>
          </a:p>
        </rich>
      </tx>
      <layout>
        <manualLayout>
          <xMode val="edge"/>
          <yMode val="edge"/>
          <wMode val="factor"/>
          <hMode val="factor"/>
          <x val="0.07638995192563834"/>
          <y val="0.0138888888888889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ja-JP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3239401446078558"/>
          <y val="0.1177314814814818"/>
          <w val="0.9540257293846719"/>
          <h val="0.5926030555555556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'指標２(内作)'!$C$99</f>
              <strCache>
                <ptCount val="1"/>
                <pt idx="0">
                  <v>1月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('指標２(内作)'!$C$100:$C$107,'指標２(内作)'!$C$109:$C$112,'指標２(内作)'!$C$114)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1"/>
          <order val="1"/>
          <tx>
            <strRef>
              <f>'指標２(内作)'!$D$99</f>
              <strCache>
                <ptCount val="1"/>
                <pt idx="0">
                  <v>2月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('指標２(内作)'!$D$100:$D$107,'指標２(内作)'!$D$109:$D$112,'指標２(内作)'!$D$114)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2"/>
          <order val="2"/>
          <tx>
            <strRef>
              <f>'指標２(内作)'!$E$99</f>
              <strCache>
                <ptCount val="1"/>
                <pt idx="0">
                  <v>3月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('指標２(内作)'!$E$100:$E$107,'指標２(内作)'!$E$109:$E$112,'指標２(内作)'!$E$114)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3"/>
          <order val="3"/>
          <tx>
            <strRef>
              <f>'指標２(内作)'!$F$99</f>
              <strCache>
                <ptCount val="1"/>
                <pt idx="0">
                  <v>4月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('指標２(内作)'!$F$100:$F$107,'指標２(内作)'!$F$109:$F$112,'指標２(内作)'!$F$114)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4"/>
          <order val="4"/>
          <tx>
            <strRef>
              <f>'指標２(内作)'!$G$99</f>
              <strCache>
                <ptCount val="1"/>
                <pt idx="0">
                  <v>5月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('指標２(内作)'!$G$100:$G$107,'指標２(内作)'!$G$109:$G$112,'指標２(内作)'!$G$114)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5"/>
          <order val="5"/>
          <tx>
            <strRef>
              <f>'指標２(内作)'!$H$99</f>
              <strCache>
                <ptCount val="1"/>
                <pt idx="0">
                  <v>6月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('指標２(内作)'!$H$100:$H$107,'指標２(内作)'!$H$109:$H$112,'指標２(内作)'!$H$114)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6"/>
          <order val="6"/>
          <tx>
            <strRef>
              <f>'指標２(内作)'!$I$99</f>
              <strCache>
                <ptCount val="1"/>
                <pt idx="0">
                  <v>7月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('指標２(内作)'!$I$100:$I$107,'指標２(内作)'!$I$109:$I$112,'指標２(内作)'!$I$114)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7"/>
          <order val="7"/>
          <tx>
            <strRef>
              <f>'指標２(内作)'!$J$99</f>
              <strCache>
                <ptCount val="1"/>
                <pt idx="0">
                  <v>8月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('指標２(内作)'!$J$100:$J$107,'指標２(内作)'!$J$109:$J$112,'指標２(内作)'!$J$114)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8"/>
          <order val="8"/>
          <tx>
            <strRef>
              <f>'指標２(内作)'!$K$99</f>
              <strCache>
                <ptCount val="1"/>
                <pt idx="0">
                  <v>9月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('指標２(内作)'!$K$100:$K$107,'指標２(内作)'!$K$109:$K$112,'指標２(内作)'!$K$114)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9"/>
          <order val="9"/>
          <tx>
            <strRef>
              <f>'指標２(内作)'!$L$99</f>
              <strCache>
                <ptCount val="1"/>
                <pt idx="0">
                  <v>10月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('指標２(内作)'!$L$100:$L$107,'指標２(内作)'!$L$109:$L$112,'指標２(内作)'!$L$114)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10"/>
          <order val="10"/>
          <tx>
            <strRef>
              <f>'指標２(内作)'!$M$99</f>
              <strCache>
                <ptCount val="1"/>
                <pt idx="0">
                  <v>11月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('指標２(内作)'!$M$100:$M$107,'指標２(内作)'!$M$109:$M$112,'指標２(内作)'!$M$114)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11"/>
          <order val="11"/>
          <tx>
            <strRef>
              <f>'指標２(内作)'!$N$99</f>
              <strCache>
                <ptCount val="1"/>
                <pt idx="0">
                  <v>12月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('指標２(内作)'!$N$100:$N$107,'指標２(内作)'!$N$109:$N$112,'指標２(内作)'!$N$114)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3238272"/>
        <axId val="103289216"/>
      </barChart>
      <catAx>
        <axId val="1032382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spcFirstLastPara="1" vertOverflow="ellipsis" vert="eaVert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03289216"/>
        <crosses val="autoZero"/>
        <auto val="1"/>
        <lblAlgn val="ctr"/>
        <lblOffset val="100"/>
        <noMultiLvlLbl val="0"/>
      </catAx>
      <valAx>
        <axId val="103289216"/>
        <scaling>
          <orientation val="minMax"/>
          <max val="0.02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03238272"/>
        <crosses val="autoZero"/>
        <crossBetween val="between"/>
        <majorUnit val="0.002500000000000005"/>
      </valAx>
    </plotArea>
    <legend>
      <legendPos val="b"/>
      <layout>
        <manualLayout>
          <xMode val="edge"/>
          <yMode val="edge"/>
          <wMode val="factor"/>
          <hMode val="factor"/>
          <x val="0.4633780555555556"/>
          <y val="0.0325411111111111"/>
          <w val="0.5261997222222222"/>
          <h val="0.104124722222222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不良件数</a:t>
            </a:r>
            <a:r>
              <a:rPr lang="en-US"/>
              <a:t>】</a:t>
            </a:r>
            <a:endParaRPr lang="ja-JP"/>
          </a:p>
        </rich>
      </tx>
      <layout>
        <manualLayout>
          <xMode val="edge"/>
          <yMode val="edge"/>
          <wMode val="factor"/>
          <hMode val="factor"/>
          <x val="0.2951122222222223"/>
          <y val="0.0268980555555555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726669444444444"/>
          <y val="0.1933291666666667"/>
          <w val="0.6648500000000001"/>
          <h val="0.6648500000000001"/>
        </manualLayout>
      </layout>
      <pieChart>
        <varyColors val="1"/>
        <ser>
          <idx val="0"/>
          <order val="0"/>
          <tx>
            <strRef>
              <f>'指標２(内作)'!$O$64</f>
              <strCache>
                <ptCount val="1"/>
                <pt idx="0">
                  <v>Lũy kế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chemeClr val="accent4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('指標２(内作)'!$O$65:$O$72,'指標２(内作)'!$O$74:$O$77,'指標２(内作)'!$O$79:$O$80)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不良件数</a:t>
            </a:r>
            <a:r>
              <a:rPr lang="en-US"/>
              <a:t>】</a:t>
            </a:r>
            <a:endParaRPr lang="ja-JP"/>
          </a:p>
        </rich>
      </tx>
      <layout>
        <manualLayout>
          <xMode val="edge"/>
          <yMode val="edge"/>
          <wMode val="factor"/>
          <hMode val="factor"/>
          <x val="0.2880566666666667"/>
          <y val="0.00925916666666666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656113888888889"/>
          <y val="0.1568886111111111"/>
          <w val="0.6895444444444444"/>
          <h val="0.6895444444444444"/>
        </manualLayout>
      </layout>
      <pieChart>
        <varyColors val="1"/>
        <ser>
          <idx val="0"/>
          <order val="0"/>
          <tx>
            <strRef>
              <f>'指標２(内作)'!$O$99</f>
              <strCache>
                <ptCount val="1"/>
                <pt idx="0">
                  <v>Lũy kế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('指標２(内作)'!$O$100:$O$107,'指標２(内作)'!$O$109:$O$112,'指標２(内作)'!$O$114)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【Số phế phẩm】</a:t>
            </a:r>
            <a:endParaRPr lang="ja-JP"/>
          </a:p>
        </rich>
      </tx>
      <layout>
        <manualLayout>
          <xMode val="edge"/>
          <yMode val="edge"/>
          <wMode val="factor"/>
          <hMode val="factor"/>
          <x val="0.07638994902944009"/>
          <y val="0.009259259259259259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3239401446078558"/>
          <y val="0.1223611111111111"/>
          <w val="0.9540257293846706"/>
          <h val="0.7243746261790391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'指標２(外作)'!$D$120</f>
              <strCache>
                <ptCount val="1"/>
                <pt idx="0">
                  <v>1月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('指標２(外作)'!$D$121:$D$145,'指標２(外作)'!$D$147:$D$154)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1"/>
          <order val="1"/>
          <tx>
            <strRef>
              <f>'指標２(外作)'!$E$120</f>
              <strCache>
                <ptCount val="1"/>
                <pt idx="0">
                  <v>2月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('指標２(外作)'!$E$121:$E$145,'指標２(外作)'!$E$147:$E$154)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1</v>
                </pt>
                <pt idx="27">
                  <v>0</v>
                </pt>
                <pt idx="28">
                  <v>2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2"/>
          <order val="2"/>
          <tx>
            <strRef>
              <f>'指標２(外作)'!$F$120</f>
              <strCache>
                <ptCount val="1"/>
                <pt idx="0">
                  <v>3月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('指標２(外作)'!$F$121:$F$145,'指標２(外作)'!$F$147:$F$154)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3"/>
          <order val="3"/>
          <tx>
            <strRef>
              <f>'指標２(外作)'!$G$120</f>
              <strCache>
                <ptCount val="1"/>
                <pt idx="0">
                  <v>4月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('指標２(外作)'!$G$121:$G$145,'指標２(外作)'!$G$147:$G$154)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4"/>
          <order val="4"/>
          <tx>
            <strRef>
              <f>'指標２(外作)'!$H$120</f>
              <strCache>
                <ptCount val="1"/>
                <pt idx="0">
                  <v>5月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('指標２(外作)'!$H$121:$H$145,'指標２(外作)'!$H$147:$H$154)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5"/>
          <order val="5"/>
          <tx>
            <strRef>
              <f>'指標２(外作)'!$I$120</f>
              <strCache>
                <ptCount val="1"/>
                <pt idx="0">
                  <v>6月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('指標２(外作)'!$I$121:$I$145,'指標２(外作)'!$I$147:$I$154)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6"/>
          <order val="6"/>
          <tx>
            <strRef>
              <f>'指標２(外作)'!$J$120</f>
              <strCache>
                <ptCount val="1"/>
                <pt idx="0">
                  <v>7月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('指標２(外作)'!$J$121:$J$145,'指標２(外作)'!$J$147:$J$154)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7"/>
          <order val="7"/>
          <tx>
            <strRef>
              <f>'指標２(外作)'!$K$120</f>
              <strCache>
                <ptCount val="1"/>
                <pt idx="0">
                  <v>8月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('指標２(外作)'!$K$121:$K$145,'指標２(外作)'!$K$147:$K$154)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8"/>
          <order val="8"/>
          <tx>
            <strRef>
              <f>'指標２(外作)'!$L$120</f>
              <strCache>
                <ptCount val="1"/>
                <pt idx="0">
                  <v>9月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('指標２(外作)'!$L$121:$L$145,'指標２(外作)'!$L$147:$L$154)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9"/>
          <order val="9"/>
          <tx>
            <strRef>
              <f>'指標２(外作)'!$M$120</f>
              <strCache>
                <ptCount val="1"/>
                <pt idx="0">
                  <v>10月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('指標２(外作)'!$M$121:$M$145,'指標２(外作)'!$M$147:$M$154)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10"/>
          <order val="10"/>
          <tx>
            <strRef>
              <f>'指標２(外作)'!$N$120</f>
              <strCache>
                <ptCount val="1"/>
                <pt idx="0">
                  <v>11月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('指標２(外作)'!$N$121:$N$145,'指標２(外作)'!$N$147:$N$154)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11"/>
          <order val="11"/>
          <tx>
            <strRef>
              <f>'指標２(外作)'!$O$120</f>
              <strCache>
                <ptCount val="1"/>
                <pt idx="0">
                  <v>12月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('指標２(外作)'!$O$121:$O$145,'指標２(外作)'!$O$147:$O$154)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12"/>
          <order val="12"/>
          <tx>
            <strRef>
              <f>'指標２(外作)'!$P$120</f>
              <strCache>
                <ptCount val="1"/>
                <pt idx="0">
                  <v>Lũy kế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('指標２(外作)'!$P$121:$P$145,'指標２(外作)'!$P$147:$P$154)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1</v>
                </pt>
                <pt idx="27">
                  <v>0</v>
                </pt>
                <pt idx="28">
                  <v>2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11363584"/>
        <axId val="111365120"/>
      </barChart>
      <catAx>
        <axId val="111363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spcFirstLastPara="1" vertOverflow="ellipsis" vert="eaVert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11365120"/>
        <crosses val="autoZero"/>
        <auto val="1"/>
        <lblAlgn val="ctr"/>
        <lblOffset val="100"/>
        <noMultiLvlLbl val="0"/>
      </catAx>
      <valAx>
        <axId val="1113651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1136358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386727777777778"/>
          <y val="0.000578156897054534"/>
          <w val="0.5613272222222222"/>
          <h val="0.109008333333333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【Tỷ lệ phế phẩm】</a:t>
            </a:r>
            <a:endParaRPr lang="ja-JP"/>
          </a:p>
        </rich>
      </tx>
      <layout>
        <manualLayout>
          <xMode val="edge"/>
          <yMode val="edge"/>
          <wMode val="factor"/>
          <hMode val="factor"/>
          <x val="0.07638995192563815"/>
          <y val="0.01388888888888889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3239401446078558"/>
          <y val="0.1177314814814815"/>
          <w val="0.9540257293846706"/>
          <h val="0.7381355555555554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'指標２(外作)'!$D$174</f>
              <strCache>
                <ptCount val="1"/>
                <pt idx="0">
                  <v>1月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('指標２(外作)'!$D$175:$D$199,'指標２(外作)'!$D$201:$D$208)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1"/>
          <order val="1"/>
          <tx>
            <strRef>
              <f>'指標２(外作)'!$E$174</f>
              <strCache>
                <ptCount val="1"/>
                <pt idx="0">
                  <v>2月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('指標２(外作)'!$E$175:$E$199,'指標２(外作)'!$E$201:$E$208)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0.01694915254237288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0.04166666666666666</v>
                </pt>
                <pt idx="27">
                  <v>0</v>
                </pt>
                <pt idx="28">
                  <v>0.03125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2"/>
          <order val="2"/>
          <tx>
            <strRef>
              <f>'指標２(外作)'!$F$174</f>
              <strCache>
                <ptCount val="1"/>
                <pt idx="0">
                  <v>3月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('指標２(外作)'!$F$175:$F$199,'指標２(外作)'!$F$201:$F$208)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3"/>
          <order val="3"/>
          <tx>
            <strRef>
              <f>'指標２(外作)'!$G$174</f>
              <strCache>
                <ptCount val="1"/>
                <pt idx="0">
                  <v>4月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('指標２(外作)'!$G$175:$G$199,'指標２(外作)'!$G$201:$G$208)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4"/>
          <order val="4"/>
          <tx>
            <strRef>
              <f>'指標２(外作)'!$H$174</f>
              <strCache>
                <ptCount val="1"/>
                <pt idx="0">
                  <v>5月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('指標２(外作)'!$H$175:$H$199,'指標２(外作)'!$H$201:$H$208)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5"/>
          <order val="5"/>
          <tx>
            <strRef>
              <f>'指標２(外作)'!$I$174</f>
              <strCache>
                <ptCount val="1"/>
                <pt idx="0">
                  <v>6月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('指標２(外作)'!$I$175:$I$199,'指標２(外作)'!$I$201:$I$208)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6"/>
          <order val="6"/>
          <tx>
            <strRef>
              <f>'指標２(外作)'!$J$174</f>
              <strCache>
                <ptCount val="1"/>
                <pt idx="0">
                  <v>7月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('指標２(外作)'!$J$175:$J$199,'指標２(外作)'!$J$201:$J$208)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7"/>
          <order val="7"/>
          <tx>
            <strRef>
              <f>'指標２(外作)'!$K$174</f>
              <strCache>
                <ptCount val="1"/>
                <pt idx="0">
                  <v>8月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('指標２(外作)'!$K$175:$K$199,'指標２(外作)'!$K$201:$K$208)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8"/>
          <order val="8"/>
          <tx>
            <strRef>
              <f>'指標２(外作)'!$L$174</f>
              <strCache>
                <ptCount val="1"/>
                <pt idx="0">
                  <v>9月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('指標２(外作)'!$L$175:$L$199,'指標２(外作)'!$L$201:$L$208)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9"/>
          <order val="9"/>
          <tx>
            <strRef>
              <f>'指標２(外作)'!$M$174</f>
              <strCache>
                <ptCount val="1"/>
                <pt idx="0">
                  <v>10月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('指標２(外作)'!$M$175:$M$199,'指標２(外作)'!$M$201:$M$208)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10"/>
          <order val="10"/>
          <tx>
            <strRef>
              <f>'指標２(外作)'!$N$174</f>
              <strCache>
                <ptCount val="1"/>
                <pt idx="0">
                  <v>11月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('指標２(外作)'!$N$175:$N$199,'指標２(外作)'!$N$201:$N$208)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11"/>
          <order val="11"/>
          <tx>
            <strRef>
              <f>'指標２(外作)'!$O$174</f>
              <strCache>
                <ptCount val="1"/>
                <pt idx="0">
                  <v>12月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('指標２(外作)'!$O$175:$O$199,'指標２(外作)'!$O$201:$O$208)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12"/>
          <order val="12"/>
          <tx>
            <strRef>
              <f>'指標２(外作)'!$P$174</f>
              <strCache>
                <ptCount val="1"/>
                <pt idx="0">
                  <v>Lũy kế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('指標２(外作)'!$P$175:$P$199,'指標２(外作)'!$P$201:$P$208)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0.006172839506172839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0.01886792452830189</v>
                </pt>
                <pt idx="27">
                  <v>0</v>
                </pt>
                <pt idx="28">
                  <v>0.01801801801801802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1842816"/>
        <axId val="131844352"/>
      </barChart>
      <catAx>
        <axId val="131842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spcFirstLastPara="1" vertOverflow="ellipsis" vert="eaVert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31844352"/>
        <crosses val="autoZero"/>
        <auto val="1"/>
        <lblAlgn val="ctr"/>
        <lblOffset val="100"/>
        <noMultiLvlLbl val="0"/>
      </catAx>
      <valAx>
        <axId val="1318443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3184281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263363778334615"/>
          <y val="0.06076334208223968"/>
          <w val="0.5736636111111111"/>
          <h val="0.0843138654683707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不良件数</a:t>
            </a:r>
            <a:r>
              <a:rPr lang="en-US"/>
              <a:t>】</a:t>
            </a:r>
            <a:endParaRPr lang="ja-JP"/>
          </a:p>
        </rich>
      </tx>
      <layout>
        <manualLayout>
          <xMode val="edge"/>
          <yMode val="edge"/>
          <wMode val="factor"/>
          <hMode val="factor"/>
          <x val="0.07638994902944009"/>
          <y val="0.009259259259259259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515002777777778"/>
          <y val="0.174527729297853"/>
          <w val="0.7107111111111111"/>
          <h val="0.7107109136914128"/>
        </manualLayout>
      </layout>
      <pieChart>
        <varyColors val="1"/>
        <ser>
          <idx val="0"/>
          <order val="0"/>
          <tx>
            <strRef>
              <f>'指標２(外作)'!$P$120</f>
              <strCache>
                <ptCount val="1"/>
                <pt idx="0">
                  <v>Lũy kế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chemeClr val="accent2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3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5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6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7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8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9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2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3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4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ＭＳ Ｐゴシック" panose="020B0600070205080204" pitchFamily="50" charset="-128"/>
                    <a:ea typeface="ＭＳ Ｐゴシック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0"/>
          </dLbls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('指標２(外作)'!$P$121:$P$145,'指標２(外作)'!$P$147:$P$154)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1</v>
                </pt>
                <pt idx="27">
                  <v>0</v>
                </pt>
                <pt idx="28">
                  <v>2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不良件数</a:t>
            </a:r>
            <a:r>
              <a:rPr lang="en-US"/>
              <a:t>】</a:t>
            </a:r>
            <a:endParaRPr lang="ja-JP"/>
          </a:p>
        </rich>
      </tx>
      <layout>
        <manualLayout>
          <xMode val="edge"/>
          <yMode val="edge"/>
          <wMode val="factor"/>
          <hMode val="factor"/>
          <x val="0.07638994902944009"/>
          <y val="0.009259259259259259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797225"/>
          <y val="0.1886386111111111"/>
          <w val="0.6860166666666667"/>
          <h val="0.6860166666666667"/>
        </manualLayout>
      </layout>
      <pieChart>
        <varyColors val="1"/>
        <ser>
          <idx val="0"/>
          <order val="0"/>
          <tx>
            <strRef>
              <f>'指標２(外作)'!$P$174</f>
              <strCache>
                <ptCount val="1"/>
                <pt idx="0">
                  <v>Lũy kế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chemeClr val="accent2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3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4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5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6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9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4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ＭＳ Ｐゴシック" panose="020B0600070205080204" pitchFamily="50" charset="-128"/>
                    <a:ea typeface="ＭＳ Ｐゴシック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0"/>
          </dLbls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('指標２(外作)'!$P$175:$P$199,'指標２(外作)'!$P$201:$P$208)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0.006172839506172839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0.01886792452830189</v>
                </pt>
                <pt idx="27">
                  <v>0</v>
                </pt>
                <pt idx="28">
                  <v>0.01801801801801802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100"/>
              <a:t>【</a:t>
            </a:r>
            <a:r>
              <a:rPr lang="ja-JP" sz="1100"/>
              <a:t>研削工程</a:t>
            </a:r>
            <a:r>
              <a:rPr lang="ja-JP" altLang="ja-JP" sz="1100" b="0" i="0" strike="noStrike" baseline="0">
                <effectLst/>
              </a:rPr>
              <a:t xml:space="preserve">　１日当りの負荷時間</a:t>
            </a:r>
            <a:r>
              <a:rPr lang="ja-JP" altLang="en-US" sz="1100" b="0" i="0" strike="noStrike" baseline="0">
                <effectLst/>
              </a:rPr>
              <a:t>（分）</a:t>
            </a:r>
            <a:r>
              <a:rPr lang="en-US" sz="1100"/>
              <a:t>】</a:t>
            </a:r>
            <a:endParaRPr lang="ja-JP" sz="1100"/>
          </a:p>
        </rich>
      </tx>
      <layout>
        <manualLayout>
          <xMode val="edge"/>
          <yMode val="edge"/>
          <wMode val="factor"/>
          <hMode val="factor"/>
          <x val="0.246319426104781"/>
          <y val="0.0065115349020834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33706676475767"/>
          <y val="0.138044539924169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'指標3（工程毎負荷時間)'!$F$34</f>
              <strCache>
                <ptCount val="1"/>
                <pt idx="0">
                  <v>1月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('指標3（工程毎負荷時間)'!$F$47,'指標3（工程毎負荷時間)'!$F$49,'指標3（工程毎負荷時間)'!$F$51,'指標3（工程毎負荷時間)'!$F$53,'指標3（工程毎負荷時間)'!$F$55,'指標3（工程毎負荷時間)'!$F$57)</f>
              <numCache>
                <formatCode>#,##0_);[Red]\(#,##0\)</formatCode>
                <ptCount val="6"/>
                <pt idx="0">
                  <v>1317.428571428572</v>
                </pt>
                <pt idx="1">
                  <v>1785.022727272727</v>
                </pt>
                <pt idx="2">
                  <v>0</v>
                </pt>
                <pt idx="3">
                  <v>1503.295454545455</v>
                </pt>
                <pt idx="4">
                  <v>1096.636363636364</v>
                </pt>
                <pt idx="5">
                  <v>2053.204545454545</v>
                </pt>
              </numCache>
            </numRef>
          </val>
        </ser>
        <ser>
          <idx val="1"/>
          <order val="1"/>
          <tx>
            <strRef>
              <f>'指標3（工程毎負荷時間)'!$G$34</f>
              <strCache>
                <ptCount val="1"/>
                <pt idx="0">
                  <v>2月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('指標3（工程毎負荷時間)'!$G$47,'指標3（工程毎負荷時間)'!$G$49,'指標3（工程毎負荷時間)'!$G$51,'指標3（工程毎負荷時間)'!$G$53,'指標3（工程毎負荷時間)'!$G$55,'指標3（工程毎負荷時間)'!$G$57)</f>
              <numCache>
                <formatCode>#,##0_);[Red]\(#,##0\)</formatCode>
                <ptCount val="6"/>
                <pt idx="0">
                  <v>1926.447619047619</v>
                </pt>
                <pt idx="1">
                  <v>2249.733333333333</v>
                </pt>
                <pt idx="2">
                  <v>0</v>
                </pt>
                <pt idx="3">
                  <v>2171.933333333333</v>
                </pt>
                <pt idx="4">
                  <v>1421.5</v>
                </pt>
                <pt idx="5">
                  <v>2792.766666666667</v>
                </pt>
              </numCache>
            </numRef>
          </val>
        </ser>
        <ser>
          <idx val="2"/>
          <order val="2"/>
          <tx>
            <strRef>
              <f>'指標3（工程毎負荷時間)'!$H$34</f>
              <strCache>
                <ptCount val="1"/>
                <pt idx="0">
                  <v>3月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('指標3（工程毎負荷時間)'!$H$47,'指標3（工程毎負荷時間)'!$H$49,'指標3（工程毎負荷時間)'!$H$51,'指標3（工程毎負荷時間)'!$H$53,'指標3（工程毎負荷時間)'!$H$55,'指標3（工程毎負荷時間)'!$H$57)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3"/>
          <order val="3"/>
          <tx>
            <strRef>
              <f>'指標3（工程毎負荷時間)'!$I$34</f>
              <strCache>
                <ptCount val="1"/>
                <pt idx="0">
                  <v>4月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('指標3（工程毎負荷時間)'!$I$47,'指標3（工程毎負荷時間)'!$I$49,'指標3（工程毎負荷時間)'!$I$51,'指標3（工程毎負荷時間)'!$I$53,'指標3（工程毎負荷時間)'!$I$55,'指標3（工程毎負荷時間)'!$I$57)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4"/>
          <order val="4"/>
          <tx>
            <strRef>
              <f>'指標3（工程毎負荷時間)'!$J$34</f>
              <strCache>
                <ptCount val="1"/>
                <pt idx="0">
                  <v>5月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('指標3（工程毎負荷時間)'!$J$47,'指標3（工程毎負荷時間)'!$J$49,'指標3（工程毎負荷時間)'!$J$51,'指標3（工程毎負荷時間)'!$J$53,'指標3（工程毎負荷時間)'!$J$55,'指標3（工程毎負荷時間)'!$J$57)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5"/>
          <order val="5"/>
          <tx>
            <strRef>
              <f>'指標3（工程毎負荷時間)'!$K$34</f>
              <strCache>
                <ptCount val="1"/>
                <pt idx="0">
                  <v>6月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('指標3（工程毎負荷時間)'!$K$47,'指標3（工程毎負荷時間)'!$K$49,'指標3（工程毎負荷時間)'!$K$51,'指標3（工程毎負荷時間)'!$K$53,'指標3（工程毎負荷時間)'!$K$55,'指標3（工程毎負荷時間)'!$K$57)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6"/>
          <order val="6"/>
          <tx>
            <strRef>
              <f>'指標3（工程毎負荷時間)'!$L$34</f>
              <strCache>
                <ptCount val="1"/>
                <pt idx="0">
                  <v>7月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('指標3（工程毎負荷時間)'!$L$47,'指標3（工程毎負荷時間)'!$L$49,'指標3（工程毎負荷時間)'!$L$51,'指標3（工程毎負荷時間)'!$L$53,'指標3（工程毎負荷時間)'!$L$55,'指標3（工程毎負荷時間)'!$L$57)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7"/>
          <order val="7"/>
          <tx>
            <strRef>
              <f>'指標3（工程毎負荷時間)'!$M$34</f>
              <strCache>
                <ptCount val="1"/>
                <pt idx="0">
                  <v>8月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('指標3（工程毎負荷時間)'!$M$47,'指標3（工程毎負荷時間)'!$M$49,'指標3（工程毎負荷時間)'!$M$51,'指標3（工程毎負荷時間)'!$M$53,'指標3（工程毎負荷時間)'!$M$55,'指標3（工程毎負荷時間)'!$M$57)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8"/>
          <order val="8"/>
          <tx>
            <strRef>
              <f>'指標3（工程毎負荷時間)'!$N$34</f>
              <strCache>
                <ptCount val="1"/>
                <pt idx="0">
                  <v>9月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('指標3（工程毎負荷時間)'!$N$47,'指標3（工程毎負荷時間)'!$N$49,'指標3（工程毎負荷時間)'!$N$51,'指標3（工程毎負荷時間)'!$N$53,'指標3（工程毎負荷時間)'!$N$55,'指標3（工程毎負荷時間)'!$N$57)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9"/>
          <order val="9"/>
          <tx>
            <strRef>
              <f>'指標3（工程毎負荷時間)'!$O$34</f>
              <strCache>
                <ptCount val="1"/>
                <pt idx="0">
                  <v>10月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('指標3（工程毎負荷時間)'!$O$47,'指標3（工程毎負荷時間)'!$O$49,'指標3（工程毎負荷時間)'!$O$51,'指標3（工程毎負荷時間)'!$O$53,'指標3（工程毎負荷時間)'!$O$55,'指標3（工程毎負荷時間)'!$O$57)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0"/>
          <order val="10"/>
          <tx>
            <strRef>
              <f>'指標3（工程毎負荷時間)'!$P$34</f>
              <strCache>
                <ptCount val="1"/>
                <pt idx="0">
                  <v>11月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('指標3（工程毎負荷時間)'!$P$47,'指標3（工程毎負荷時間)'!$P$49,'指標3（工程毎負荷時間)'!$P$51,'指標3（工程毎負荷時間)'!$P$53,'指標3（工程毎負荷時間)'!$P$55,'指標3（工程毎負荷時間)'!$P$57)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1"/>
          <order val="11"/>
          <tx>
            <strRef>
              <f>'指標3（工程毎負荷時間)'!$Q$34</f>
              <strCache>
                <ptCount val="1"/>
                <pt idx="0">
                  <v>12月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('指標3（工程毎負荷時間)'!$Q$47,'指標3（工程毎負荷時間)'!$Q$49,'指標3（工程毎負荷時間)'!$Q$51,'指標3（工程毎負荷時間)'!$Q$53,'指標3（工程毎負荷時間)'!$Q$55,'指標3（工程毎負荷時間)'!$Q$57)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0855040"/>
        <axId val="170856832"/>
      </barChart>
      <catAx>
        <axId val="170855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0856832"/>
        <crosses val="autoZero"/>
        <auto val="1"/>
        <lblAlgn val="ctr"/>
        <lblOffset val="100"/>
        <noMultiLvlLbl val="0"/>
      </catAx>
      <valAx>
        <axId val="17085683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0855040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56568717145805"/>
          <y val="0.134551896164091"/>
          <w val="0.81662878216253"/>
          <h val="0.0970869853900641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100"/>
              <a:t>【</a:t>
            </a:r>
            <a:r>
              <a:rPr lang="ja-JP" sz="1100"/>
              <a:t>放電工程</a:t>
            </a:r>
            <a:r>
              <a:rPr lang="ja-JP" altLang="ja-JP" sz="1100" b="0" i="0" strike="noStrike" baseline="0">
                <effectLst/>
              </a:rPr>
              <a:t xml:space="preserve">　１日当りの負荷時間</a:t>
            </a:r>
            <a:r>
              <a:rPr lang="ja-JP" altLang="en-US" sz="1100" b="0" i="0" strike="noStrike" baseline="0">
                <effectLst/>
              </a:rPr>
              <a:t>（分）</a:t>
            </a:r>
            <a:r>
              <a:rPr lang="en-US" sz="1100"/>
              <a:t>】</a:t>
            </a:r>
            <a:endParaRPr lang="ja-JP" sz="1100"/>
          </a:p>
        </rich>
      </tx>
      <layout>
        <manualLayout>
          <xMode val="edge"/>
          <yMode val="edge"/>
          <wMode val="factor"/>
          <hMode val="factor"/>
          <x val="0.248691378412118"/>
          <y val="0.0066745184229847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090187058280071"/>
          <y val="0.148174308990261"/>
          <w val="0.889124276291863"/>
          <h val="0.747324280163704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'指標3（工程毎負荷時間)'!$F$34</f>
              <strCache>
                <ptCount val="1"/>
                <pt idx="0">
                  <v>1月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('指標3（工程毎負荷時間)'!$F$59,'指標3（工程毎負荷時間)'!$F$61,'指標3（工程毎負荷時間)'!$F$63)</f>
              <numCache>
                <formatCode>#,##0_);[Red]\(#,##0\)</formatCode>
                <ptCount val="3"/>
                <pt idx="0">
                  <v>1660.25</v>
                </pt>
                <pt idx="1">
                  <v>0</v>
                </pt>
                <pt idx="2">
                  <v>3053.318181818182</v>
                </pt>
              </numCache>
            </numRef>
          </val>
        </ser>
        <ser>
          <idx val="1"/>
          <order val="1"/>
          <tx>
            <strRef>
              <f>'指標3（工程毎負荷時間)'!$G$34</f>
              <strCache>
                <ptCount val="1"/>
                <pt idx="0">
                  <v>2月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('指標3（工程毎負荷時間)'!$G$59,'指標3（工程毎負荷時間)'!$G$61,'指標3（工程毎負荷時間)'!$G$63)</f>
              <numCache>
                <formatCode>#,##0_);[Red]\(#,##0\)</formatCode>
                <ptCount val="3"/>
                <pt idx="0">
                  <v>2364.966666666667</v>
                </pt>
                <pt idx="1">
                  <v>0</v>
                </pt>
                <pt idx="2">
                  <v>4604.4</v>
                </pt>
              </numCache>
            </numRef>
          </val>
        </ser>
        <ser>
          <idx val="2"/>
          <order val="2"/>
          <tx>
            <strRef>
              <f>'指標3（工程毎負荷時間)'!$H$34</f>
              <strCache>
                <ptCount val="1"/>
                <pt idx="0">
                  <v>3月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('指標3（工程毎負荷時間)'!$H$59,'指標3（工程毎負荷時間)'!$H$61,'指標3（工程毎負荷時間)'!$H$63)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3"/>
          <order val="3"/>
          <tx>
            <strRef>
              <f>'指標3（工程毎負荷時間)'!$I$34</f>
              <strCache>
                <ptCount val="1"/>
                <pt idx="0">
                  <v>4月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('指標3（工程毎負荷時間)'!$I$59,'指標3（工程毎負荷時間)'!$I$61,'指標3（工程毎負荷時間)'!$I$63)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4"/>
          <order val="4"/>
          <tx>
            <strRef>
              <f>'指標3（工程毎負荷時間)'!$J$34</f>
              <strCache>
                <ptCount val="1"/>
                <pt idx="0">
                  <v>5月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('指標3（工程毎負荷時間)'!$J$59,'指標3（工程毎負荷時間)'!$J$61,'指標3（工程毎負荷時間)'!$J$63)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5"/>
          <order val="5"/>
          <tx>
            <strRef>
              <f>'指標3（工程毎負荷時間)'!$K$34</f>
              <strCache>
                <ptCount val="1"/>
                <pt idx="0">
                  <v>6月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('指標3（工程毎負荷時間)'!$K$59,'指標3（工程毎負荷時間)'!$K$61,'指標3（工程毎負荷時間)'!$K$63)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6"/>
          <order val="6"/>
          <tx>
            <strRef>
              <f>'指標3（工程毎負荷時間)'!$L$34</f>
              <strCache>
                <ptCount val="1"/>
                <pt idx="0">
                  <v>7月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('指標3（工程毎負荷時間)'!$L$59,'指標3（工程毎負荷時間)'!$L$61,'指標3（工程毎負荷時間)'!$L$63)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7"/>
          <order val="7"/>
          <tx>
            <strRef>
              <f>'指標3（工程毎負荷時間)'!$M$34</f>
              <strCache>
                <ptCount val="1"/>
                <pt idx="0">
                  <v>8月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('指標3（工程毎負荷時間)'!$M$59,'指標3（工程毎負荷時間)'!$M$61,'指標3（工程毎負荷時間)'!$M$63)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8"/>
          <order val="8"/>
          <tx>
            <strRef>
              <f>'指標3（工程毎負荷時間)'!$N$34</f>
              <strCache>
                <ptCount val="1"/>
                <pt idx="0">
                  <v>9月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('指標3（工程毎負荷時間)'!$N$59,'指標3（工程毎負荷時間)'!$N$61,'指標3（工程毎負荷時間)'!$N$63)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9"/>
          <order val="9"/>
          <tx>
            <strRef>
              <f>'指標3（工程毎負荷時間)'!$O$34</f>
              <strCache>
                <ptCount val="1"/>
                <pt idx="0">
                  <v>10月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('指標3（工程毎負荷時間)'!$O$59,'指標3（工程毎負荷時間)'!$O$61,'指標3（工程毎負荷時間)'!$O$63)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10"/>
          <order val="10"/>
          <tx>
            <strRef>
              <f>'指標3（工程毎負荷時間)'!$P$34</f>
              <strCache>
                <ptCount val="1"/>
                <pt idx="0">
                  <v>11月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('指標3（工程毎負荷時間)'!$P$59,'指標3（工程毎負荷時間)'!$P$61,'指標3（工程毎負荷時間)'!$P$63)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11"/>
          <order val="11"/>
          <tx>
            <strRef>
              <f>'指標3（工程毎負荷時間)'!$Q$34</f>
              <strCache>
                <ptCount val="1"/>
                <pt idx="0">
                  <v>12月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('指標3（工程毎負荷時間)'!$Q$59,'指標3（工程毎負荷時間)'!$Q$61,'指標3（工程毎負荷時間)'!$Q$63)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198336"/>
        <axId val="171199872"/>
      </barChart>
      <catAx>
        <axId val="171198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199872"/>
        <crosses val="autoZero"/>
        <auto val="1"/>
        <lblAlgn val="ctr"/>
        <lblOffset val="100"/>
        <noMultiLvlLbl val="0"/>
      </catAx>
      <valAx>
        <axId val="1711998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19833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63889986533377"/>
          <y val="0.152936866939008"/>
          <w val="0.817030462091947"/>
          <h val="0.09951706968670319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altLang="ja-JP" sz="1100" b="0" i="0" strike="noStrike" baseline="0">
                <effectLst/>
              </a:rPr>
              <a:t>【</a:t>
            </a:r>
            <a:r>
              <a:rPr lang="ja-JP" altLang="ja-JP" sz="1100" b="0" i="0" strike="noStrike" baseline="0">
                <effectLst/>
              </a:rPr>
              <a:t>切削工程　負荷</a:t>
            </a:r>
            <a:r>
              <a:rPr lang="ja-JP" altLang="en-US" sz="1100" b="0" i="0" strike="noStrike" baseline="0">
                <effectLst/>
              </a:rPr>
              <a:t>日数＆目標値</a:t>
            </a:r>
            <a:r>
              <a:rPr lang="en-US" altLang="ja-JP" sz="1100" b="0" i="0" strike="noStrike" baseline="0">
                <effectLst/>
              </a:rPr>
              <a:t>】</a:t>
            </a:r>
            <a:endParaRPr lang="ja-JP" sz="1100"/>
          </a:p>
        </rich>
      </tx>
      <layout>
        <manualLayout>
          <xMode val="edge"/>
          <yMode val="edge"/>
          <wMode val="factor"/>
          <hMode val="factor"/>
          <x val="0.324144131395313"/>
          <y val="0.006674521930797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562020400079263"/>
          <y val="0.12815088842138"/>
          <w val="0.916416750244358"/>
          <h val="0.767347590890485"/>
        </manualLayout>
      </layout>
      <barChart>
        <barDir val="col"/>
        <grouping val="clustered"/>
        <varyColors val="0"/>
        <ser>
          <idx val="1"/>
          <order val="0"/>
          <tx>
            <strRef>
              <f>'指標3（工程毎負荷時間)'!$F$162</f>
              <strCache>
                <ptCount val="1"/>
                <pt idx="0">
                  <v>1月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'指標3（工程毎負荷時間)'!$F$163:$F$168</f>
              <numCache>
                <formatCode>#,##0_);[Red]\(#,##0\)</formatCode>
                <ptCount val="6"/>
                <pt idx="0">
                  <v>7.482262996941897</v>
                </pt>
                <pt idx="1">
                  <v>62.0454128440367</v>
                </pt>
                <pt idx="2">
                  <v>7.262844036697247</v>
                </pt>
                <pt idx="3">
                  <v>17.65119266055046</v>
                </pt>
                <pt idx="4">
                  <v>3.46697247706422</v>
                </pt>
                <pt idx="5">
                  <v>46.23669724770642</v>
                </pt>
              </numCache>
            </numRef>
          </val>
        </ser>
        <ser>
          <idx val="2"/>
          <order val="1"/>
          <tx>
            <strRef>
              <f>'指標3（工程毎負荷時間)'!$G$162</f>
              <strCache>
                <ptCount val="1"/>
                <pt idx="0">
                  <v>2月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'指標3（工程毎負荷時間)'!$G$163:$G$168</f>
              <numCache>
                <formatCode>#,##0_);[Red]\(#,##0\)</formatCode>
                <ptCount val="6"/>
                <pt idx="0">
                  <v>7.934862385321101</v>
                </pt>
                <pt idx="1">
                  <v>58.47339449541285</v>
                </pt>
                <pt idx="2">
                  <v>8.010779816513761</v>
                </pt>
                <pt idx="3">
                  <v>17.89174311926606</v>
                </pt>
                <pt idx="4">
                  <v>3.804587155963303</v>
                </pt>
                <pt idx="5">
                  <v>46.02844036697248</v>
                </pt>
              </numCache>
            </numRef>
          </val>
        </ser>
        <ser>
          <idx val="3"/>
          <order val="2"/>
          <tx>
            <strRef>
              <f>'指標3（工程毎負荷時間)'!$H$162</f>
              <strCache>
                <ptCount val="1"/>
                <pt idx="0">
                  <v>3月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'指標3（工程毎負荷時間)'!$H$163:$H$168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4"/>
          <order val="3"/>
          <tx>
            <strRef>
              <f>'指標3（工程毎負荷時間)'!$I$162</f>
              <strCache>
                <ptCount val="1"/>
                <pt idx="0">
                  <v>4月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'指標3（工程毎負荷時間)'!$I$163:$I$168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5"/>
          <order val="4"/>
          <tx>
            <strRef>
              <f>'指標3（工程毎負荷時間)'!$J$162</f>
              <strCache>
                <ptCount val="1"/>
                <pt idx="0">
                  <v>5月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'指標3（工程毎負荷時間)'!$J$163:$J$168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6"/>
          <order val="5"/>
          <tx>
            <strRef>
              <f>'指標3（工程毎負荷時間)'!$K$162</f>
              <strCache>
                <ptCount val="1"/>
                <pt idx="0">
                  <v>6月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'指標3（工程毎負荷時間)'!$K$163:$K$168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7"/>
          <order val="6"/>
          <tx>
            <strRef>
              <f>'指標3（工程毎負荷時間)'!$L$162</f>
              <strCache>
                <ptCount val="1"/>
                <pt idx="0">
                  <v>7月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'指標3（工程毎負荷時間)'!$L$163:$L$168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8"/>
          <order val="7"/>
          <tx>
            <strRef>
              <f>'指標3（工程毎負荷時間)'!$M$162</f>
              <strCache>
                <ptCount val="1"/>
                <pt idx="0">
                  <v>8月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'指標3（工程毎負荷時間)'!$M$163:$M$168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9"/>
          <order val="8"/>
          <tx>
            <strRef>
              <f>'指標3（工程毎負荷時間)'!$N$162</f>
              <strCache>
                <ptCount val="1"/>
                <pt idx="0">
                  <v>9月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'指標3（工程毎負荷時間)'!$N$163:$N$168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0"/>
          <order val="9"/>
          <tx>
            <strRef>
              <f>'指標3（工程毎負荷時間)'!$O$162</f>
              <strCache>
                <ptCount val="1"/>
                <pt idx="0">
                  <v>10月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'指標3（工程毎負荷時間)'!$O$163:$O$168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1"/>
          <order val="10"/>
          <tx>
            <strRef>
              <f>'指標3（工程毎負荷時間)'!$P$162</f>
              <strCache>
                <ptCount val="1"/>
                <pt idx="0">
                  <v>11月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'指標3（工程毎負荷時間)'!$P$163:$P$168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2"/>
          <order val="11"/>
          <tx>
            <strRef>
              <f>'指標3（工程毎負荷時間)'!$Q$162</f>
              <strCache>
                <ptCount val="1"/>
                <pt idx="0">
                  <v>12月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'指標3（工程毎負荷時間)'!$Q$163:$Q$168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569152"/>
        <axId val="171570688"/>
      </barChart>
      <lineChart>
        <grouping val="standard"/>
        <varyColors val="0"/>
        <ser>
          <idx val="13"/>
          <order val="12"/>
          <tx>
            <strRef>
              <f>'指標3（工程毎負荷時間)'!$R$162</f>
              <strCache>
                <ptCount val="1"/>
                <pt idx="0">
                  <v>目標値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'指標3（工程毎負荷時間)'!$R$163:$R$168</f>
              <numCache>
                <formatCode>#,##0_);[Red]\(#,##0\)</formatCode>
                <ptCount val="6"/>
                <pt idx="0">
                  <v>30</v>
                </pt>
                <pt idx="1">
                  <v>30</v>
                </pt>
                <pt idx="2">
                  <v>30</v>
                </pt>
                <pt idx="3">
                  <v>30</v>
                </pt>
                <pt idx="4">
                  <v>30</v>
                </pt>
                <pt idx="5">
                  <v>30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1569152"/>
        <axId val="171570688"/>
      </lineChart>
      <catAx>
        <axId val="17156915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570688"/>
        <crosses val="autoZero"/>
        <auto val="1"/>
        <lblAlgn val="ctr"/>
        <lblOffset val="100"/>
        <noMultiLvlLbl val="0"/>
      </catAx>
      <valAx>
        <axId val="171570688"/>
        <scaling>
          <orientation val="minMax"/>
          <max val="8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1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569152"/>
        <crosses val="autoZero"/>
        <crossBetween val="between"/>
        <majorUnit val="20"/>
      </valAx>
    </plotArea>
    <legend>
      <legendPos val="b"/>
      <layout>
        <manualLayout>
          <xMode val="edge"/>
          <yMode val="edge"/>
          <wMode val="factor"/>
          <hMode val="factor"/>
          <x val="0.6623104474248011"/>
          <y val="0.0060969424892407"/>
          <w val="0.335851194638828"/>
          <h val="0.31583854375519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100"/>
              <a:t>【</a:t>
            </a:r>
            <a:r>
              <a:rPr lang="en-US" altLang="ja-JP" sz="1100"/>
              <a:t>NC</a:t>
            </a:r>
            <a:r>
              <a:rPr lang="ja-JP" altLang="en-US" sz="1100"/>
              <a:t>系</a:t>
            </a:r>
            <a:r>
              <a:rPr lang="ja-JP" altLang="ja-JP" sz="1100" b="0" i="0" strike="noStrike" baseline="0">
                <effectLst/>
              </a:rPr>
              <a:t xml:space="preserve">　１日当りの負荷時間</a:t>
            </a:r>
            <a:r>
              <a:rPr lang="ja-JP" altLang="en-US" sz="1100" b="0" i="0" strike="noStrike" baseline="0">
                <effectLst/>
              </a:rPr>
              <a:t>（分）</a:t>
            </a:r>
            <a:r>
              <a:rPr lang="en-US" sz="1100"/>
              <a:t>】</a:t>
            </a:r>
            <a:endParaRPr lang="ja-JP" sz="1100"/>
          </a:p>
        </rich>
      </tx>
      <layout>
        <manualLayout>
          <xMode val="edge"/>
          <yMode val="edge"/>
          <wMode val="factor"/>
          <hMode val="factor"/>
          <x val="0.248691378412118"/>
          <y val="0.0066745184229847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090187058280071"/>
          <y val="0.148174308990261"/>
          <w val="0.889124276291863"/>
          <h val="0.747324280163704"/>
        </manualLayout>
      </layout>
      <barChart>
        <barDir val="col"/>
        <grouping val="clustered"/>
        <varyColors val="0"/>
        <ser>
          <idx val="1"/>
          <order val="0"/>
          <tx>
            <strRef>
              <f>'指標3（工程毎負荷時間)'!$F$34</f>
              <strCache>
                <ptCount val="1"/>
                <pt idx="0">
                  <v>1月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('指標3（工程毎負荷時間)'!$F$37,'指標3（工程毎負荷時間)'!$F$45,'指標3（工程毎負荷時間)'!$F$59,'指標3（工程毎負荷時間)'!$F$63)</f>
              <numCache>
                <formatCode>#,##0_);[Red]\(#,##0\)</formatCode>
                <ptCount val="4"/>
                <pt idx="0">
                  <v>3074.068181818182</v>
                </pt>
                <pt idx="1">
                  <v>2290.818181818182</v>
                </pt>
                <pt idx="2">
                  <v>1660.25</v>
                </pt>
                <pt idx="3">
                  <v>3053.318181818182</v>
                </pt>
              </numCache>
            </numRef>
          </val>
        </ser>
        <ser>
          <idx val="2"/>
          <order val="1"/>
          <tx>
            <strRef>
              <f>'指標3（工程毎負荷時間)'!$G$34</f>
              <strCache>
                <ptCount val="1"/>
                <pt idx="0">
                  <v>2月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('指標3（工程毎負荷時間)'!$G$37,'指標3（工程毎負荷時間)'!$G$45,'指標3（工程毎負荷時間)'!$G$59,'指標3（工程毎負荷時間)'!$G$63)</f>
              <numCache>
                <formatCode>#,##0_);[Red]\(#,##0\)</formatCode>
                <ptCount val="4"/>
                <pt idx="0">
                  <v>4249.066666666667</v>
                </pt>
                <pt idx="1">
                  <v>3344.733333333333</v>
                </pt>
                <pt idx="2">
                  <v>2364.966666666667</v>
                </pt>
                <pt idx="3">
                  <v>4604.4</v>
                </pt>
              </numCache>
            </numRef>
          </val>
        </ser>
        <ser>
          <idx val="3"/>
          <order val="2"/>
          <tx>
            <strRef>
              <f>'指標3（工程毎負荷時間)'!$H$34</f>
              <strCache>
                <ptCount val="1"/>
                <pt idx="0">
                  <v>3月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('指標3（工程毎負荷時間)'!$H$37,'指標3（工程毎負荷時間)'!$H$45,'指標3（工程毎負荷時間)'!$H$59,'指標3（工程毎負荷時間)'!$H$63)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4"/>
          <order val="3"/>
          <tx>
            <strRef>
              <f>'指標3（工程毎負荷時間)'!$I$34</f>
              <strCache>
                <ptCount val="1"/>
                <pt idx="0">
                  <v>4月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('指標3（工程毎負荷時間)'!$I$37,'指標3（工程毎負荷時間)'!$I$45,'指標3（工程毎負荷時間)'!$I$59,'指標3（工程毎負荷時間)'!$I$63)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5"/>
          <order val="4"/>
          <tx>
            <strRef>
              <f>'指標3（工程毎負荷時間)'!$J$34</f>
              <strCache>
                <ptCount val="1"/>
                <pt idx="0">
                  <v>5月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('指標3（工程毎負荷時間)'!$J$37,'指標3（工程毎負荷時間)'!$J$45,'指標3（工程毎負荷時間)'!$J$59,'指標3（工程毎負荷時間)'!$J$63)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6"/>
          <order val="5"/>
          <tx>
            <strRef>
              <f>'指標3（工程毎負荷時間)'!$K$34</f>
              <strCache>
                <ptCount val="1"/>
                <pt idx="0">
                  <v>6月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('指標3（工程毎負荷時間)'!$K$37,'指標3（工程毎負荷時間)'!$K$45,'指標3（工程毎負荷時間)'!$K$59,'指標3（工程毎負荷時間)'!$K$63)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7"/>
          <order val="6"/>
          <tx>
            <strRef>
              <f>'指標3（工程毎負荷時間)'!$L$34</f>
              <strCache>
                <ptCount val="1"/>
                <pt idx="0">
                  <v>7月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('指標3（工程毎負荷時間)'!$L$37,'指標3（工程毎負荷時間)'!$L$45,'指標3（工程毎負荷時間)'!$L$59,'指標3（工程毎負荷時間)'!$L$63)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8"/>
          <order val="7"/>
          <tx>
            <strRef>
              <f>'指標3（工程毎負荷時間)'!$M$34</f>
              <strCache>
                <ptCount val="1"/>
                <pt idx="0">
                  <v>8月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('指標3（工程毎負荷時間)'!$M$37,'指標3（工程毎負荷時間)'!$M$45,'指標3（工程毎負荷時間)'!$M$59,'指標3（工程毎負荷時間)'!$M$63)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9"/>
          <order val="8"/>
          <tx>
            <strRef>
              <f>'指標3（工程毎負荷時間)'!$N$34</f>
              <strCache>
                <ptCount val="1"/>
                <pt idx="0">
                  <v>9月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('指標3（工程毎負荷時間)'!$N$37,'指標3（工程毎負荷時間)'!$N$45,'指標3（工程毎負荷時間)'!$N$59,'指標3（工程毎負荷時間)'!$N$63)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10"/>
          <order val="9"/>
          <tx>
            <strRef>
              <f>'指標3（工程毎負荷時間)'!$O$34</f>
              <strCache>
                <ptCount val="1"/>
                <pt idx="0">
                  <v>10月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('指標3（工程毎負荷時間)'!$O$37,'指標3（工程毎負荷時間)'!$O$45,'指標3（工程毎負荷時間)'!$O$59,'指標3（工程毎負荷時間)'!$O$63)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11"/>
          <order val="10"/>
          <tx>
            <strRef>
              <f>'指標3（工程毎負荷時間)'!$P$34</f>
              <strCache>
                <ptCount val="1"/>
                <pt idx="0">
                  <v>11月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('指標3（工程毎負荷時間)'!$P$37,'指標3（工程毎負荷時間)'!$P$45,'指標3（工程毎負荷時間)'!$P$59,'指標3（工程毎負荷時間)'!$P$63)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12"/>
          <order val="11"/>
          <tx>
            <strRef>
              <f>'指標3（工程毎負荷時間)'!$Q$34</f>
              <strCache>
                <ptCount val="1"/>
                <pt idx="0">
                  <v>12月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('指標3（工程毎負荷時間)'!$Q$37,'指標3（工程毎負荷時間)'!$Q$45,'指標3（工程毎負荷時間)'!$Q$59,'指標3（工程毎負荷時間)'!$Q$63)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310464"/>
        <axId val="171320448"/>
      </barChart>
      <catAx>
        <axId val="17131046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320448"/>
        <crosses val="autoZero"/>
        <auto val="1"/>
        <lblAlgn val="ctr"/>
        <lblOffset val="100"/>
        <noMultiLvlLbl val="0"/>
      </catAx>
      <valAx>
        <axId val="1713204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31046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63889986533377"/>
          <y val="0.152936866939008"/>
          <w val="0.817030462091947"/>
          <h val="0.099517121988187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altLang="ja-JP" sz="1100"/>
              <a:t>【NC</a:t>
            </a:r>
            <a:r>
              <a:rPr lang="ja-JP" altLang="en-US" sz="1100"/>
              <a:t>系　負荷日数</a:t>
            </a:r>
            <a:r>
              <a:rPr lang="ja-JP" altLang="ja-JP" sz="1100" b="0" i="0" strike="noStrike" baseline="0">
                <effectLst/>
              </a:rPr>
              <a:t>＆目標値</a:t>
            </a:r>
            <a:r>
              <a:rPr lang="en-US" altLang="ja-JP" sz="1100"/>
              <a:t>】</a:t>
            </a:r>
            <a:endParaRPr lang="ja-JP" sz="1100"/>
          </a:p>
        </rich>
      </tx>
      <layout>
        <manualLayout>
          <xMode val="edge"/>
          <yMode val="edge"/>
          <wMode val="factor"/>
          <hMode val="factor"/>
          <x val="0.326633332281466"/>
          <y val="0.006674521930797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562020400079263"/>
          <y val="0.161523430725296"/>
          <w val="0.916416750244358"/>
          <h val="0.72790128855062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'指標3（工程毎負荷時間)'!$F$162</f>
              <strCache>
                <ptCount val="1"/>
                <pt idx="0">
                  <v>1月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('指標3（工程毎負荷時間)'!$F$164,'指標3（工程毎負荷時間)'!$F$168,'指標3（工程毎負荷時間)'!$F$175,'指標3（工程毎負荷時間)'!$F$177)</f>
              <numCache>
                <formatCode>#,##0_);[Red]\(#,##0\)</formatCode>
                <ptCount val="4"/>
                <pt idx="0">
                  <v>62.0454128440367</v>
                </pt>
                <pt idx="1">
                  <v>46.23669724770642</v>
                </pt>
                <pt idx="2">
                  <v>33.50963302752294</v>
                </pt>
                <pt idx="3">
                  <v>61.62660550458715</v>
                </pt>
              </numCache>
            </numRef>
          </val>
        </ser>
        <ser>
          <idx val="1"/>
          <order val="1"/>
          <tx>
            <strRef>
              <f>'指標3（工程毎負荷時間)'!$G$162</f>
              <strCache>
                <ptCount val="1"/>
                <pt idx="0">
                  <v>2月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('指標3（工程毎負荷時間)'!$G$164,'指標3（工程毎負荷時間)'!$G$168,'指標3（工程毎負荷時間)'!$G$175,'指標3（工程毎負荷時間)'!$G$177)</f>
              <numCache>
                <formatCode>#,##0_);[Red]\(#,##0\)</formatCode>
                <ptCount val="4"/>
                <pt idx="0">
                  <v>58.47339449541285</v>
                </pt>
                <pt idx="1">
                  <v>46.02844036697248</v>
                </pt>
                <pt idx="2">
                  <v>32.5454128440367</v>
                </pt>
                <pt idx="3">
                  <v>63.36330275229358</v>
                </pt>
              </numCache>
            </numRef>
          </val>
        </ser>
        <ser>
          <idx val="2"/>
          <order val="2"/>
          <tx>
            <strRef>
              <f>'指標3（工程毎負荷時間)'!$H$162</f>
              <strCache>
                <ptCount val="1"/>
                <pt idx="0">
                  <v>3月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('指標3（工程毎負荷時間)'!$H$164,'指標3（工程毎負荷時間)'!$H$168,'指標3（工程毎負荷時間)'!$H$175,'指標3（工程毎負荷時間)'!$H$177)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3"/>
          <order val="3"/>
          <tx>
            <strRef>
              <f>'指標3（工程毎負荷時間)'!$I$162</f>
              <strCache>
                <ptCount val="1"/>
                <pt idx="0">
                  <v>4月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('指標3（工程毎負荷時間)'!$I$164,'指標3（工程毎負荷時間)'!$I$168,'指標3（工程毎負荷時間)'!$I$175,'指標3（工程毎負荷時間)'!$I$177)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4"/>
          <order val="4"/>
          <tx>
            <strRef>
              <f>'指標3（工程毎負荷時間)'!$J$162</f>
              <strCache>
                <ptCount val="1"/>
                <pt idx="0">
                  <v>5月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('指標3（工程毎負荷時間)'!$J$164,'指標3（工程毎負荷時間)'!$J$168,'指標3（工程毎負荷時間)'!$J$175,'指標3（工程毎負荷時間)'!$J$177)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5"/>
          <order val="5"/>
          <tx>
            <strRef>
              <f>'指標3（工程毎負荷時間)'!$K$162</f>
              <strCache>
                <ptCount val="1"/>
                <pt idx="0">
                  <v>6月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('指標3（工程毎負荷時間)'!$K$164,'指標3（工程毎負荷時間)'!$K$168,'指標3（工程毎負荷時間)'!$K$175,'指標3（工程毎負荷時間)'!$K$177)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6"/>
          <order val="6"/>
          <tx>
            <strRef>
              <f>'指標3（工程毎負荷時間)'!$L$162</f>
              <strCache>
                <ptCount val="1"/>
                <pt idx="0">
                  <v>7月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('指標3（工程毎負荷時間)'!$L$164,'指標3（工程毎負荷時間)'!$L$168,'指標3（工程毎負荷時間)'!$L$175,'指標3（工程毎負荷時間)'!$L$177)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7"/>
          <order val="7"/>
          <tx>
            <strRef>
              <f>'指標3（工程毎負荷時間)'!$M$162</f>
              <strCache>
                <ptCount val="1"/>
                <pt idx="0">
                  <v>8月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('指標3（工程毎負荷時間)'!$M$164,'指標3（工程毎負荷時間)'!$M$168,'指標3（工程毎負荷時間)'!$M$175,'指標3（工程毎負荷時間)'!$M$177)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8"/>
          <order val="8"/>
          <tx>
            <strRef>
              <f>'指標3（工程毎負荷時間)'!$N$162</f>
              <strCache>
                <ptCount val="1"/>
                <pt idx="0">
                  <v>9月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('指標3（工程毎負荷時間)'!$N$164,'指標3（工程毎負荷時間)'!$N$168,'指標3（工程毎負荷時間)'!$N$175,'指標3（工程毎負荷時間)'!$N$177)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9"/>
          <order val="9"/>
          <tx>
            <strRef>
              <f>'指標3（工程毎負荷時間)'!$O$162</f>
              <strCache>
                <ptCount val="1"/>
                <pt idx="0">
                  <v>10月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('指標3（工程毎負荷時間)'!$O$164,'指標3（工程毎負荷時間)'!$O$168,'指標3（工程毎負荷時間)'!$O$175,'指標3（工程毎負荷時間)'!$O$177)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10"/>
          <order val="10"/>
          <tx>
            <strRef>
              <f>'指標3（工程毎負荷時間)'!$P$162</f>
              <strCache>
                <ptCount val="1"/>
                <pt idx="0">
                  <v>11月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('指標3（工程毎負荷時間)'!$P$164,'指標3（工程毎負荷時間)'!$P$168,'指標3（工程毎負荷時間)'!$P$175,'指標3（工程毎負荷時間)'!$P$177)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11"/>
          <order val="11"/>
          <tx>
            <strRef>
              <f>'指標3（工程毎負荷時間)'!$Q$162</f>
              <strCache>
                <ptCount val="1"/>
                <pt idx="0">
                  <v>12月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('指標3（工程毎負荷時間)'!$Q$164,'指標3（工程毎負荷時間)'!$Q$168,'指標3（工程毎負荷時間)'!$Q$175,'指標3（工程毎負荷時間)'!$Q$177)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476480"/>
        <axId val="171478016"/>
      </barChart>
      <lineChart>
        <grouping val="standard"/>
        <varyColors val="0"/>
        <ser>
          <idx val="12"/>
          <order val="12"/>
          <tx>
            <strRef>
              <f>'指標3（工程毎負荷時間)'!$R$162</f>
              <strCache>
                <ptCount val="1"/>
                <pt idx="0">
                  <v>目標値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('指標3（工程毎負荷時間)'!$R$164,'指標3（工程毎負荷時間)'!$R$168,'指標3（工程毎負荷時間)'!$R$175,'指標3（工程毎負荷時間)'!$R$177)</f>
              <numCache>
                <formatCode>#,##0_);[Red]\(#,##0\)</formatCode>
                <ptCount val="4"/>
                <pt idx="0">
                  <v>30</v>
                </pt>
                <pt idx="1">
                  <v>30</v>
                </pt>
                <pt idx="2">
                  <v>30</v>
                </pt>
                <pt idx="3">
                  <v>30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1476480"/>
        <axId val="171478016"/>
      </lineChart>
      <catAx>
        <axId val="1714764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478016"/>
        <crosses val="autoZero"/>
        <auto val="1"/>
        <lblAlgn val="ctr"/>
        <lblOffset val="100"/>
        <noMultiLvlLbl val="0"/>
      </catAx>
      <valAx>
        <axId val="171478016"/>
        <scaling>
          <orientation val="minMax"/>
          <max val="8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1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476480"/>
        <crosses val="autoZero"/>
        <crossBetween val="between"/>
        <majorUnit val="20"/>
      </valAx>
    </plotArea>
    <legend>
      <legendPos val="b"/>
      <layout>
        <manualLayout>
          <xMode val="edge"/>
          <yMode val="edge"/>
          <wMode val="factor"/>
          <hMode val="factor"/>
          <x val="0.635362646189103"/>
          <y val="0.00609694248924069"/>
          <w val="0.364637353810898"/>
          <h val="0.31583854375519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100"/>
              <a:t>【</a:t>
            </a:r>
            <a:r>
              <a:rPr lang="ja-JP" altLang="en-US" sz="1100"/>
              <a:t>切削</a:t>
            </a:r>
            <a:r>
              <a:rPr lang="ja-JP" sz="1100"/>
              <a:t>工程</a:t>
            </a:r>
            <a:r>
              <a:rPr lang="ja-JP" altLang="ja-JP" sz="1100" b="0" i="0" strike="noStrike" baseline="0">
                <effectLst/>
              </a:rPr>
              <a:t xml:space="preserve">　１日当りの負荷時間</a:t>
            </a:r>
            <a:r>
              <a:rPr lang="ja-JP" altLang="en-US" sz="1100" b="0" i="0" strike="noStrike" baseline="0">
                <effectLst/>
              </a:rPr>
              <a:t>（分）</a:t>
            </a:r>
            <a:r>
              <a:rPr lang="en-US" sz="1100"/>
              <a:t>】</a:t>
            </a:r>
            <a:endParaRPr lang="ja-JP" sz="1100"/>
          </a:p>
        </rich>
      </tx>
      <layout>
        <manualLayout>
          <xMode val="edge"/>
          <yMode val="edge"/>
          <wMode val="factor"/>
          <hMode val="factor"/>
          <x val="0.246319426104781"/>
          <y val="0.0065115349020834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33706676475767"/>
          <y val="0.138044539924169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'指標3（工程毎負荷時間)'!$F$34</f>
              <strCache>
                <ptCount val="1"/>
                <pt idx="0">
                  <v>1月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('指標3（工程毎負荷時間)'!$F$35,'指標3（工程毎負荷時間)'!$F$37,'指標3（工程毎負荷時間)'!$F$39,'指標3（工程毎負荷時間)'!$F$41,'指標3（工程毎負荷時間)'!$F$43,'指標3（工程毎負荷時間)'!$F$45)</f>
              <numCache>
                <formatCode>#,##0_);[Red]\(#,##0\)</formatCode>
                <ptCount val="6"/>
                <pt idx="0">
                  <v>370.7121212121212</v>
                </pt>
                <pt idx="1">
                  <v>3074.068181818182</v>
                </pt>
                <pt idx="2">
                  <v>359.8409090909091</v>
                </pt>
                <pt idx="3">
                  <v>874.5363636363636</v>
                </pt>
                <pt idx="4">
                  <v>171.7727272727273</v>
                </pt>
                <pt idx="5">
                  <v>2290.818181818182</v>
                </pt>
              </numCache>
            </numRef>
          </val>
        </ser>
        <ser>
          <idx val="1"/>
          <order val="1"/>
          <tx>
            <strRef>
              <f>'指標3（工程毎負荷時間)'!$G$34</f>
              <strCache>
                <ptCount val="1"/>
                <pt idx="0">
                  <v>2月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('指標3（工程毎負荷時間)'!$G$35,'指標3（工程毎負荷時間)'!$G$37,'指標3（工程毎負荷時間)'!$G$39,'指標3（工程毎負荷時間)'!$G$41,'指標3（工程毎負荷時間)'!$G$43,'指標3（工程毎負荷時間)'!$G$45)</f>
              <numCache>
                <formatCode>#,##0_);[Red]\(#,##0\)</formatCode>
                <ptCount val="6"/>
                <pt idx="0">
                  <v>576.6</v>
                </pt>
                <pt idx="1">
                  <v>4249.066666666667</v>
                </pt>
                <pt idx="2">
                  <v>582.1166666666667</v>
                </pt>
                <pt idx="3">
                  <v>1300.133333333333</v>
                </pt>
                <pt idx="4">
                  <v>276.4666666666666</v>
                </pt>
                <pt idx="5">
                  <v>3344.733333333333</v>
                </pt>
              </numCache>
            </numRef>
          </val>
        </ser>
        <ser>
          <idx val="2"/>
          <order val="2"/>
          <tx>
            <strRef>
              <f>'指標3（工程毎負荷時間)'!$H$34</f>
              <strCache>
                <ptCount val="1"/>
                <pt idx="0">
                  <v>3月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('指標3（工程毎負荷時間)'!$H$35,'指標3（工程毎負荷時間)'!$H$37,'指標3（工程毎負荷時間)'!$H$39,'指標3（工程毎負荷時間)'!$H$41,'指標3（工程毎負荷時間)'!$H$43,'指標3（工程毎負荷時間)'!$H$45)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3"/>
          <order val="3"/>
          <tx>
            <strRef>
              <f>'指標3（工程毎負荷時間)'!$I$34</f>
              <strCache>
                <ptCount val="1"/>
                <pt idx="0">
                  <v>4月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('指標3（工程毎負荷時間)'!$I$35,'指標3（工程毎負荷時間)'!$I$37,'指標3（工程毎負荷時間)'!$I$39,'指標3（工程毎負荷時間)'!$I$41,'指標3（工程毎負荷時間)'!$I$43,'指標3（工程毎負荷時間)'!$I$45)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4"/>
          <order val="4"/>
          <tx>
            <strRef>
              <f>'指標3（工程毎負荷時間)'!$J$34</f>
              <strCache>
                <ptCount val="1"/>
                <pt idx="0">
                  <v>5月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('指標3（工程毎負荷時間)'!$J$35,'指標3（工程毎負荷時間)'!$J$37,'指標3（工程毎負荷時間)'!$J$39,'指標3（工程毎負荷時間)'!$J$41,'指標3（工程毎負荷時間)'!$J$43,'指標3（工程毎負荷時間)'!$J$45)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5"/>
          <order val="5"/>
          <tx>
            <strRef>
              <f>'指標3（工程毎負荷時間)'!$K$34</f>
              <strCache>
                <ptCount val="1"/>
                <pt idx="0">
                  <v>6月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('指標3（工程毎負荷時間)'!$K$35,'指標3（工程毎負荷時間)'!$K$37,'指標3（工程毎負荷時間)'!$K$39,'指標3（工程毎負荷時間)'!$K$41,'指標3（工程毎負荷時間)'!$K$43,'指標3（工程毎負荷時間)'!$K$45)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6"/>
          <order val="6"/>
          <tx>
            <strRef>
              <f>'指標3（工程毎負荷時間)'!$L$34</f>
              <strCache>
                <ptCount val="1"/>
                <pt idx="0">
                  <v>7月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('指標3（工程毎負荷時間)'!$L$35,'指標3（工程毎負荷時間)'!$L$37,'指標3（工程毎負荷時間)'!$L$39,'指標3（工程毎負荷時間)'!$L$41,'指標3（工程毎負荷時間)'!$L$43,'指標3（工程毎負荷時間)'!$L$45)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7"/>
          <order val="7"/>
          <tx>
            <strRef>
              <f>'指標3（工程毎負荷時間)'!$M$34</f>
              <strCache>
                <ptCount val="1"/>
                <pt idx="0">
                  <v>8月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('指標3（工程毎負荷時間)'!$M$35,'指標3（工程毎負荷時間)'!$M$37,'指標3（工程毎負荷時間)'!$M$39,'指標3（工程毎負荷時間)'!$M$41,'指標3（工程毎負荷時間)'!$M$43,'指標3（工程毎負荷時間)'!$M$45)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8"/>
          <order val="8"/>
          <tx>
            <strRef>
              <f>'指標3（工程毎負荷時間)'!$N$34</f>
              <strCache>
                <ptCount val="1"/>
                <pt idx="0">
                  <v>9月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('指標3（工程毎負荷時間)'!$N$35,'指標3（工程毎負荷時間)'!$N$37,'指標3（工程毎負荷時間)'!$N$39,'指標3（工程毎負荷時間)'!$N$41,'指標3（工程毎負荷時間)'!$N$43,'指標3（工程毎負荷時間)'!$N$45)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9"/>
          <order val="9"/>
          <tx>
            <strRef>
              <f>'指標3（工程毎負荷時間)'!$O$34</f>
              <strCache>
                <ptCount val="1"/>
                <pt idx="0">
                  <v>10月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('指標3（工程毎負荷時間)'!$O$35,'指標3（工程毎負荷時間)'!$O$37,'指標3（工程毎負荷時間)'!$O$39,'指標3（工程毎負荷時間)'!$O$41,'指標3（工程毎負荷時間)'!$O$43,'指標3（工程毎負荷時間)'!$O$45)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0"/>
          <order val="10"/>
          <tx>
            <strRef>
              <f>'指標3（工程毎負荷時間)'!$P$34</f>
              <strCache>
                <ptCount val="1"/>
                <pt idx="0">
                  <v>11月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('指標3（工程毎負荷時間)'!$P$35,'指標3（工程毎負荷時間)'!$P$37,'指標3（工程毎負荷時間)'!$P$39,'指標3（工程毎負荷時間)'!$P$41,'指標3（工程毎負荷時間)'!$P$43,'指標3（工程毎負荷時間)'!$P$45)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1"/>
          <order val="11"/>
          <tx>
            <strRef>
              <f>'指標3（工程毎負荷時間)'!$Q$34</f>
              <strCache>
                <ptCount val="1"/>
                <pt idx="0">
                  <v>12月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('指標3（工程毎負荷時間)'!$Q$35,'指標3（工程毎負荷時間)'!$Q$37,'指標3（工程毎負荷時間)'!$Q$39,'指標3（工程毎負荷時間)'!$Q$41,'指標3（工程毎負荷時間)'!$Q$43,'指標3（工程毎負荷時間)'!$Q$45)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702528"/>
        <axId val="171716608"/>
      </barChart>
      <catAx>
        <axId val="1717025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716608"/>
        <crosses val="autoZero"/>
        <auto val="1"/>
        <lblAlgn val="ctr"/>
        <lblOffset val="100"/>
        <noMultiLvlLbl val="0"/>
      </catAx>
      <valAx>
        <axId val="171716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70252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56568717145805"/>
          <y val="0.134551896164091"/>
          <w val="0.81662878216253"/>
          <h val="0.0970869853900641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【LA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535686274509805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'指標3（工程毎負荷時間)'!$C$35:$D$35</f>
              <strCache>
                <ptCount val="2"/>
                <pt idx="0">
                  <v>LA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'指標3（工程毎負荷時間)'!$F$35:$Q$35</f>
              <numCache>
                <formatCode>#,##0_);[Red]\(#,##0\)</formatCode>
                <ptCount val="12"/>
                <pt idx="0">
                  <v>370.7121212121212</v>
                </pt>
                <pt idx="1">
                  <v>576.6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752448"/>
        <axId val="171754240"/>
      </barChart>
      <lineChart>
        <grouping val="standard"/>
        <varyColors val="0"/>
        <ser>
          <idx val="1"/>
          <order val="1"/>
          <tx>
            <strRef>
              <f>'指標3（工程毎負荷時間)'!$C$36:$D$36</f>
              <strCache>
                <ptCount val="2"/>
                <pt idx="0">
                  <v>LA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'指標3（工程毎負荷時間)'!$F$36:$Q$36</f>
              <numCache>
                <formatCode>#,##0_);[Red]\(#,##0\)</formatCode>
                <ptCount val="12"/>
                <pt idx="0">
                  <v>2730</v>
                </pt>
                <pt idx="1">
                  <v>2730</v>
                </pt>
                <pt idx="2">
                  <v>2730</v>
                </pt>
                <pt idx="3">
                  <v>2730</v>
                </pt>
                <pt idx="4">
                  <v>2730</v>
                </pt>
                <pt idx="5">
                  <v>2730</v>
                </pt>
                <pt idx="6">
                  <v>2730</v>
                </pt>
                <pt idx="7">
                  <v>2730</v>
                </pt>
                <pt idx="8">
                  <v>2730</v>
                </pt>
                <pt idx="9">
                  <v>2730</v>
                </pt>
                <pt idx="10">
                  <v>2730</v>
                </pt>
                <pt idx="11">
                  <v>2730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1752448"/>
        <axId val="171754240"/>
      </lineChart>
      <catAx>
        <axId val="1717524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754240"/>
        <crosses val="autoZero"/>
        <auto val="1"/>
        <lblAlgn val="ctr"/>
        <lblOffset val="100"/>
        <noMultiLvlLbl val="0"/>
      </catAx>
      <valAx>
        <axId val="1717542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75244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【L</a:t>
            </a:r>
            <a:r>
              <a:rPr lang="en-US" altLang="ja-JP" sz="1050"/>
              <a:t>N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'指標3（工程毎負荷時間)'!$C$37:$D$37</f>
              <strCache>
                <ptCount val="2"/>
                <pt idx="0">
                  <v>LN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'指標3（工程毎負荷時間)'!$F$37:$Q$37</f>
              <numCache>
                <formatCode>#,##0_);[Red]\(#,##0\)</formatCode>
                <ptCount val="12"/>
                <pt idx="0">
                  <v>3074.068181818182</v>
                </pt>
                <pt idx="1">
                  <v>4249.066666666667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056576"/>
        <axId val="172058112"/>
      </barChart>
      <lineChart>
        <grouping val="standard"/>
        <varyColors val="0"/>
        <ser>
          <idx val="1"/>
          <order val="1"/>
          <tx>
            <strRef>
              <f>'指標3（工程毎負荷時間)'!$C$38:$D$38</f>
              <strCache>
                <ptCount val="2"/>
                <pt idx="0">
                  <v>LN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'指標3（工程毎負荷時間)'!$F$38:$Q$38</f>
              <numCache>
                <formatCode>#,##0_);[Red]\(#,##0\)</formatCode>
                <ptCount val="12"/>
                <pt idx="0">
                  <v>1820</v>
                </pt>
                <pt idx="1">
                  <v>1820</v>
                </pt>
                <pt idx="2">
                  <v>1820</v>
                </pt>
                <pt idx="3">
                  <v>1820</v>
                </pt>
                <pt idx="4">
                  <v>1820</v>
                </pt>
                <pt idx="5">
                  <v>1820</v>
                </pt>
                <pt idx="6">
                  <v>1820</v>
                </pt>
                <pt idx="7">
                  <v>1820</v>
                </pt>
                <pt idx="8">
                  <v>1820</v>
                </pt>
                <pt idx="9">
                  <v>1820</v>
                </pt>
                <pt idx="10">
                  <v>1820</v>
                </pt>
                <pt idx="11">
                  <v>1820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056576"/>
        <axId val="172058112"/>
      </lineChart>
      <catAx>
        <axId val="1720565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058112"/>
        <crosses val="autoZero"/>
        <auto val="1"/>
        <lblAlgn val="ctr"/>
        <lblOffset val="100"/>
        <noMultiLvlLbl val="0"/>
      </catAx>
      <valAx>
        <axId val="1720581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05657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【MA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'指標3（工程毎負荷時間)'!$C$39:$D$39</f>
              <strCache>
                <ptCount val="2"/>
                <pt idx="0">
                  <v>MA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'指標3（工程毎負荷時間)'!$F$39:$Q$39</f>
              <numCache>
                <formatCode>#,##0_);[Red]\(#,##0\)</formatCode>
                <ptCount val="12"/>
                <pt idx="0">
                  <v>359.8409090909091</v>
                </pt>
                <pt idx="1">
                  <v>582.1166666666667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778816"/>
        <axId val="171780352"/>
      </barChart>
      <lineChart>
        <grouping val="standard"/>
        <varyColors val="0"/>
        <ser>
          <idx val="1"/>
          <order val="1"/>
          <tx>
            <strRef>
              <f>'指標3（工程毎負荷時間)'!$C$40:$D$40</f>
              <strCache>
                <ptCount val="2"/>
                <pt idx="0">
                  <v>MA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'指標3（工程毎負荷時間)'!$F$40:$Q$40</f>
              <numCache>
                <formatCode>#,##0_);[Red]\(#,##0\)</formatCode>
                <ptCount val="12"/>
                <pt idx="0">
                  <v>3640</v>
                </pt>
                <pt idx="1">
                  <v>3640</v>
                </pt>
                <pt idx="2">
                  <v>3640</v>
                </pt>
                <pt idx="3">
                  <v>3640</v>
                </pt>
                <pt idx="4">
                  <v>3640</v>
                </pt>
                <pt idx="5">
                  <v>3640</v>
                </pt>
                <pt idx="6">
                  <v>3640</v>
                </pt>
                <pt idx="7">
                  <v>3640</v>
                </pt>
                <pt idx="8">
                  <v>3640</v>
                </pt>
                <pt idx="9">
                  <v>3640</v>
                </pt>
                <pt idx="10">
                  <v>3640</v>
                </pt>
                <pt idx="11">
                  <v>3640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1778816"/>
        <axId val="171780352"/>
      </lineChart>
      <catAx>
        <axId val="171778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780352"/>
        <crosses val="autoZero"/>
        <auto val="1"/>
        <lblAlgn val="ctr"/>
        <lblOffset val="100"/>
        <noMultiLvlLbl val="0"/>
      </catAx>
      <valAx>
        <axId val="1717803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77881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【BJ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'指標3（工程毎負荷時間)'!$C$41:$D$41</f>
              <strCache>
                <ptCount val="2"/>
                <pt idx="0">
                  <v>BJ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'指標3（工程毎負荷時間)'!$F$41:$Q$41</f>
              <numCache>
                <formatCode>#,##0_);[Red]\(#,##0\)</formatCode>
                <ptCount val="12"/>
                <pt idx="0">
                  <v>874.5363636363636</v>
                </pt>
                <pt idx="1">
                  <v>1300.133333333333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910656"/>
        <axId val="171912192"/>
      </barChart>
      <lineChart>
        <grouping val="standard"/>
        <varyColors val="0"/>
        <ser>
          <idx val="1"/>
          <order val="1"/>
          <tx>
            <strRef>
              <f>'指標3（工程毎負荷時間)'!$C$42:$D$42</f>
              <strCache>
                <ptCount val="2"/>
                <pt idx="0">
                  <v>BJ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'指標3（工程毎負荷時間)'!$F$42:$Q$42</f>
              <numCache>
                <formatCode>#,##0_);[Red]\(#,##0\)</formatCode>
                <ptCount val="12"/>
                <pt idx="0">
                  <v>4550</v>
                </pt>
                <pt idx="1">
                  <v>4550</v>
                </pt>
                <pt idx="2">
                  <v>4550</v>
                </pt>
                <pt idx="3">
                  <v>4550</v>
                </pt>
                <pt idx="4">
                  <v>4550</v>
                </pt>
                <pt idx="5">
                  <v>4550</v>
                </pt>
                <pt idx="6">
                  <v>4550</v>
                </pt>
                <pt idx="7">
                  <v>4550</v>
                </pt>
                <pt idx="8">
                  <v>4550</v>
                </pt>
                <pt idx="9">
                  <v>4550</v>
                </pt>
                <pt idx="10">
                  <v>4550</v>
                </pt>
                <pt idx="11">
                  <v>4550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1910656"/>
        <axId val="171912192"/>
      </lineChart>
      <catAx>
        <axId val="1719106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912192"/>
        <crosses val="autoZero"/>
        <auto val="1"/>
        <lblAlgn val="ctr"/>
        <lblOffset val="100"/>
        <noMultiLvlLbl val="0"/>
      </catAx>
      <valAx>
        <axId val="1719121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91065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【DA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'指標3（工程毎負荷時間)'!$C$43:$D$43</f>
              <strCache>
                <ptCount val="2"/>
                <pt idx="0">
                  <v>DA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'指標3（工程毎負荷時間)'!$F$43:$Q$43</f>
              <numCache>
                <formatCode>#,##0_);[Red]\(#,##0\)</formatCode>
                <ptCount val="12"/>
                <pt idx="0">
                  <v>171.7727272727273</v>
                </pt>
                <pt idx="1">
                  <v>276.4666666666666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944192"/>
        <axId val="171950080"/>
      </barChart>
      <lineChart>
        <grouping val="standard"/>
        <varyColors val="0"/>
        <ser>
          <idx val="1"/>
          <order val="1"/>
          <tx>
            <strRef>
              <f>'指標3（工程毎負荷時間)'!$C$44:$D$44</f>
              <strCache>
                <ptCount val="2"/>
                <pt idx="0">
                  <v>DA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'指標3（工程毎負荷時間)'!$F$44:$Q$44</f>
              <numCache>
                <formatCode>#,##0_);[Red]\(#,##0\)</formatCode>
                <ptCount val="12"/>
                <pt idx="0">
                  <v>1820</v>
                </pt>
                <pt idx="1">
                  <v>1820</v>
                </pt>
                <pt idx="2">
                  <v>1820</v>
                </pt>
                <pt idx="3">
                  <v>1820</v>
                </pt>
                <pt idx="4">
                  <v>1820</v>
                </pt>
                <pt idx="5">
                  <v>1820</v>
                </pt>
                <pt idx="6">
                  <v>1820</v>
                </pt>
                <pt idx="7">
                  <v>1820</v>
                </pt>
                <pt idx="8">
                  <v>1820</v>
                </pt>
                <pt idx="9">
                  <v>1820</v>
                </pt>
                <pt idx="10">
                  <v>1820</v>
                </pt>
                <pt idx="11">
                  <v>1820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1944192"/>
        <axId val="171950080"/>
      </lineChart>
      <catAx>
        <axId val="1719441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950080"/>
        <crosses val="autoZero"/>
        <auto val="1"/>
        <lblAlgn val="ctr"/>
        <lblOffset val="100"/>
        <noMultiLvlLbl val="0"/>
      </catAx>
      <valAx>
        <axId val="17195008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944192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【MC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'指標3（工程毎負荷時間)'!$C$45:$D$45</f>
              <strCache>
                <ptCount val="2"/>
                <pt idx="0">
                  <v>MC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'指標3（工程毎負荷時間)'!$F$45:$Q$45</f>
              <numCache>
                <formatCode>#,##0_);[Red]\(#,##0\)</formatCode>
                <ptCount val="12"/>
                <pt idx="0">
                  <v>2290.818181818182</v>
                </pt>
                <pt idx="1">
                  <v>3344.733333333333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977728"/>
        <axId val="171983616"/>
      </barChart>
      <lineChart>
        <grouping val="standard"/>
        <varyColors val="0"/>
        <ser>
          <idx val="1"/>
          <order val="1"/>
          <tx>
            <strRef>
              <f>'指標3（工程毎負荷時間)'!$C$46:$D$46</f>
              <strCache>
                <ptCount val="2"/>
                <pt idx="0">
                  <v>MC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'指標3（工程毎負荷時間)'!$F$46:$Q$46</f>
              <numCache>
                <formatCode>#,##0_);[Red]\(#,##0\)</formatCode>
                <ptCount val="12"/>
                <pt idx="0">
                  <v>2730</v>
                </pt>
                <pt idx="1">
                  <v>2730</v>
                </pt>
                <pt idx="2">
                  <v>2730</v>
                </pt>
                <pt idx="3">
                  <v>2730</v>
                </pt>
                <pt idx="4">
                  <v>2730</v>
                </pt>
                <pt idx="5">
                  <v>2730</v>
                </pt>
                <pt idx="6">
                  <v>2730</v>
                </pt>
                <pt idx="7">
                  <v>2730</v>
                </pt>
                <pt idx="8">
                  <v>2730</v>
                </pt>
                <pt idx="9">
                  <v>2730</v>
                </pt>
                <pt idx="10">
                  <v>2730</v>
                </pt>
                <pt idx="11">
                  <v>2730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1977728"/>
        <axId val="171983616"/>
      </lineChart>
      <catAx>
        <axId val="1719777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983616"/>
        <crosses val="autoZero"/>
        <auto val="1"/>
        <lblAlgn val="ctr"/>
        <lblOffset val="100"/>
        <noMultiLvlLbl val="0"/>
      </catAx>
      <valAx>
        <axId val="1719836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197772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【GS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'指標3（工程毎負荷時間)'!$C$47:$D$47</f>
              <strCache>
                <ptCount val="2"/>
                <pt idx="0">
                  <v>GS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'指標3（工程毎負荷時間)'!$F$47:$Q$47</f>
              <numCache>
                <formatCode>#,##0_);[Red]\(#,##0\)</formatCode>
                <ptCount val="12"/>
                <pt idx="0">
                  <v>1317.428571428572</v>
                </pt>
                <pt idx="1">
                  <v>1926.447619047619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183552"/>
        <axId val="172185088"/>
      </barChart>
      <lineChart>
        <grouping val="standard"/>
        <varyColors val="0"/>
        <ser>
          <idx val="1"/>
          <order val="1"/>
          <tx>
            <strRef>
              <f>'指標3（工程毎負荷時間)'!$C$48:$D$48</f>
              <strCache>
                <ptCount val="2"/>
                <pt idx="0">
                  <v>GS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'指標3（工程毎負荷時間)'!$F$48:$Q$48</f>
              <numCache>
                <formatCode>#,##0_);[Red]\(#,##0\)</formatCode>
                <ptCount val="12"/>
                <pt idx="0">
                  <v>6370</v>
                </pt>
                <pt idx="1">
                  <v>6370</v>
                </pt>
                <pt idx="2">
                  <v>6370</v>
                </pt>
                <pt idx="3">
                  <v>6370</v>
                </pt>
                <pt idx="4">
                  <v>6370</v>
                </pt>
                <pt idx="5">
                  <v>6370</v>
                </pt>
                <pt idx="6">
                  <v>6370</v>
                </pt>
                <pt idx="7">
                  <v>6370</v>
                </pt>
                <pt idx="8">
                  <v>6370</v>
                </pt>
                <pt idx="9">
                  <v>6370</v>
                </pt>
                <pt idx="10">
                  <v>6370</v>
                </pt>
                <pt idx="11">
                  <v>6370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183552"/>
        <axId val="172185088"/>
      </lineChart>
      <catAx>
        <axId val="17218355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185088"/>
        <crosses val="autoZero"/>
        <auto val="1"/>
        <lblAlgn val="ctr"/>
        <lblOffset val="100"/>
        <noMultiLvlLbl val="0"/>
      </catAx>
      <valAx>
        <axId val="1721850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183552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【GR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'指標3（工程毎負荷時間)'!$C$49:$D$49</f>
              <strCache>
                <ptCount val="2"/>
                <pt idx="0">
                  <v>GR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'指標3（工程毎負荷時間)'!$F$49:$Q$49</f>
              <numCache>
                <formatCode>#,##0_);[Red]\(#,##0\)</formatCode>
                <ptCount val="12"/>
                <pt idx="0">
                  <v>1785.022727272727</v>
                </pt>
                <pt idx="1">
                  <v>2249.733333333333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569728"/>
        <axId val="172571264"/>
      </barChart>
      <lineChart>
        <grouping val="standard"/>
        <varyColors val="0"/>
        <ser>
          <idx val="1"/>
          <order val="1"/>
          <tx>
            <strRef>
              <f>'指標3（工程毎負荷時間)'!$C$50:$D$50</f>
              <strCache>
                <ptCount val="2"/>
                <pt idx="0">
                  <v>GR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'指標3（工程毎負荷時間)'!$F$50:$Q$50</f>
              <numCache>
                <formatCode>#,##0_);[Red]\(#,##0\)</formatCode>
                <ptCount val="12"/>
                <pt idx="0">
                  <v>1820</v>
                </pt>
                <pt idx="1">
                  <v>1820</v>
                </pt>
                <pt idx="2">
                  <v>1820</v>
                </pt>
                <pt idx="3">
                  <v>1820</v>
                </pt>
                <pt idx="4">
                  <v>1820</v>
                </pt>
                <pt idx="5">
                  <v>1820</v>
                </pt>
                <pt idx="6">
                  <v>1820</v>
                </pt>
                <pt idx="7">
                  <v>1820</v>
                </pt>
                <pt idx="8">
                  <v>1820</v>
                </pt>
                <pt idx="9">
                  <v>1820</v>
                </pt>
                <pt idx="10">
                  <v>1820</v>
                </pt>
                <pt idx="11">
                  <v>1820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569728"/>
        <axId val="172571264"/>
      </lineChart>
      <catAx>
        <axId val="1725697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571264"/>
        <crosses val="autoZero"/>
        <auto val="1"/>
        <lblAlgn val="ctr"/>
        <lblOffset val="100"/>
        <noMultiLvlLbl val="0"/>
      </catAx>
      <valAx>
        <axId val="1725712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56972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【GX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'指標3（工程毎負荷時間)'!$C$51:$D$51</f>
              <strCache>
                <ptCount val="2"/>
                <pt idx="0">
                  <v>GX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'指標3（工程毎負荷時間)'!$F$51:$Q$51</f>
              <numCache>
                <formatCode>#,##0_);[Red]\(#,##0\)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611456"/>
        <axId val="172612992"/>
      </barChart>
      <lineChart>
        <grouping val="standard"/>
        <varyColors val="0"/>
        <ser>
          <idx val="1"/>
          <order val="1"/>
          <tx>
            <strRef>
              <f>'指標3（工程毎負荷時間)'!$C$52:$D$52</f>
              <strCache>
                <ptCount val="2"/>
                <pt idx="0">
                  <v>GX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'指標3（工程毎負荷時間)'!$F$52:$Q$52</f>
              <numCache>
                <formatCode>#,##0_);[Red]\(#,##0\)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611456"/>
        <axId val="172612992"/>
      </lineChart>
      <catAx>
        <axId val="1726114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612992"/>
        <crosses val="autoZero"/>
        <auto val="1"/>
        <lblAlgn val="ctr"/>
        <lblOffset val="100"/>
        <noMultiLvlLbl val="0"/>
      </catAx>
      <valAx>
        <axId val="1726129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61145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【GC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'指標3（工程毎負荷時間)'!$C$53:$D$53</f>
              <strCache>
                <ptCount val="2"/>
                <pt idx="0">
                  <v>GC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'指標3（工程毎負荷時間)'!$F$53:$Q$53</f>
              <numCache>
                <formatCode>#,##0_);[Red]\(#,##0\)</formatCode>
                <ptCount val="12"/>
                <pt idx="0">
                  <v>1503.295454545455</v>
                </pt>
                <pt idx="1">
                  <v>2171.933333333333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337792"/>
        <axId val="172347776"/>
      </barChart>
      <lineChart>
        <grouping val="standard"/>
        <varyColors val="0"/>
        <ser>
          <idx val="1"/>
          <order val="1"/>
          <tx>
            <strRef>
              <f>'指標3（工程毎負荷時間)'!$C$54:$D$54</f>
              <strCache>
                <ptCount val="2"/>
                <pt idx="0">
                  <v>GC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'指標3（工程毎負荷時間)'!$F$54:$Q$54</f>
              <numCache>
                <formatCode>#,##0_);[Red]\(#,##0\)</formatCode>
                <ptCount val="12"/>
                <pt idx="0">
                  <v>1820</v>
                </pt>
                <pt idx="1">
                  <v>1820</v>
                </pt>
                <pt idx="2">
                  <v>1820</v>
                </pt>
                <pt idx="3">
                  <v>1820</v>
                </pt>
                <pt idx="4">
                  <v>1820</v>
                </pt>
                <pt idx="5">
                  <v>1820</v>
                </pt>
                <pt idx="6">
                  <v>1820</v>
                </pt>
                <pt idx="7">
                  <v>1820</v>
                </pt>
                <pt idx="8">
                  <v>1820</v>
                </pt>
                <pt idx="9">
                  <v>1820</v>
                </pt>
                <pt idx="10">
                  <v>1820</v>
                </pt>
                <pt idx="11">
                  <v>1820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337792"/>
        <axId val="172347776"/>
      </lineChart>
      <catAx>
        <axId val="1723377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347776"/>
        <crosses val="autoZero"/>
        <auto val="1"/>
        <lblAlgn val="ctr"/>
        <lblOffset val="100"/>
        <noMultiLvlLbl val="0"/>
      </catAx>
      <valAx>
        <axId val="1723477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337792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【GJ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'指標3（工程毎負荷時間)'!$C$55:$D$55</f>
              <strCache>
                <ptCount val="2"/>
                <pt idx="0">
                  <v>GJ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'指標3（工程毎負荷時間)'!$F$55:$Q$55</f>
              <numCache>
                <formatCode>#,##0_);[Red]\(#,##0\)</formatCode>
                <ptCount val="12"/>
                <pt idx="0">
                  <v>1096.636363636364</v>
                </pt>
                <pt idx="1">
                  <v>1421.5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457984"/>
        <axId val="172459520"/>
      </barChart>
      <lineChart>
        <grouping val="standard"/>
        <varyColors val="0"/>
        <ser>
          <idx val="1"/>
          <order val="1"/>
          <tx>
            <strRef>
              <f>'指標3（工程毎負荷時間)'!$C$56:$D$56</f>
              <strCache>
                <ptCount val="2"/>
                <pt idx="0">
                  <v>GJ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'指標3（工程毎負荷時間)'!$F$56:$Q$56</f>
              <numCache>
                <formatCode>#,##0_);[Red]\(#,##0\)</formatCode>
                <ptCount val="12"/>
                <pt idx="0">
                  <v>1820</v>
                </pt>
                <pt idx="1">
                  <v>1820</v>
                </pt>
                <pt idx="2">
                  <v>1820</v>
                </pt>
                <pt idx="3">
                  <v>1820</v>
                </pt>
                <pt idx="4">
                  <v>1820</v>
                </pt>
                <pt idx="5">
                  <v>1820</v>
                </pt>
                <pt idx="6">
                  <v>1820</v>
                </pt>
                <pt idx="7">
                  <v>1820</v>
                </pt>
                <pt idx="8">
                  <v>1820</v>
                </pt>
                <pt idx="9">
                  <v>1820</v>
                </pt>
                <pt idx="10">
                  <v>1820</v>
                </pt>
                <pt idx="11">
                  <v>1820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457984"/>
        <axId val="172459520"/>
      </lineChart>
      <catAx>
        <axId val="1724579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459520"/>
        <crosses val="autoZero"/>
        <auto val="1"/>
        <lblAlgn val="ctr"/>
        <lblOffset val="100"/>
        <noMultiLvlLbl val="0"/>
      </catAx>
      <valAx>
        <axId val="1724595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45798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【GP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'指標3（工程毎負荷時間)'!$C$57:$D$57</f>
              <strCache>
                <ptCount val="2"/>
                <pt idx="0">
                  <v>GP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'指標3（工程毎負荷時間)'!$F$57:$Q$57</f>
              <numCache>
                <formatCode>#,##0_);[Red]\(#,##0\)</formatCode>
                <ptCount val="12"/>
                <pt idx="0">
                  <v>2053.204545454545</v>
                </pt>
                <pt idx="1">
                  <v>2792.766666666667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515712"/>
        <axId val="172517248"/>
      </barChart>
      <lineChart>
        <grouping val="standard"/>
        <varyColors val="0"/>
        <ser>
          <idx val="1"/>
          <order val="1"/>
          <tx>
            <strRef>
              <f>'指標3（工程毎負荷時間)'!$C$58:$D$58</f>
              <strCache>
                <ptCount val="2"/>
                <pt idx="0">
                  <v>GP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'指標3（工程毎負荷時間)'!$F$58:$Q$58</f>
              <numCache>
                <formatCode>#,##0_);[Red]\(#,##0\)</formatCode>
                <ptCount val="12"/>
                <pt idx="0">
                  <v>1820</v>
                </pt>
                <pt idx="1">
                  <v>1820</v>
                </pt>
                <pt idx="2">
                  <v>1820</v>
                </pt>
                <pt idx="3">
                  <v>1820</v>
                </pt>
                <pt idx="4">
                  <v>1820</v>
                </pt>
                <pt idx="5">
                  <v>1820</v>
                </pt>
                <pt idx="6">
                  <v>1820</v>
                </pt>
                <pt idx="7">
                  <v>1820</v>
                </pt>
                <pt idx="8">
                  <v>1820</v>
                </pt>
                <pt idx="9">
                  <v>1820</v>
                </pt>
                <pt idx="10">
                  <v>1820</v>
                </pt>
                <pt idx="11">
                  <v>1820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515712"/>
        <axId val="172517248"/>
      </lineChart>
      <catAx>
        <axId val="1725157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517248"/>
        <crosses val="autoZero"/>
        <auto val="1"/>
        <lblAlgn val="ctr"/>
        <lblOffset val="100"/>
        <noMultiLvlLbl val="0"/>
      </catAx>
      <valAx>
        <axId val="1725172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515712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【EN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'指標3（工程毎負荷時間)'!$C$59:$D$59</f>
              <strCache>
                <ptCount val="2"/>
                <pt idx="0">
                  <v>EN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'指標3（工程毎負荷時間)'!$F$59:$Q$59</f>
              <numCache>
                <formatCode>#,##0_);[Red]\(#,##0\)</formatCode>
                <ptCount val="12"/>
                <pt idx="0">
                  <v>1660.25</v>
                </pt>
                <pt idx="1">
                  <v>2364.966666666667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549248"/>
        <axId val="172550784"/>
      </barChart>
      <lineChart>
        <grouping val="standard"/>
        <varyColors val="0"/>
        <ser>
          <idx val="1"/>
          <order val="1"/>
          <tx>
            <strRef>
              <f>'指標3（工程毎負荷時間)'!$C$60:$D$60</f>
              <strCache>
                <ptCount val="2"/>
                <pt idx="0">
                  <v>EN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'指標3（工程毎負荷時間)'!$F$60:$Q$60</f>
              <numCache>
                <formatCode>#,##0_);[Red]\(#,##0\)</formatCode>
                <ptCount val="12"/>
                <pt idx="0">
                  <v>3640</v>
                </pt>
                <pt idx="1">
                  <v>3640</v>
                </pt>
                <pt idx="2">
                  <v>3640</v>
                </pt>
                <pt idx="3">
                  <v>3640</v>
                </pt>
                <pt idx="4">
                  <v>3640</v>
                </pt>
                <pt idx="5">
                  <v>3640</v>
                </pt>
                <pt idx="6">
                  <v>3640</v>
                </pt>
                <pt idx="7">
                  <v>3640</v>
                </pt>
                <pt idx="8">
                  <v>3640</v>
                </pt>
                <pt idx="9">
                  <v>3640</v>
                </pt>
                <pt idx="10">
                  <v>3640</v>
                </pt>
                <pt idx="11">
                  <v>3640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549248"/>
        <axId val="172550784"/>
      </lineChart>
      <catAx>
        <axId val="1725492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550784"/>
        <crosses val="autoZero"/>
        <auto val="1"/>
        <lblAlgn val="ctr"/>
        <lblOffset val="100"/>
        <noMultiLvlLbl val="0"/>
      </catAx>
      <valAx>
        <axId val="1725507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54924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【ES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'指標3（工程毎負荷時間)'!$C$61:$D$61</f>
              <strCache>
                <ptCount val="2"/>
                <pt idx="0">
                  <v>ES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'指標3（工程毎負荷時間)'!$F$61:$Q$61</f>
              <numCache>
                <formatCode>#,##0_);[Red]\(#,##0\)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668800"/>
        <axId val="172670336"/>
      </barChart>
      <lineChart>
        <grouping val="standard"/>
        <varyColors val="0"/>
        <ser>
          <idx val="1"/>
          <order val="1"/>
          <tx>
            <strRef>
              <f>'指標3（工程毎負荷時間)'!$C$62:$D$62</f>
              <strCache>
                <ptCount val="2"/>
                <pt idx="0">
                  <v>ES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'指標3（工程毎負荷時間)'!$F$62:$Q$62</f>
              <numCache>
                <formatCode>#,##0_);[Red]\(#,##0\)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668800"/>
        <axId val="172670336"/>
      </lineChart>
      <catAx>
        <axId val="1726688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670336"/>
        <crosses val="autoZero"/>
        <auto val="1"/>
        <lblAlgn val="ctr"/>
        <lblOffset val="100"/>
        <noMultiLvlLbl val="0"/>
      </catAx>
      <valAx>
        <axId val="1726703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668800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【EW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'指標3（工程毎負荷時間)'!$C$63:$D$63</f>
              <strCache>
                <ptCount val="2"/>
                <pt idx="0">
                  <v>EW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'指標3（工程毎負荷時間)'!$F$63:$Q$63</f>
              <numCache>
                <formatCode>#,##0_);[Red]\(#,##0\)</formatCode>
                <ptCount val="12"/>
                <pt idx="0">
                  <v>3053.318181818182</v>
                </pt>
                <pt idx="1">
                  <v>4604.4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727296"/>
        <axId val="172737280"/>
      </barChart>
      <lineChart>
        <grouping val="standard"/>
        <varyColors val="0"/>
        <ser>
          <idx val="1"/>
          <order val="1"/>
          <tx>
            <strRef>
              <f>'指標3（工程毎負荷時間)'!$C$64:$D$64</f>
              <strCache>
                <ptCount val="2"/>
                <pt idx="0">
                  <v>EW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'指標3（工程毎負荷時間)'!$F$64:$Q$64</f>
              <numCache>
                <formatCode>#,##0_);[Red]\(#,##0\)</formatCode>
                <ptCount val="12"/>
                <pt idx="0">
                  <v>3640</v>
                </pt>
                <pt idx="1">
                  <v>3640</v>
                </pt>
                <pt idx="2">
                  <v>3640</v>
                </pt>
                <pt idx="3">
                  <v>3640</v>
                </pt>
                <pt idx="4">
                  <v>3640</v>
                </pt>
                <pt idx="5">
                  <v>3640</v>
                </pt>
                <pt idx="6">
                  <v>3640</v>
                </pt>
                <pt idx="7">
                  <v>3640</v>
                </pt>
                <pt idx="8">
                  <v>3640</v>
                </pt>
                <pt idx="9">
                  <v>3640</v>
                </pt>
                <pt idx="10">
                  <v>3640</v>
                </pt>
                <pt idx="11">
                  <v>3640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727296"/>
        <axId val="172737280"/>
      </lineChart>
      <catAx>
        <axId val="17272729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737280"/>
        <crosses val="autoZero"/>
        <auto val="1"/>
        <lblAlgn val="ctr"/>
        <lblOffset val="100"/>
        <noMultiLvlLbl val="0"/>
      </catAx>
      <valAx>
        <axId val="17273728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72729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altLang="ja-JP" sz="1100" b="0" i="0" strike="noStrike" baseline="0">
                <effectLst/>
              </a:rPr>
              <a:t>【</a:t>
            </a:r>
            <a:r>
              <a:rPr lang="ja-JP" altLang="en-US" sz="1100" b="0" i="0" strike="noStrike" baseline="0">
                <effectLst/>
              </a:rPr>
              <a:t>研削</a:t>
            </a:r>
            <a:r>
              <a:rPr lang="ja-JP" altLang="ja-JP" sz="1100" b="0" i="0" strike="noStrike" baseline="0">
                <effectLst/>
              </a:rPr>
              <a:t>工程　負荷</a:t>
            </a:r>
            <a:r>
              <a:rPr lang="ja-JP" altLang="en-US" sz="1100" b="0" i="0" strike="noStrike" baseline="0">
                <effectLst/>
              </a:rPr>
              <a:t>日数</a:t>
            </a:r>
            <a:r>
              <a:rPr lang="ja-JP" altLang="ja-JP" sz="1100" b="0" i="0" strike="noStrike" baseline="0">
                <effectLst/>
              </a:rPr>
              <a:t>＆目標値</a:t>
            </a:r>
            <a:r>
              <a:rPr lang="en-US" altLang="ja-JP" sz="1100" b="0" i="0" strike="noStrike" baseline="0">
                <effectLst/>
              </a:rPr>
              <a:t>】</a:t>
            </a:r>
            <a:endParaRPr lang="ja-JP" sz="1100"/>
          </a:p>
        </rich>
      </tx>
      <layout>
        <manualLayout>
          <xMode val="edge"/>
          <yMode val="edge"/>
          <wMode val="factor"/>
          <hMode val="factor"/>
          <x val="0.324144131395313"/>
          <y val="0.006674521930797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562020400079263"/>
          <y val="0.12815088842138"/>
          <w val="0.916416750244358"/>
          <h val="0.767347590890485"/>
        </manualLayout>
      </layout>
      <barChart>
        <barDir val="col"/>
        <grouping val="clustered"/>
        <varyColors val="0"/>
        <ser>
          <idx val="1"/>
          <order val="0"/>
          <tx>
            <strRef>
              <f>'指標3（工程毎負荷時間)'!$F$162</f>
              <strCache>
                <ptCount val="1"/>
                <pt idx="0">
                  <v>1月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'指標3（工程毎負荷時間)'!$F$169:$F$174</f>
              <numCache>
                <formatCode>#,##0_);[Red]\(#,##0\)</formatCode>
                <ptCount val="6"/>
                <pt idx="0">
                  <v>26.59030144167759</v>
                </pt>
                <pt idx="1">
                  <v>36.02798165137614</v>
                </pt>
                <pt idx="2">
                  <v>0</v>
                </pt>
                <pt idx="3">
                  <v>30.34174311926606</v>
                </pt>
                <pt idx="4">
                  <v>22.13394495412844</v>
                </pt>
                <pt idx="5">
                  <v>41.4408256880734</v>
                </pt>
              </numCache>
            </numRef>
          </val>
        </ser>
        <ser>
          <idx val="2"/>
          <order val="1"/>
          <tx>
            <strRef>
              <f>'指標3（工程毎負荷時間)'!$G$162</f>
              <strCache>
                <ptCount val="1"/>
                <pt idx="0">
                  <v>2月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'指標3（工程毎負荷時間)'!$G$169:$G$174</f>
              <numCache>
                <formatCode>#,##0_);[Red]\(#,##0\)</formatCode>
                <ptCount val="6"/>
                <pt idx="0">
                  <v>26.51074705111402</v>
                </pt>
                <pt idx="1">
                  <v>30.95963302752294</v>
                </pt>
                <pt idx="2">
                  <v>0</v>
                </pt>
                <pt idx="3">
                  <v>29.88899082568807</v>
                </pt>
                <pt idx="4">
                  <v>19.56192660550459</v>
                </pt>
                <pt idx="5">
                  <v>38.43256880733945</v>
                </pt>
              </numCache>
            </numRef>
          </val>
        </ser>
        <ser>
          <idx val="3"/>
          <order val="2"/>
          <tx>
            <strRef>
              <f>'指標3（工程毎負荷時間)'!$H$162</f>
              <strCache>
                <ptCount val="1"/>
                <pt idx="0">
                  <v>3月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'指標3（工程毎負荷時間)'!$H$169:$H$174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4"/>
          <order val="3"/>
          <tx>
            <strRef>
              <f>'指標3（工程毎負荷時間)'!$I$162</f>
              <strCache>
                <ptCount val="1"/>
                <pt idx="0">
                  <v>4月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'指標3（工程毎負荷時間)'!$I$169:$I$174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5"/>
          <order val="4"/>
          <tx>
            <strRef>
              <f>'指標3（工程毎負荷時間)'!$J$162</f>
              <strCache>
                <ptCount val="1"/>
                <pt idx="0">
                  <v>5月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'指標3（工程毎負荷時間)'!$J$169:$J$174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6"/>
          <order val="5"/>
          <tx>
            <strRef>
              <f>'指標3（工程毎負荷時間)'!$K$162</f>
              <strCache>
                <ptCount val="1"/>
                <pt idx="0">
                  <v>6月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'指標3（工程毎負荷時間)'!$K$169:$K$174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7"/>
          <order val="6"/>
          <tx>
            <strRef>
              <f>'指標3（工程毎負荷時間)'!$L$162</f>
              <strCache>
                <ptCount val="1"/>
                <pt idx="0">
                  <v>7月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'指標3（工程毎負荷時間)'!$L$169:$L$174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8"/>
          <order val="7"/>
          <tx>
            <strRef>
              <f>'指標3（工程毎負荷時間)'!$M$162</f>
              <strCache>
                <ptCount val="1"/>
                <pt idx="0">
                  <v>8月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'指標3（工程毎負荷時間)'!$M$169:$M$174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9"/>
          <order val="8"/>
          <tx>
            <strRef>
              <f>'指標3（工程毎負荷時間)'!$N$162</f>
              <strCache>
                <ptCount val="1"/>
                <pt idx="0">
                  <v>9月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'指標3（工程毎負荷時間)'!$N$169:$N$174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0"/>
          <order val="9"/>
          <tx>
            <strRef>
              <f>'指標3（工程毎負荷時間)'!$O$162</f>
              <strCache>
                <ptCount val="1"/>
                <pt idx="0">
                  <v>10月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'指標3（工程毎負荷時間)'!$O$169:$O$174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1"/>
          <order val="10"/>
          <tx>
            <strRef>
              <f>'指標3（工程毎負荷時間)'!$P$162</f>
              <strCache>
                <ptCount val="1"/>
                <pt idx="0">
                  <v>11月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'指標3（工程毎負荷時間)'!$P$169:$P$174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2"/>
          <order val="11"/>
          <tx>
            <strRef>
              <f>'指標3（工程毎負荷時間)'!$Q$162</f>
              <strCache>
                <ptCount val="1"/>
                <pt idx="0">
                  <v>12月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'指標3（工程毎負荷時間)'!$Q$169:$Q$174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893312"/>
        <axId val="172894848"/>
      </barChart>
      <lineChart>
        <grouping val="standard"/>
        <varyColors val="0"/>
        <ser>
          <idx val="13"/>
          <order val="12"/>
          <tx>
            <strRef>
              <f>'指標3（工程毎負荷時間)'!$R$162</f>
              <strCache>
                <ptCount val="1"/>
                <pt idx="0">
                  <v>目標値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'指標3（工程毎負荷時間)'!$R$169:$R$174</f>
              <numCache>
                <formatCode>#,##0_);[Red]\(#,##0\)</formatCode>
                <ptCount val="6"/>
                <pt idx="0">
                  <v>30</v>
                </pt>
                <pt idx="1">
                  <v>30</v>
                </pt>
                <pt idx="2">
                  <v>30</v>
                </pt>
                <pt idx="3">
                  <v>30</v>
                </pt>
                <pt idx="4">
                  <v>30</v>
                </pt>
                <pt idx="5">
                  <v>30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893312"/>
        <axId val="172894848"/>
      </lineChart>
      <catAx>
        <axId val="1728933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894848"/>
        <crosses val="autoZero"/>
        <auto val="1"/>
        <lblAlgn val="ctr"/>
        <lblOffset val="100"/>
        <noMultiLvlLbl val="0"/>
      </catAx>
      <valAx>
        <axId val="172894848"/>
        <scaling>
          <orientation val="minMax"/>
          <max val="8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1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2893312"/>
        <crosses val="autoZero"/>
        <crossBetween val="between"/>
        <majorUnit val="20"/>
      </valAx>
    </plotArea>
    <legend>
      <legendPos val="b"/>
      <layout>
        <manualLayout>
          <xMode val="edge"/>
          <yMode val="edge"/>
          <wMode val="factor"/>
          <hMode val="factor"/>
          <x val="0.673285976661364"/>
          <y val="0.0060969424892407"/>
          <w val="0.324875665402268"/>
          <h val="0.31583854375519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altLang="ja-JP" sz="1100" b="0" i="0" strike="noStrike" baseline="0">
                <effectLst/>
              </a:rPr>
              <a:t>【</a:t>
            </a:r>
            <a:r>
              <a:rPr lang="ja-JP" altLang="en-US" sz="1100" b="0" i="0" strike="noStrike" baseline="0">
                <effectLst/>
              </a:rPr>
              <a:t>放電</a:t>
            </a:r>
            <a:r>
              <a:rPr lang="ja-JP" altLang="ja-JP" sz="1100" b="0" i="0" strike="noStrike" baseline="0">
                <effectLst/>
              </a:rPr>
              <a:t>工程　負荷</a:t>
            </a:r>
            <a:r>
              <a:rPr lang="ja-JP" altLang="en-US" sz="1100" b="0" i="0" strike="noStrike" baseline="0">
                <effectLst/>
              </a:rPr>
              <a:t>日数</a:t>
            </a:r>
            <a:r>
              <a:rPr lang="ja-JP" altLang="ja-JP" sz="1100" b="0" i="0" strike="noStrike" baseline="0">
                <effectLst/>
              </a:rPr>
              <a:t>＆目標値</a:t>
            </a:r>
            <a:r>
              <a:rPr lang="en-US" altLang="ja-JP" sz="1100" b="0" i="0" strike="noStrike" baseline="0">
                <effectLst/>
              </a:rPr>
              <a:t>】</a:t>
            </a:r>
            <a:endParaRPr lang="ja-JP" sz="1100"/>
          </a:p>
        </rich>
      </tx>
      <layout>
        <manualLayout>
          <xMode val="edge"/>
          <yMode val="edge"/>
          <wMode val="factor"/>
          <hMode val="factor"/>
          <x val="0.324144131395313"/>
          <y val="0.006674521930797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562020400079263"/>
          <y val="0.12815088842138"/>
          <w val="0.916416750244358"/>
          <h val="0.767347590890485"/>
        </manualLayout>
      </layout>
      <barChart>
        <barDir val="col"/>
        <grouping val="clustered"/>
        <varyColors val="0"/>
        <ser>
          <idx val="1"/>
          <order val="0"/>
          <tx>
            <strRef>
              <f>'指標3（工程毎負荷時間)'!$F$162</f>
              <strCache>
                <ptCount val="1"/>
                <pt idx="0">
                  <v>1月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'指標3（工程毎負荷時間)'!$F$175:$F$177</f>
              <numCache>
                <formatCode>#,##0_);[Red]\(#,##0\)</formatCode>
                <ptCount val="3"/>
                <pt idx="0">
                  <v>33.50963302752294</v>
                </pt>
                <pt idx="1">
                  <v>0</v>
                </pt>
                <pt idx="2">
                  <v>61.62660550458715</v>
                </pt>
              </numCache>
            </numRef>
          </val>
        </ser>
        <ser>
          <idx val="2"/>
          <order val="1"/>
          <tx>
            <strRef>
              <f>'指標3（工程毎負荷時間)'!$G$162</f>
              <strCache>
                <ptCount val="1"/>
                <pt idx="0">
                  <v>2月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'指標3（工程毎負荷時間)'!$G$175:$G$177</f>
              <numCache>
                <formatCode>#,##0_);[Red]\(#,##0\)</formatCode>
                <ptCount val="3"/>
                <pt idx="0">
                  <v>32.5454128440367</v>
                </pt>
                <pt idx="1">
                  <v>0</v>
                </pt>
                <pt idx="2">
                  <v>63.36330275229358</v>
                </pt>
              </numCache>
            </numRef>
          </val>
        </ser>
        <ser>
          <idx val="3"/>
          <order val="2"/>
          <tx>
            <strRef>
              <f>'指標3（工程毎負荷時間)'!$H$162</f>
              <strCache>
                <ptCount val="1"/>
                <pt idx="0">
                  <v>3月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'指標3（工程毎負荷時間)'!$H$175:$H$177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4"/>
          <order val="3"/>
          <tx>
            <strRef>
              <f>'指標3（工程毎負荷時間)'!$I$162</f>
              <strCache>
                <ptCount val="1"/>
                <pt idx="0">
                  <v>4月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'指標3（工程毎負荷時間)'!$I$175:$I$177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5"/>
          <order val="4"/>
          <tx>
            <strRef>
              <f>'指標3（工程毎負荷時間)'!$J$162</f>
              <strCache>
                <ptCount val="1"/>
                <pt idx="0">
                  <v>5月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'指標3（工程毎負荷時間)'!$J$175:$J$177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6"/>
          <order val="5"/>
          <tx>
            <strRef>
              <f>'指標3（工程毎負荷時間)'!$K$162</f>
              <strCache>
                <ptCount val="1"/>
                <pt idx="0">
                  <v>6月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'指標3（工程毎負荷時間)'!$K$175:$K$177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7"/>
          <order val="6"/>
          <tx>
            <strRef>
              <f>'指標3（工程毎負荷時間)'!$L$162</f>
              <strCache>
                <ptCount val="1"/>
                <pt idx="0">
                  <v>7月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'指標3（工程毎負荷時間)'!$L$175:$L$177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8"/>
          <order val="7"/>
          <tx>
            <strRef>
              <f>'指標3（工程毎負荷時間)'!$M$162</f>
              <strCache>
                <ptCount val="1"/>
                <pt idx="0">
                  <v>8月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'指標3（工程毎負荷時間)'!$M$175:$M$177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9"/>
          <order val="8"/>
          <tx>
            <strRef>
              <f>'指標3（工程毎負荷時間)'!$N$162</f>
              <strCache>
                <ptCount val="1"/>
                <pt idx="0">
                  <v>9月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'指標3（工程毎負荷時間)'!$N$175:$N$177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10"/>
          <order val="9"/>
          <tx>
            <strRef>
              <f>'指標3（工程毎負荷時間)'!$O$162</f>
              <strCache>
                <ptCount val="1"/>
                <pt idx="0">
                  <v>10月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'指標3（工程毎負荷時間)'!$O$175:$O$177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11"/>
          <order val="10"/>
          <tx>
            <strRef>
              <f>'指標3（工程毎負荷時間)'!$P$162</f>
              <strCache>
                <ptCount val="1"/>
                <pt idx="0">
                  <v>11月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'指標3（工程毎負荷時間)'!$P$175:$P$177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12"/>
          <order val="11"/>
          <tx>
            <strRef>
              <f>'指標3（工程毎負荷時間)'!$Q$162</f>
              <strCache>
                <ptCount val="1"/>
                <pt idx="0">
                  <v>12月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'指標3（工程毎負荷時間)'!$Q$175:$Q$177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3321216"/>
        <axId val="173331200"/>
      </barChart>
      <lineChart>
        <grouping val="standard"/>
        <varyColors val="0"/>
        <ser>
          <idx val="13"/>
          <order val="12"/>
          <tx>
            <strRef>
              <f>'指標3（工程毎負荷時間)'!$R$162</f>
              <strCache>
                <ptCount val="1"/>
                <pt idx="0">
                  <v>目標値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'指標3（工程毎負荷時間)'!$R$175:$R$177</f>
              <numCache>
                <formatCode>#,##0_);[Red]\(#,##0\)</formatCode>
                <ptCount val="3"/>
                <pt idx="0">
                  <v>30</v>
                </pt>
                <pt idx="1">
                  <v>30</v>
                </pt>
                <pt idx="2">
                  <v>30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3321216"/>
        <axId val="173331200"/>
      </lineChart>
      <catAx>
        <axId val="1733212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3331200"/>
        <crosses val="autoZero"/>
        <auto val="1"/>
        <lblAlgn val="ctr"/>
        <lblOffset val="100"/>
        <noMultiLvlLbl val="0"/>
      </catAx>
      <valAx>
        <axId val="173331200"/>
        <scaling>
          <orientation val="minMax"/>
          <max val="8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1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>None</a:t>
            </a:r>
            <a:endParaRPr lang="en-US"/>
          </a:p>
        </txPr>
        <crossAx val="173321216"/>
        <crosses val="autoZero"/>
        <crossBetween val="between"/>
        <majorUnit val="20"/>
      </valAx>
    </plotArea>
    <legend>
      <legendPos val="b"/>
      <layout>
        <manualLayout>
          <xMode val="edge"/>
          <yMode val="edge"/>
          <wMode val="factor"/>
          <hMode val="factor"/>
          <x val="0.651334918188233"/>
          <y val="0.0060969424892407"/>
          <w val="0.346826723875392"/>
          <h val="0.31583854375519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人員推移</a:t>
            </a:r>
            <a:r>
              <a:rPr lang="en-US" altLang="ja-JP"/>
              <a:t>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1194675758966625"/>
          <y val="0.0387465491354676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225451261792462"/>
          <y val="0.2103453286191699"/>
          <w val="0.9063435131140578"/>
          <h val="0.6678288088982844"/>
        </manualLayout>
      </layout>
      <barChart>
        <barDir val="col"/>
        <grouping val="clustered"/>
        <varyColors val="0"/>
        <ser>
          <idx val="1"/>
          <order val="0"/>
          <tx>
            <strRef>
              <f>'指標４（生産性) '!$C$10</f>
              <strCache>
                <ptCount val="1"/>
                <pt idx="0">
                  <v>加工者人数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invertIfNegative val="0"/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'!$I$10:$T$10</f>
              <numCache>
                <formatCode>General</formatCode>
                <ptCount val="12"/>
                <pt idx="0">
                  <v>72</v>
                </pt>
                <pt idx="1">
                  <v>72</v>
                </pt>
              </numCache>
            </numRef>
          </val>
        </ser>
        <ser>
          <idx val="2"/>
          <order val="1"/>
          <tx>
            <strRef>
              <f>'指標４（生産性) '!$C$11</f>
              <strCache>
                <ptCount val="1"/>
                <pt idx="0">
                  <v>その他の人数</v>
                </pt>
              </strCache>
            </strRef>
          </tx>
          <spPr>
            <a:solidFill xmlns:a="http://schemas.openxmlformats.org/drawingml/2006/main">
              <a:schemeClr val="accent4">
                <a:lumMod val="20000"/>
                <a:lumOff val="80000"/>
              </a:schemeClr>
            </a:solidFill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invertIfNegative val="0"/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'!$I$11:$T$11</f>
              <numCache>
                <formatCode>General</formatCode>
                <ptCount val="12"/>
                <pt idx="0">
                  <v>17</v>
                </pt>
                <pt idx="1">
                  <v>17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2650240"/>
        <axId val="102651776"/>
      </barChart>
      <lineChart>
        <grouping val="standard"/>
        <varyColors val="0"/>
        <ser>
          <idx val="3"/>
          <order val="3"/>
          <tx>
            <strRef>
              <f>'指標４（生産性) '!$C$9</f>
              <strCache>
                <ptCount val="1"/>
                <pt idx="0">
                  <v>総人数 （合計）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'!$I$9:$T$9</f>
              <numCache>
                <formatCode>General</formatCode>
                <ptCount val="12"/>
                <pt idx="0">
                  <v>89</v>
                </pt>
                <pt idx="1">
                  <v>89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2650240"/>
        <axId val="102651776"/>
      </lineChart>
      <catAx>
        <axId val="1026502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2651776"/>
        <crosses val="autoZero"/>
        <auto val="1"/>
        <lblAlgn val="ctr"/>
        <lblOffset val="100"/>
        <noMultiLvlLbl val="0"/>
      </catAx>
      <valAx>
        <axId val="1026517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2650240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5972491768580217"/>
          <y val="0.04647107032384253"/>
          <w val="0.4027507800673484"/>
          <h val="0.0897896595715264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内外作比較</a:t>
            </a:r>
            <a:r>
              <a:rPr lang="en-US" altLang="ja-JP"/>
              <a:t>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1194675758966625"/>
          <y val="0.0387465491354676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921935891042142"/>
          <y val="0.2103453286191699"/>
          <w val="0.8460452902468427"/>
          <h val="0.6678288088982844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'指標４（生産性) '!$A$67</f>
              <strCache>
                <ptCount val="1"/>
                <pt idx="0">
                  <v>内作完了図面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invertIfNegative val="0"/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'!$I$30:$T$30</f>
              <numCache>
                <formatCode>#,##0_);[Red]\(#,##0\)</formatCode>
                <ptCount val="12"/>
                <pt idx="0">
                  <v>2412</v>
                </pt>
                <pt idx="1">
                  <v>1563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'指標４（生産性) '!$A$68</f>
              <strCache>
                <ptCount val="1"/>
                <pt idx="0">
                  <v>外作完了図面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'!$I$42:$T$42</f>
              <numCache>
                <formatCode>#,##0_);[Red]\(#,##0\)</formatCode>
                <ptCount val="12"/>
                <pt idx="0">
                  <v>2076</v>
                </pt>
                <pt idx="1">
                  <v>1771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4918016"/>
        <axId val="111944448"/>
      </barChart>
      <lineChart>
        <grouping val="standard"/>
        <varyColors val="0"/>
        <ser>
          <idx val="2"/>
          <order val="2"/>
          <tx>
            <strRef>
              <f>'指標４（生産性) '!$A$69</f>
              <strCache>
                <ptCount val="1"/>
                <pt idx="0">
                  <v>内作完了金額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'!$I$38:$T$38</f>
              <numCache>
                <formatCode>#,##0_);[Red]\(#,##0\)</formatCode>
                <ptCount val="12"/>
                <pt idx="0">
                  <v>148863</v>
                </pt>
                <pt idx="1">
                  <v>103593.8453962264</v>
                </pt>
              </numCache>
            </numRef>
          </val>
          <smooth val="0"/>
        </ser>
        <ser>
          <idx val="3"/>
          <order val="3"/>
          <tx>
            <strRef>
              <f>'指標４（生産性) '!$A$70</f>
              <strCache>
                <ptCount val="1"/>
                <pt idx="0">
                  <v>外作完了金額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'指標４（生産性) '!$I$44:$T$44</f>
              <numCache>
                <formatCode>#,##0_);[Red]\(#,##0\)</formatCode>
                <ptCount val="12"/>
                <pt idx="0">
                  <v>159134</v>
                </pt>
                <pt idx="1">
                  <v>120846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1960064"/>
        <axId val="111945984"/>
      </lineChart>
      <catAx>
        <axId val="1049180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1944448"/>
        <crosses val="autoZero"/>
        <auto val="1"/>
        <lblAlgn val="ctr"/>
        <lblOffset val="100"/>
        <noMultiLvlLbl val="0"/>
      </catAx>
      <valAx>
        <axId val="1119444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4918016"/>
        <crosses val="autoZero"/>
        <crossBetween val="between"/>
      </valAx>
      <catAx>
        <axId val="111960064"/>
        <scaling>
          <orientation val="minMax"/>
        </scaling>
        <delete val="1"/>
        <axPos val="b"/>
        <numFmt formatCode="General" sourceLinked="1"/>
        <majorTickMark val="out"/>
        <minorTickMark val="none"/>
        <crossAx val="111945984"/>
        <crosses val="autoZero"/>
        <auto val="1"/>
        <lblAlgn val="ctr"/>
        <lblOffset val="100"/>
        <noMultiLvlLbl val="0"/>
      </catAx>
      <valAx>
        <axId val="111945984"/>
        <scaling>
          <orientation val="minMax"/>
        </scaling>
        <delete val="0"/>
        <axPos val="r"/>
        <numFmt formatCode="#,##0_);[Red]\(#,##0\)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1960064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5703451715265487"/>
          <y val="0.003904317205348487"/>
          <w val="0.4296548284734513"/>
          <h val="0.169602131684294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【M.H</a:t>
            </a:r>
            <a:r>
              <a:rPr lang="ja-JP" altLang="en-US"/>
              <a:t>比較</a:t>
            </a:r>
            <a:r>
              <a:rPr lang="en-US" altLang="ja-JP"/>
              <a:t>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1194675758966625"/>
          <y val="0.0387465491354676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577779445059889"/>
          <y val="0.2103453286191699"/>
          <w val="0.8561569049752186"/>
          <h val="0.6678288088982844"/>
        </manualLayout>
      </layout>
      <barChart>
        <barDir val="col"/>
        <grouping val="clustered"/>
        <varyColors val="0"/>
        <ser>
          <idx val="1"/>
          <order val="0"/>
          <tx>
            <strRef>
              <f>'指標４（生産性) '!$C$36</f>
              <strCache>
                <ptCount val="1"/>
                <pt idx="0">
                  <v>P/M.H 値 (Ｐｃｓ)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invertIfNegative val="0"/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'!$I$36:$T$36</f>
              <numCache>
                <formatCode>#,##0.00_);[Red]\(#,##0.00\)</formatCode>
                <ptCount val="12"/>
                <pt idx="0">
                  <v>2.440698589936297</v>
                </pt>
                <pt idx="1">
                  <v>2.100631578947369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18585984"/>
        <axId val="118587776"/>
      </barChart>
      <lineChart>
        <grouping val="standard"/>
        <varyColors val="0"/>
        <ser>
          <idx val="2"/>
          <order val="2"/>
          <tx>
            <strRef>
              <f>'指標４（生産性) '!$C$34</f>
              <strCache>
                <ptCount val="1"/>
                <pt idx="0">
                  <v>P/M.H 値 (図面）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'!$I$34:$T$34</f>
              <numCache>
                <formatCode>#,##0.000;[Red]\-#,##0.000</formatCode>
                <ptCount val="12"/>
                <pt idx="0">
                  <v>0.172643332617565</v>
                </pt>
                <pt idx="1">
                  <v>0.1645263157894737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8590848"/>
        <axId val="118589312"/>
      </lineChart>
      <catAx>
        <axId val="1185859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8587776"/>
        <crosses val="autoZero"/>
        <auto val="1"/>
        <lblAlgn val="ctr"/>
        <lblOffset val="100"/>
        <noMultiLvlLbl val="0"/>
      </catAx>
      <valAx>
        <axId val="1185877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_);[Red]\(#,##0.0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8585984"/>
        <crosses val="autoZero"/>
        <crossBetween val="between"/>
      </valAx>
      <catAx>
        <axId val="118590848"/>
        <scaling>
          <orientation val="minMax"/>
        </scaling>
        <delete val="1"/>
        <axPos val="b"/>
        <numFmt formatCode="General" sourceLinked="1"/>
        <majorTickMark val="out"/>
        <minorTickMark val="none"/>
        <crossAx val="118589312"/>
        <crosses val="autoZero"/>
        <auto val="1"/>
        <lblAlgn val="ctr"/>
        <lblOffset val="100"/>
        <noMultiLvlLbl val="0"/>
      </catAx>
      <valAx>
        <axId val="118589312"/>
        <scaling>
          <orientation val="minMax"/>
        </scaling>
        <delete val="0"/>
        <axPos val="r"/>
        <numFmt formatCode="#,##0.000;[Red]\-#,##0.000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8590848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5972491768580217"/>
          <y val="0.04647107032384253"/>
          <w val="0.4027508231419788"/>
          <h val="0.169602131684294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総労働時間当たり加工工数</a:t>
            </a:r>
            <a:r>
              <a:rPr lang="en-US" altLang="ja-JP"/>
              <a:t>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1237153837905561"/>
          <y val="0.0474639390335461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6171055555555555"/>
          <y val="0.2553523148148148"/>
          <w val="0.9124190740740741"/>
          <h val="0.6136597222222222"/>
        </manualLayout>
      </layout>
      <lineChart>
        <grouping val="standard"/>
        <varyColors val="0"/>
        <ser>
          <idx val="0"/>
          <order val="0"/>
          <tx>
            <strRef>
              <f>'指標４（生産性) '!$H$22</f>
              <strCache>
                <ptCount val="1"/>
                <pt idx="0">
                  <v>実績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'!$I$22:$T$22</f>
              <numCache>
                <formatCode>#,##0.00_);[Red]\(#,##0.00\)</formatCode>
                <ptCount val="12"/>
                <pt idx="0">
                  <v>1.181375706821273</v>
                </pt>
                <pt idx="1">
                  <v>1.086156140350877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'指標４（生産性) '!$H$23</f>
              <strCache>
                <ptCount val="1"/>
                <pt idx="0">
                  <v>目標値【1.1】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'!$I$23:$T$23</f>
              <numCache>
                <formatCode>#,##0.0;[Red]\-#,##0.0</formatCode>
                <ptCount val="12"/>
                <pt idx="0">
                  <v>1.1</v>
                </pt>
                <pt idx="1">
                  <v>1.1</v>
                </pt>
                <pt idx="2">
                  <v>1.1</v>
                </pt>
                <pt idx="3">
                  <v>1.1</v>
                </pt>
                <pt idx="4">
                  <v>1.1</v>
                </pt>
                <pt idx="5">
                  <v>1.1</v>
                </pt>
                <pt idx="6">
                  <v>1.1</v>
                </pt>
                <pt idx="7">
                  <v>1.1</v>
                </pt>
                <pt idx="8">
                  <v>1.1</v>
                </pt>
                <pt idx="9">
                  <v>1.1</v>
                </pt>
                <pt idx="10">
                  <v>1.1</v>
                </pt>
                <pt idx="11">
                  <v>1.1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58043536"/>
        <axId val="658037304"/>
      </lineChart>
      <catAx>
        <axId val="6580435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58037304"/>
        <crosses val="autoZero"/>
        <auto val="1"/>
        <lblAlgn val="ctr"/>
        <lblOffset val="100"/>
        <noMultiLvlLbl val="0"/>
      </catAx>
      <valAx>
        <axId val="6580373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;[Red]\-#,##0.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5804353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020582077170091"/>
          <y val="0.0882962148442951"/>
          <w val="0.328953281167992"/>
          <h val="0.088995508574238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無人稼働率</a:t>
            </a:r>
            <a:r>
              <a:rPr lang="en-US" altLang="ja-JP"/>
              <a:t>(%)】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600" b="1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253623860714381"/>
          <y val="0.2396992563429571"/>
          <w val="0.9066308369932435"/>
          <h val="0.6571606153397492"/>
        </manualLayout>
      </layout>
      <lineChart>
        <grouping val="standard"/>
        <varyColors val="0"/>
        <ser>
          <idx val="0"/>
          <order val="0"/>
          <tx>
            <strRef>
              <f>'指標４（生産性) '!$C$20</f>
              <strCache>
                <ptCount val="1"/>
                <pt idx="0">
                  <v>無人稼働率(%)</v>
                </pt>
              </strCache>
            </strRef>
          </tx>
          <spPr>
            <a:ln xmlns:a="http://schemas.openxmlformats.org/drawingml/2006/main" w="3175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'!$I$20:$T$20</f>
              <numCache>
                <formatCode>#,##0_);[Red]\(#,##0\)</formatCode>
                <ptCount val="12"/>
                <pt idx="0">
                  <v>15.68615571039079</v>
                </pt>
                <pt idx="1">
                  <v>20.37589503625372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21819624"/>
        <axId val="521821592"/>
      </lineChart>
      <catAx>
        <axId val="521819624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1821592"/>
        <crosses val="autoZero"/>
        <auto val="1"/>
        <lblAlgn val="ctr"/>
        <lblOffset val="100"/>
        <noMultiLvlLbl val="0"/>
      </catAx>
      <valAx>
        <axId val="5218215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_);[Red]\(#,##0.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1819624"/>
        <crosses val="autoZero"/>
        <crossBetween val="between"/>
      </valAx>
    </plotArea>
    <plotVisOnly val="1"/>
    <dispBlanksAs val="gap"/>
  </chart>
  <spPr>
    <a:gradFill xmlns:a="http://schemas.openxmlformats.org/drawingml/2006/main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xmlns:a="http://schemas.openxmlformats.org/drawingml/2006/main" w="9525" cap="flat" cmpd="sng" algn="ctr">
      <a:solidFill>
        <a:schemeClr val="tx1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20839 Son</author>
  </authors>
  <commentList>
    <comment ref="Y104" authorId="0" shapeId="0">
      <text>
        <t>20839 Son:
TRƯỚC ĐÂY =0</t>
      </text>
    </comment>
  </commentList>
</comments>
</file>

<file path=xl/comments/comment2.xml><?xml version="1.0" encoding="utf-8"?>
<comments xmlns="http://schemas.openxmlformats.org/spreadsheetml/2006/main">
  <authors>
    <author>10064 Trung</author>
  </authors>
  <commentList>
    <comment ref="A3" authorId="0" shapeId="0">
      <text>
        <t>10064 Trung:
số pcs nhận</t>
      </text>
    </comment>
    <comment ref="A8" authorId="0" shapeId="0">
      <text>
        <t>10064 Trung:
số pcs tồn</t>
      </text>
    </comment>
    <comment ref="A13" authorId="0" shapeId="0">
      <text>
        <t>10064 Trung:
số pcs hoàn thành</t>
      </text>
    </comment>
    <comment ref="A18" authorId="0" shapeId="0">
      <text>
        <t>10064 Trung:
bản vẽ nhận</t>
      </text>
    </comment>
    <comment ref="A23" authorId="0" shapeId="0">
      <text>
        <t>10064 Trung:
bản vẽ tồn</t>
      </text>
    </comment>
    <comment ref="A28" authorId="0" shapeId="0">
      <text>
        <t>10064 Trung:
bản vẽ hoàn thành</t>
      </text>
    </comment>
    <comment ref="A33" authorId="0" shapeId="0">
      <text>
        <t>10064 Trung:
bản vẽ GCN hoàn thành</t>
      </text>
    </comment>
  </commentList>
</comments>
</file>

<file path=xl/comments/comment3.xml><?xml version="1.0" encoding="utf-8"?>
<comments xmlns="http://schemas.openxmlformats.org/spreadsheetml/2006/main">
  <authors>
    <author>10012 Ban</author>
    <author>hachisu takashi</author>
  </authors>
  <commentList>
    <comment ref="C4" authorId="0" shapeId="0">
      <text>
        <t>10012 Ban:
GỞI KÈM BÁO CÁO PP CÔNG ĐOẠN( NN ĐỐI SÁCH)</t>
      </text>
    </comment>
    <comment ref="A9" authorId="1" shapeId="0">
      <text>
        <t>【自動計算】
※ALL　赤枠内</t>
      </text>
    </comment>
    <comment ref="A57" authorId="1" shapeId="0">
      <text>
        <t>【その他】
　・指示ミス
　・加工以外の不良</t>
      </text>
    </comment>
  </commentList>
</comments>
</file>

<file path=xl/comments/comment4.xml><?xml version="1.0" encoding="utf-8"?>
<comments xmlns="http://schemas.openxmlformats.org/spreadsheetml/2006/main">
  <authors>
    <author>ckh10</author>
    <author>hachisu takashi</author>
  </authors>
  <commentList>
    <comment ref="A9" authorId="0" shapeId="0">
      <text>
        <t>-図面総数
-不良件数</t>
      </text>
    </comment>
    <comment ref="B9" authorId="1" shapeId="0">
      <text>
        <t>【自動計算】
※ALL　赤枠内</t>
      </text>
    </comment>
  </commentList>
</comments>
</file>

<file path=xl/comments/comment5.xml><?xml version="1.0" encoding="utf-8"?>
<comments xmlns="http://schemas.openxmlformats.org/spreadsheetml/2006/main">
  <authors>
    <author>hachisu takashi</author>
  </authors>
  <commentList>
    <comment ref="D11" authorId="0" shapeId="0">
      <text>
        <t>hachisu takashi:
Số người phụ trách</t>
      </text>
    </comment>
    <comment ref="E11" authorId="0" shapeId="0">
      <text>
        <t>hachisu takashi:
Số lượng máy</t>
      </text>
    </comment>
    <comment ref="G159" authorId="0" shapeId="0">
      <text>
        <t>【標準稼働時間】で計算
※２交代制は右側</t>
      </text>
    </comment>
    <comment ref="R162" authorId="0" shapeId="0">
      <text>
        <t>【目標値】
※工程負荷（仕掛かり）
　は１カ月（30日）</t>
      </text>
    </comment>
  </commentList>
</comments>
</file>

<file path=xl/comments/comment6.xml><?xml version="1.0" encoding="utf-8"?>
<comments xmlns="http://schemas.openxmlformats.org/spreadsheetml/2006/main">
  <authors>
    <author>tc={55EC6334-0936-40EA-ACF2-F1DEC9C9576F}</author>
    <author>tc={96681300-5381-46A1-AD39-71EED9881804}</author>
    <author>tc={ABEC657A-A034-49F8-BE74-162196C6D020}</author>
    <author>tc={50208CE0-1549-42E7-B8AB-FD46FD13F445}</author>
    <author>hachisu takashi</author>
    <author>tc={A7C3A92F-8FE8-4310-97C1-E679EF19946A}</author>
    <author>tc={681EA4D2-B121-476C-8737-07245765DE66}</author>
    <author>tc={9CB1FC9C-9A89-49B8-A754-F31416A24CED}</author>
    <author>tc={53115084-6159-47C7-9B24-D2CD00366656}</author>
    <author>tc={0F7E9CE4-9090-45C0-AEF4-DE56F77A24A1}</author>
    <author>tc={7FC1001F-3880-4B18-BFC4-39579B89F351}</author>
    <author>tc={10D6956E-1610-4734-9FC6-EEF6AC14FF22}</author>
    <author>tc={CFFEFCC8-5662-4C52-AEFB-78FEF921BBCE}</author>
    <author>tc={08C93037-1582-43A1-85BE-F60968B5A54B}</author>
    <author>tc={2770FBA8-5E61-41D0-813A-59B3B3089349}</author>
    <author>tc={38726055-96F4-4585-BA1A-55EAD3C8AD88}</author>
    <author>tc={889E5F6D-27C2-44A5-8515-F6C3212D28CF}</author>
    <author>tc={BC33D54A-0A59-4865-AD87-6EF7E8B79F76}</author>
    <author>tc={2ED81D89-14F2-42CD-A951-58F8827720FF}</author>
    <author>tc={2D69196F-C959-4719-9E4A-6EAE03620B81}</author>
    <author>tc={EE11E89E-C586-45A2-8420-7AB9AE080373}</author>
    <author>tc={231BEF50-012E-403A-946F-05113A80FBD7}</author>
    <author>tc={62A747F3-06CC-4625-BDA7-10529DB6666C}</author>
    <author>tc={A99A6B1B-326C-46BB-AD79-95BE572D1BA0}</author>
    <author>tc={C68B0367-0ECB-44D7-89A4-CBBBB32A1ABB}</author>
    <author>tc={E21BFD90-98B5-482C-82F3-2BE74AD9FF97}</author>
    <author>tc={D5DBFD49-DA38-4E4F-99C4-A0956AE5F781}</author>
    <author>tc={9C90DE26-92E1-4046-8602-24B1C87A07B5}</author>
    <author>tc={882099D8-002B-4ECD-9BF7-2BEC87139635}</author>
    <author>tc={A98E8E49-5764-43F6-8FF5-ED10048D008E}</author>
    <author>tc={5C48C7A1-88ED-4B54-A775-264EC68E76F7}</author>
    <author>tc={99A53BF0-A919-42D1-9410-6D11836FF208}</author>
    <author>tc={5083DCF2-58CE-4E2B-A52F-9511336EDA30}</author>
    <author>tc={6DCC4FE8-CA38-40A6-85FA-B845A9626FED}</author>
    <author>tc={D4062742-207F-496E-8D84-52B54D6CFC7F}</author>
    <author>tc={6381A70D-1344-42C0-A715-78E9082321D2}</author>
    <author>tc={D91B8F99-97EE-47DD-85E8-5BFDC9AA04DD}</author>
    <author>tc={D0AEF842-6ABE-419B-A479-6DEE0CCBB18F}</author>
    <author>tc={C35136F4-53A4-4860-A278-2A780DD938DA}</author>
    <author>tc={119F5C3E-125B-4225-9A15-7343D144BC99}</author>
  </authors>
  <commentList>
    <comment ref="C9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Tổng số  người</t>
      </text>
    </comment>
    <comment ref="C10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NV gia công</t>
      </text>
    </comment>
    <comment ref="C1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NV khác</t>
      </text>
    </comment>
    <comment ref="C12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ngày làm việc</t>
      </text>
    </comment>
    <comment ref="C13" authorId="4" shapeId="0">
      <text>
        <t>標準稼働時間
※残業含む</t>
      </text>
    </comment>
    <comment ref="H13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tong TGLV cua NVTT</t>
      </text>
    </comment>
    <comment ref="H14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luy ke</t>
      </text>
    </comment>
    <comment ref="C15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thoi gian LV trung binh 1 nguoi/ ngay</t>
      </text>
    </comment>
    <comment ref="B16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Tong TGTD</t>
      </text>
    </comment>
    <comment ref="H16" authorId="4" shapeId="0">
      <text>
        <t>標準時間</t>
      </text>
    </comment>
    <comment ref="B17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tong TGGC</t>
      </text>
    </comment>
    <comment ref="B18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TGLV có nguoi</t>
      </text>
    </comment>
    <comment ref="B19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TGLV ko nguoi</t>
      </text>
    </comment>
    <comment ref="B20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Tỉ lệ hoạt động ko nguoi</t>
      </text>
    </comment>
    <comment ref="B21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hieu suat gia cong</t>
      </text>
    </comment>
    <comment ref="C21" authorId="4" shapeId="0">
      <text>
        <t>標準時間対実績時間比</t>
      </text>
    </comment>
    <comment ref="B22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công GC tương ứng với TGLV</t>
      </text>
    </comment>
    <comment ref="B23" authorId="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mục tiêu sô công gia công tương ứng với TGLV</t>
      </text>
    </comment>
    <comment ref="C24" authorId="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kiện PP</t>
      </text>
    </comment>
    <comment ref="C25" authorId="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sô công PP</t>
      </text>
    </comment>
    <comment ref="C26" authorId="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TTGGC</t>
      </text>
    </comment>
    <comment ref="C27" authorId="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tỉ lệ số công PP</t>
      </text>
    </comment>
    <comment ref="C28" authorId="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TGGC 1 nguoi</t>
      </text>
    </comment>
    <comment ref="C29" authorId="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pcs hoan thanh 1 nguoi</t>
      </text>
    </comment>
    <comment ref="C30" authorId="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tông bv hoan thanh</t>
      </text>
    </comment>
    <comment ref="C32" authorId="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tong pcs hoan thanh</t>
      </text>
    </comment>
    <comment ref="E34" authorId="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chi số bv/ M.H ( đơn tháng)</t>
      </text>
    </comment>
    <comment ref="E35" authorId="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chi số bv / M.H ( lũy kế)</t>
      </text>
    </comment>
    <comment ref="E36" authorId="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chi sô pcs /M.H ( đơn tháng)</t>
      </text>
    </comment>
    <comment ref="E37" authorId="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chỉ sô pcs/ M.H ( lũy kế)</t>
      </text>
    </comment>
    <comment ref="E38" authorId="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sô tiền GCHT ( đơn tháng)</t>
      </text>
    </comment>
    <comment ref="E39" authorId="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tiền GC HT ( lũy kế)</t>
      </text>
    </comment>
    <comment ref="E40" authorId="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tiền GC / M.H ( đơn tháng)</t>
      </text>
    </comment>
    <comment ref="E41" authorId="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tiền GC / M.H ( lũy kế)</t>
      </text>
    </comment>
    <comment ref="C42" authorId="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bv HT</t>
      </text>
    </comment>
    <comment ref="E42" authorId="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đơn tháng</t>
      </text>
    </comment>
    <comment ref="C43" authorId="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pcs HT</t>
      </text>
    </comment>
    <comment ref="C44" authorId="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kim ngạch gia công</t>
      </text>
    </comment>
    <comment ref="C45" authorId="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bv HT ( lũy kế)</t>
      </text>
    </comment>
    <comment ref="E45" authorId="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lũy kế</t>
      </text>
    </comment>
    <comment ref="C46" authorId="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pcs HTlũy kế</t>
      </text>
    </comment>
    <comment ref="C47" authorId="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kim ngạch gia công ( lũy kế)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3.xml" Id="rId1"/><Relationship Type="http://schemas.openxmlformats.org/officeDocument/2006/relationships/chart" Target="/xl/charts/chart34.xml" Id="rId2"/><Relationship Type="http://schemas.openxmlformats.org/officeDocument/2006/relationships/chart" Target="/xl/charts/chart35.xml" Id="rId3"/><Relationship Type="http://schemas.openxmlformats.org/officeDocument/2006/relationships/chart" Target="/xl/charts/chart36.xml" Id="rId4"/><Relationship Type="http://schemas.openxmlformats.org/officeDocument/2006/relationships/chart" Target="/xl/charts/chart37.xml" Id="rId5"/><Relationship Type="http://schemas.openxmlformats.org/officeDocument/2006/relationships/chart" Target="/xl/charts/chart38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9.xml" Id="rId1"/><Relationship Type="http://schemas.openxmlformats.org/officeDocument/2006/relationships/chart" Target="/xl/charts/chart40.xml" Id="rId2"/><Relationship Type="http://schemas.openxmlformats.org/officeDocument/2006/relationships/chart" Target="/xl/charts/chart41.xml" Id="rId3"/><Relationship Type="http://schemas.openxmlformats.org/officeDocument/2006/relationships/chart" Target="/xl/charts/chart42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Relationship Type="http://schemas.openxmlformats.org/officeDocument/2006/relationships/chart" Target="/xl/charts/chart46.xml" Id="rId4"/></Relationships>
</file>

<file path=xl/drawings/_rels/drawing5.xml.rels><Relationships xmlns="http://schemas.openxmlformats.org/package/2006/relationships"><Relationship Type="http://schemas.openxmlformats.org/officeDocument/2006/relationships/chart" Target="/xl/charts/chart47.xml" Id="rId1"/><Relationship Type="http://schemas.openxmlformats.org/officeDocument/2006/relationships/chart" Target="/xl/charts/chart48.xml" Id="rId2"/><Relationship Type="http://schemas.openxmlformats.org/officeDocument/2006/relationships/chart" Target="/xl/charts/chart49.xml" Id="rId3"/><Relationship Type="http://schemas.openxmlformats.org/officeDocument/2006/relationships/chart" Target="/xl/charts/chart50.xml" Id="rId4"/><Relationship Type="http://schemas.openxmlformats.org/officeDocument/2006/relationships/chart" Target="/xl/charts/chart51.xml" Id="rId5"/><Relationship Type="http://schemas.openxmlformats.org/officeDocument/2006/relationships/chart" Target="/xl/charts/chart52.xml" Id="rId6"/><Relationship Type="http://schemas.openxmlformats.org/officeDocument/2006/relationships/chart" Target="/xl/charts/chart53.xml" Id="rId7"/><Relationship Type="http://schemas.openxmlformats.org/officeDocument/2006/relationships/chart" Target="/xl/charts/chart54.xml" Id="rId8"/><Relationship Type="http://schemas.openxmlformats.org/officeDocument/2006/relationships/chart" Target="/xl/charts/chart55.xml" Id="rId9"/><Relationship Type="http://schemas.openxmlformats.org/officeDocument/2006/relationships/chart" Target="/xl/charts/chart56.xml" Id="rId10"/><Relationship Type="http://schemas.openxmlformats.org/officeDocument/2006/relationships/chart" Target="/xl/charts/chart57.xml" Id="rId11"/><Relationship Type="http://schemas.openxmlformats.org/officeDocument/2006/relationships/chart" Target="/xl/charts/chart58.xml" Id="rId12"/><Relationship Type="http://schemas.openxmlformats.org/officeDocument/2006/relationships/chart" Target="/xl/charts/chart59.xml" Id="rId13"/><Relationship Type="http://schemas.openxmlformats.org/officeDocument/2006/relationships/chart" Target="/xl/charts/chart60.xml" Id="rId14"/><Relationship Type="http://schemas.openxmlformats.org/officeDocument/2006/relationships/chart" Target="/xl/charts/chart61.xml" Id="rId15"/><Relationship Type="http://schemas.openxmlformats.org/officeDocument/2006/relationships/chart" Target="/xl/charts/chart62.xml" Id="rId16"/><Relationship Type="http://schemas.openxmlformats.org/officeDocument/2006/relationships/chart" Target="/xl/charts/chart63.xml" Id="rId17"/><Relationship Type="http://schemas.openxmlformats.org/officeDocument/2006/relationships/chart" Target="/xl/charts/chart64.xml" Id="rId18"/><Relationship Type="http://schemas.openxmlformats.org/officeDocument/2006/relationships/chart" Target="/xl/charts/chart65.xml" Id="rId19"/><Relationship Type="http://schemas.openxmlformats.org/officeDocument/2006/relationships/chart" Target="/xl/charts/chart66.xml" Id="rId20"/><Relationship Type="http://schemas.openxmlformats.org/officeDocument/2006/relationships/chart" Target="/xl/charts/chart67.xml" Id="rId21"/><Relationship Type="http://schemas.openxmlformats.org/officeDocument/2006/relationships/chart" Target="/xl/charts/chart68.xml" Id="rId22"/><Relationship Type="http://schemas.openxmlformats.org/officeDocument/2006/relationships/chart" Target="/xl/charts/chart69.xml" Id="rId2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0.xml" Id="rId1"/><Relationship Type="http://schemas.openxmlformats.org/officeDocument/2006/relationships/chart" Target="/xl/charts/chart71.xml" Id="rId2"/><Relationship Type="http://schemas.openxmlformats.org/officeDocument/2006/relationships/chart" Target="/xl/charts/chart72.xml" Id="rId3"/><Relationship Type="http://schemas.openxmlformats.org/officeDocument/2006/relationships/chart" Target="/xl/charts/chart73.xml" Id="rId4"/><Relationship Type="http://schemas.openxmlformats.org/officeDocument/2006/relationships/chart" Target="/xl/charts/chart74.xml" Id="rId5"/></Relationships>
</file>

<file path=xl/drawings/drawing1.xml><?xml version="1.0" encoding="utf-8"?>
<wsDr xmlns="http://schemas.openxmlformats.org/drawingml/2006/spreadsheetDrawing">
  <twoCellAnchor>
    <from>
      <col>11</col>
      <colOff>0</colOff>
      <row>109</row>
      <rowOff>0</rowOff>
    </from>
    <to>
      <col>21</col>
      <colOff>357353</colOff>
      <row>122</row>
      <rowOff>120529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0</colOff>
      <row>124</row>
      <rowOff>0</rowOff>
    </from>
    <to>
      <col>21</col>
      <colOff>357353</colOff>
      <row>137</row>
      <rowOff>120529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11</col>
      <colOff>0</colOff>
      <row>139</row>
      <rowOff>0</rowOff>
    </from>
    <to>
      <col>21</col>
      <colOff>357353</colOff>
      <row>152</row>
      <rowOff>120530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11</col>
      <colOff>0</colOff>
      <row>154</row>
      <rowOff>0</rowOff>
    </from>
    <to>
      <col>21</col>
      <colOff>357353</colOff>
      <row>167</row>
      <rowOff>120529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11</col>
      <colOff>0</colOff>
      <row>184</row>
      <rowOff>0</rowOff>
    </from>
    <to>
      <col>21</col>
      <colOff>357353</colOff>
      <row>197</row>
      <rowOff>120530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11</col>
      <colOff>0</colOff>
      <row>199</row>
      <rowOff>0</rowOff>
    </from>
    <to>
      <col>21</col>
      <colOff>357353</colOff>
      <row>212</row>
      <rowOff>120530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11</col>
      <colOff>0</colOff>
      <row>169</row>
      <rowOff>0</rowOff>
    </from>
    <to>
      <col>21</col>
      <colOff>357353</colOff>
      <row>182</row>
      <rowOff>120529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3</col>
      <colOff>0</colOff>
      <row>184</row>
      <rowOff>0</rowOff>
    </from>
    <to>
      <col>9</col>
      <colOff>713700</colOff>
      <row>198</row>
      <rowOff>26400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3</col>
      <colOff>0</colOff>
      <row>199</row>
      <rowOff>0</rowOff>
    </from>
    <to>
      <col>9</col>
      <colOff>713700</colOff>
      <row>213</row>
      <rowOff>26400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3</col>
      <colOff>0</colOff>
      <row>213</row>
      <rowOff>152399</rowOff>
    </from>
    <to>
      <col>9</col>
      <colOff>713700</colOff>
      <row>228</row>
      <rowOff>26399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11</col>
      <colOff>0</colOff>
      <row>214</row>
      <rowOff>0</rowOff>
    </from>
    <to>
      <col>21</col>
      <colOff>357353</colOff>
      <row>227</row>
      <rowOff>120529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11</col>
      <colOff>0</colOff>
      <row>229</row>
      <rowOff>0</rowOff>
    </from>
    <to>
      <col>21</col>
      <colOff>357353</colOff>
      <row>242</row>
      <rowOff>120529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  <twoCellAnchor>
    <from>
      <col>11</col>
      <colOff>0</colOff>
      <row>244</row>
      <rowOff>0</rowOff>
    </from>
    <to>
      <col>21</col>
      <colOff>357353</colOff>
      <row>257</row>
      <rowOff>120530</rowOff>
    </to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twoCellAnchor>
  <twoCellAnchor>
    <from>
      <col>11</col>
      <colOff>0</colOff>
      <row>259</row>
      <rowOff>0</rowOff>
    </from>
    <to>
      <col>21</col>
      <colOff>357353</colOff>
      <row>272</row>
      <rowOff>120529</rowOff>
    </to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twoCellAnchor>
  <twoCellAnchor>
    <from>
      <col>11</col>
      <colOff>0</colOff>
      <row>274</row>
      <rowOff>0</rowOff>
    </from>
    <to>
      <col>21</col>
      <colOff>357353</colOff>
      <row>287</row>
      <rowOff>120529</rowOff>
    </to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twoCellAnchor>
  <twoCellAnchor>
    <from>
      <col>3</col>
      <colOff>0</colOff>
      <row>289</row>
      <rowOff>0</rowOff>
    </from>
    <to>
      <col>9</col>
      <colOff>713700</colOff>
      <row>303</row>
      <rowOff>26400</rowOff>
    </to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twoCellAnchor>
  <twoCellAnchor>
    <from>
      <col>11</col>
      <colOff>0</colOff>
      <row>289</row>
      <rowOff>0</rowOff>
    </from>
    <to>
      <col>21</col>
      <colOff>357353</colOff>
      <row>302</row>
      <rowOff>120530</rowOff>
    </to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twoCellAnchor>
  <twoCellAnchor>
    <from>
      <col>3</col>
      <colOff>0</colOff>
      <row>304</row>
      <rowOff>0</rowOff>
    </from>
    <to>
      <col>9</col>
      <colOff>713700</colOff>
      <row>318</row>
      <rowOff>26400</rowOff>
    </to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twoCellAnchor>
  <twoCellAnchor>
    <from>
      <col>11</col>
      <colOff>0</colOff>
      <row>304</row>
      <rowOff>0</rowOff>
    </from>
    <to>
      <col>21</col>
      <colOff>357353</colOff>
      <row>317</row>
      <rowOff>120530</rowOff>
    </to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twoCellAnchor>
  <twoCellAnchor>
    <from>
      <col>3</col>
      <colOff>0</colOff>
      <row>318</row>
      <rowOff>152399</rowOff>
    </from>
    <to>
      <col>9</col>
      <colOff>713700</colOff>
      <row>333</row>
      <rowOff>26399</rowOff>
    </to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twoCellAnchor>
  <twoCellAnchor>
    <from>
      <col>11</col>
      <colOff>0</colOff>
      <row>319</row>
      <rowOff>0</rowOff>
    </from>
    <to>
      <col>21</col>
      <colOff>357353</colOff>
      <row>332</row>
      <rowOff>120529</rowOff>
    </to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twoCellAnchor>
  <twoCellAnchor>
    <from>
      <col>11</col>
      <colOff>0</colOff>
      <row>334</row>
      <rowOff>0</rowOff>
    </from>
    <to>
      <col>21</col>
      <colOff>357353</colOff>
      <row>347</row>
      <rowOff>120529</rowOff>
    </to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twoCellAnchor>
  <twoCellAnchor>
    <from>
      <col>3</col>
      <colOff>0</colOff>
      <row>108</row>
      <rowOff>152399</rowOff>
    </from>
    <to>
      <col>9</col>
      <colOff>713700</colOff>
      <row>123</row>
      <rowOff>26399</rowOff>
    </to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twoCellAnchor>
  <twoCellAnchor>
    <from>
      <col>3</col>
      <colOff>0</colOff>
      <row>123</row>
      <rowOff>152399</rowOff>
    </from>
    <to>
      <col>9</col>
      <colOff>713700</colOff>
      <row>138</row>
      <rowOff>26399</rowOff>
    </to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twoCellAnchor>
  <twoCellAnchor>
    <from>
      <col>3</col>
      <colOff>0</colOff>
      <row>153</row>
      <rowOff>152399</rowOff>
    </from>
    <to>
      <col>9</col>
      <colOff>713700</colOff>
      <row>168</row>
      <rowOff>26399</rowOff>
    </to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twoCellAnchor>
  <twoCellAnchor>
    <from>
      <col>3</col>
      <colOff>0</colOff>
      <row>168</row>
      <rowOff>152399</rowOff>
    </from>
    <to>
      <col>9</col>
      <colOff>713700</colOff>
      <row>183</row>
      <rowOff>26399</rowOff>
    </to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twoCellAnchor>
  <twoCellAnchor>
    <from>
      <col>3</col>
      <colOff>0</colOff>
      <row>228</row>
      <rowOff>152399</rowOff>
    </from>
    <to>
      <col>9</col>
      <colOff>713700</colOff>
      <row>243</row>
      <rowOff>26399</rowOff>
    </to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twoCellAnchor>
  <twoCellAnchor>
    <from>
      <col>3</col>
      <colOff>0</colOff>
      <row>243</row>
      <rowOff>152399</rowOff>
    </from>
    <to>
      <col>9</col>
      <colOff>713700</colOff>
      <row>258</row>
      <rowOff>26399</rowOff>
    </to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twoCellAnchor>
  <twoCellAnchor>
    <from>
      <col>3</col>
      <colOff>0</colOff>
      <row>258</row>
      <rowOff>152399</rowOff>
    </from>
    <to>
      <col>9</col>
      <colOff>713700</colOff>
      <row>273</row>
      <rowOff>26399</rowOff>
    </to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twoCellAnchor>
  <twoCellAnchor>
    <from>
      <col>3</col>
      <colOff>0</colOff>
      <row>273</row>
      <rowOff>152399</rowOff>
    </from>
    <to>
      <col>9</col>
      <colOff>713700</colOff>
      <row>288</row>
      <rowOff>26399</rowOff>
    </to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twoCellAnchor>
  <twoCellAnchor>
    <from>
      <col>3</col>
      <colOff>0</colOff>
      <row>333</row>
      <rowOff>152399</rowOff>
    </from>
    <to>
      <col>9</col>
      <colOff>713700</colOff>
      <row>348</row>
      <rowOff>26399</rowOff>
    </to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twoCellAnchor>
  <twoCellAnchor>
    <from>
      <col>3</col>
      <colOff>0</colOff>
      <row>138</row>
      <rowOff>152399</rowOff>
    </from>
    <to>
      <col>9</col>
      <colOff>713700</colOff>
      <row>153</row>
      <rowOff>26399</rowOff>
    </to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14</col>
      <colOff>0</colOff>
      <row>2</row>
      <rowOff>0</rowOff>
    </from>
    <to>
      <col>21</col>
      <colOff>255088</colOff>
      <row>13</row>
      <rowOff>65912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14</col>
      <colOff>0</colOff>
      <row>17</row>
      <rowOff>0</rowOff>
    </from>
    <to>
      <col>21</col>
      <colOff>255088</colOff>
      <row>28</row>
      <rowOff>65912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14</col>
      <colOff>0</colOff>
      <row>32</row>
      <rowOff>0</rowOff>
    </from>
    <to>
      <col>21</col>
      <colOff>255088</colOff>
      <row>43</row>
      <rowOff>65912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14</col>
      <colOff>0</colOff>
      <row>46</row>
      <rowOff>0</rowOff>
    </from>
    <to>
      <col>21</col>
      <colOff>255088</colOff>
      <row>56</row>
      <rowOff>166765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14</col>
      <colOff>0</colOff>
      <row>61</row>
      <rowOff>0</rowOff>
    </from>
    <to>
      <col>21</col>
      <colOff>255088</colOff>
      <row>71</row>
      <rowOff>234000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14</col>
      <colOff>0</colOff>
      <row>73</row>
      <rowOff>0</rowOff>
    </from>
    <to>
      <col>21</col>
      <colOff>255088</colOff>
      <row>84</row>
      <rowOff>65912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2</col>
      <colOff>44822</colOff>
      <row>81</row>
      <rowOff>0</rowOff>
    </from>
    <to>
      <col>12</col>
      <colOff>252352</colOff>
      <row>96</row>
      <rowOff>70147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44821</colOff>
      <row>115</row>
      <rowOff>22411</rowOff>
    </from>
    <to>
      <col>12</col>
      <colOff>252351</colOff>
      <row>130</row>
      <rowOff>92558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13</col>
      <colOff>0</colOff>
      <row>81</row>
      <rowOff>0</rowOff>
    </from>
    <to>
      <col>18</col>
      <colOff>182206</colOff>
      <row>96</row>
      <rowOff>70147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13</col>
      <colOff>0</colOff>
      <row>115</row>
      <rowOff>0</rowOff>
    </from>
    <to>
      <col>18</col>
      <colOff>182206</colOff>
      <row>130</row>
      <rowOff>70147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3</col>
      <colOff>56029</colOff>
      <row>155</row>
      <rowOff>0</rowOff>
    </from>
    <to>
      <col>13</col>
      <colOff>420441</colOff>
      <row>170</row>
      <rowOff>70147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</col>
      <colOff>100853</colOff>
      <row>209</row>
      <rowOff>22412</rowOff>
    </from>
    <to>
      <col>13</col>
      <colOff>465265</colOff>
      <row>224</row>
      <rowOff>92560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14</col>
      <colOff>0</colOff>
      <row>155</row>
      <rowOff>0</rowOff>
    </from>
    <to>
      <col>19</col>
      <colOff>182206</colOff>
      <row>170</row>
      <rowOff>70147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14</col>
      <colOff>0</colOff>
      <row>209</row>
      <rowOff>0</rowOff>
    </from>
    <to>
      <col>19</col>
      <colOff>182206</colOff>
      <row>224</row>
      <rowOff>70148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11</col>
      <colOff>581024</colOff>
      <row>64</row>
      <rowOff>149038</rowOff>
    </from>
    <to>
      <col>20</col>
      <colOff>408899</colOff>
      <row>77</row>
      <rowOff>70663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0</colOff>
      <row>78</row>
      <rowOff>3363</rowOff>
    </from>
    <to>
      <col>10</col>
      <colOff>408900</colOff>
      <row>90</row>
      <rowOff>105963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243166</colOff>
      <row>177</row>
      <rowOff>155481</rowOff>
    </from>
    <to>
      <col>10</col>
      <colOff>394891</colOff>
      <row>190</row>
      <rowOff>86631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12</col>
      <colOff>1682</colOff>
      <row>78</row>
      <rowOff>0</rowOff>
    </from>
    <to>
      <col>20</col>
      <colOff>410582</colOff>
      <row>90</row>
      <rowOff>102600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12</col>
      <colOff>0</colOff>
      <row>191</row>
      <rowOff>0</rowOff>
    </from>
    <to>
      <col>20</col>
      <colOff>408900</colOff>
      <row>203</row>
      <rowOff>102600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2</col>
      <colOff>0</colOff>
      <row>65</row>
      <rowOff>0</rowOff>
    </from>
    <to>
      <col>10</col>
      <colOff>408900</colOff>
      <row>77</row>
      <rowOff>102600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1</col>
      <colOff>246530</colOff>
      <row>91</row>
      <rowOff>168087</rowOff>
    </from>
    <to>
      <col>7</col>
      <colOff>11206</colOff>
      <row>103</row>
      <rowOff>101412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8</col>
      <colOff>0</colOff>
      <row>92</row>
      <rowOff>0</rowOff>
    </from>
    <to>
      <col>13</col>
      <colOff>323290</colOff>
      <row>103</row>
      <rowOff>104775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14</col>
      <colOff>0</colOff>
      <row>92</row>
      <rowOff>0</rowOff>
    </from>
    <to>
      <col>19</col>
      <colOff>123265</colOff>
      <row>103</row>
      <rowOff>101413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2</col>
      <colOff>0</colOff>
      <row>105</row>
      <rowOff>0</rowOff>
    </from>
    <to>
      <col>7</col>
      <colOff>22411</colOff>
      <row>116</row>
      <rowOff>101413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8</col>
      <colOff>0</colOff>
      <row>105</row>
      <rowOff>0</rowOff>
    </from>
    <to>
      <col>13</col>
      <colOff>324971</colOff>
      <row>116</row>
      <rowOff>101413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14</col>
      <colOff>0</colOff>
      <row>105</row>
      <rowOff>0</rowOff>
    </from>
    <to>
      <col>19</col>
      <colOff>123265</colOff>
      <row>116</row>
      <rowOff>101413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  <twoCellAnchor>
    <from>
      <col>2</col>
      <colOff>0</colOff>
      <row>118</row>
      <rowOff>0</rowOff>
    </from>
    <to>
      <col>7</col>
      <colOff>22411</colOff>
      <row>129</row>
      <rowOff>101413</rowOff>
    </to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twoCellAnchor>
  <twoCellAnchor>
    <from>
      <col>8</col>
      <colOff>0</colOff>
      <row>118</row>
      <rowOff>0</rowOff>
    </from>
    <to>
      <col>13</col>
      <colOff>324971</colOff>
      <row>129</row>
      <rowOff>101413</rowOff>
    </to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twoCellAnchor>
  <twoCellAnchor>
    <from>
      <col>14</col>
      <colOff>0</colOff>
      <row>118</row>
      <rowOff>0</rowOff>
    </from>
    <to>
      <col>19</col>
      <colOff>123265</colOff>
      <row>129</row>
      <rowOff>101413</rowOff>
    </to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twoCellAnchor>
  <twoCellAnchor>
    <from>
      <col>2</col>
      <colOff>0</colOff>
      <row>131</row>
      <rowOff>0</rowOff>
    </from>
    <to>
      <col>7</col>
      <colOff>22411</colOff>
      <row>142</row>
      <rowOff>101413</rowOff>
    </to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twoCellAnchor>
  <twoCellAnchor>
    <from>
      <col>8</col>
      <colOff>0</colOff>
      <row>131</row>
      <rowOff>0</rowOff>
    </from>
    <to>
      <col>13</col>
      <colOff>324971</colOff>
      <row>142</row>
      <rowOff>101413</rowOff>
    </to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twoCellAnchor>
  <twoCellAnchor>
    <from>
      <col>14</col>
      <colOff>0</colOff>
      <row>131</row>
      <rowOff>0</rowOff>
    </from>
    <to>
      <col>19</col>
      <colOff>123265</colOff>
      <row>142</row>
      <rowOff>101413</rowOff>
    </to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twoCellAnchor>
  <twoCellAnchor>
    <from>
      <col>2</col>
      <colOff>0</colOff>
      <row>144</row>
      <rowOff>0</rowOff>
    </from>
    <to>
      <col>7</col>
      <colOff>22411</colOff>
      <row>155</row>
      <rowOff>101413</rowOff>
    </to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twoCellAnchor>
  <twoCellAnchor>
    <from>
      <col>8</col>
      <colOff>0</colOff>
      <row>144</row>
      <rowOff>0</rowOff>
    </from>
    <to>
      <col>13</col>
      <colOff>324971</colOff>
      <row>155</row>
      <rowOff>101413</rowOff>
    </to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twoCellAnchor>
  <twoCellAnchor>
    <from>
      <col>14</col>
      <colOff>0</colOff>
      <row>144</row>
      <rowOff>0</rowOff>
    </from>
    <to>
      <col>19</col>
      <colOff>123265</colOff>
      <row>155</row>
      <rowOff>101413</rowOff>
    </to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twoCellAnchor>
  <twoCellAnchor>
    <from>
      <col>12</col>
      <colOff>0</colOff>
      <row>177</row>
      <rowOff>171449</rowOff>
    </from>
    <to>
      <col>20</col>
      <colOff>408900</colOff>
      <row>190</row>
      <rowOff>102599</rowOff>
    </to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twoCellAnchor>
  <twoCellAnchor>
    <from>
      <col>2</col>
      <colOff>0</colOff>
      <row>191</row>
      <rowOff>0</rowOff>
    </from>
    <to>
      <col>10</col>
      <colOff>408900</colOff>
      <row>203</row>
      <rowOff>102600</rowOff>
    </to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3</col>
      <colOff>1379559</colOff>
      <row>51</row>
      <rowOff>0</rowOff>
    </from>
    <to>
      <col>11</col>
      <colOff>0</colOff>
      <row>63</row>
      <rowOff>142941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</col>
      <colOff>1373958</colOff>
      <row>65</row>
      <rowOff>168079</rowOff>
    </from>
    <to>
      <col>10</col>
      <colOff>677957</colOff>
      <row>78</row>
      <rowOff>142932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12</col>
      <colOff>0</colOff>
      <row>51</row>
      <rowOff>0</rowOff>
    </from>
    <to>
      <col>19</col>
      <colOff>615088</colOff>
      <row>63</row>
      <rowOff>142941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12</col>
      <colOff>0</colOff>
      <row>65</row>
      <rowOff>168088</rowOff>
    </from>
    <to>
      <col>19</col>
      <colOff>615088</colOff>
      <row>78</row>
      <rowOff>142941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</col>
      <colOff>1378323</colOff>
      <row>80</row>
      <rowOff>22411</rowOff>
    </from>
    <to>
      <col>10</col>
      <colOff>672352</colOff>
      <row>93</row>
      <rowOff>44822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Z124"/>
  <sheetViews>
    <sheetView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N21" sqref="N21"/>
    </sheetView>
  </sheetViews>
  <sheetFormatPr baseColWidth="8" defaultColWidth="9" defaultRowHeight="12"/>
  <cols>
    <col width="3.109375" customWidth="1" style="500" min="1" max="1"/>
    <col width="4.109375" customWidth="1" style="500" min="2" max="2"/>
    <col width="6.6640625" bestFit="1" customWidth="1" style="500" min="3" max="3"/>
    <col width="13.44140625" bestFit="1" customWidth="1" style="500" min="4" max="4"/>
    <col width="8.88671875" bestFit="1" customWidth="1" style="500" min="5" max="5"/>
    <col width="15.88671875" customWidth="1" style="500" min="6" max="6"/>
    <col width="12.5546875" customWidth="1" style="500" min="7" max="7"/>
    <col width="7.44140625" customWidth="1" style="500" min="8" max="8"/>
    <col width="8.88671875" customWidth="1" style="66" min="9" max="9"/>
    <col width="13.44140625" bestFit="1" customWidth="1" style="66" min="10" max="10"/>
    <col width="6.44140625" bestFit="1" customWidth="1" style="66" min="11" max="11"/>
    <col width="8.5546875" customWidth="1" style="66" min="12" max="12"/>
    <col width="8.5546875" customWidth="1" style="500" min="13" max="13"/>
    <col width="8.5546875" customWidth="1" style="66" min="14" max="15"/>
    <col width="8.5546875" customWidth="1" style="500" min="16" max="23"/>
    <col width="30.88671875" customWidth="1" style="500" min="24" max="24"/>
    <col width="11" bestFit="1" customWidth="1" style="500" min="25" max="25"/>
    <col width="9" customWidth="1" style="500" min="26" max="16384"/>
  </cols>
  <sheetData>
    <row r="1" ht="23.4" customHeight="1" s="1062">
      <c r="B1" s="58" t="inlineStr">
        <is>
          <t>VDM</t>
        </is>
      </c>
      <c r="K1" s="416" t="inlineStr">
        <is>
          <t>Ngày làm việc</t>
        </is>
      </c>
    </row>
    <row r="2">
      <c r="K2" s="616" t="inlineStr">
        <is>
          <t>Day</t>
        </is>
      </c>
      <c r="L2" s="616" t="n">
        <v>22</v>
      </c>
      <c r="M2" s="616" t="n">
        <v>15</v>
      </c>
      <c r="N2" s="1063" t="n">
        <v>22</v>
      </c>
      <c r="O2" s="616" t="n"/>
      <c r="P2" s="616" t="n"/>
      <c r="Q2" s="616" t="n"/>
      <c r="R2" s="616" t="n"/>
      <c r="S2" s="616" t="n"/>
      <c r="T2" s="616" t="n"/>
      <c r="U2" s="616" t="n"/>
      <c r="V2" s="616" t="n"/>
      <c r="W2" s="616" t="n"/>
      <c r="X2" s="502" t="inlineStr">
        <is>
          <t>Note</t>
        </is>
      </c>
    </row>
    <row r="3" hidden="1" s="1062">
      <c r="K3" s="617" t="n"/>
      <c r="L3" s="617">
        <f>L2</f>
        <v/>
      </c>
      <c r="M3" s="617">
        <f>M2</f>
        <v/>
      </c>
      <c r="N3" s="617">
        <f>N2</f>
        <v/>
      </c>
      <c r="O3" s="617">
        <f>O2</f>
        <v/>
      </c>
      <c r="P3" s="617">
        <f>P2</f>
        <v/>
      </c>
      <c r="Q3" s="617">
        <f>Q2</f>
        <v/>
      </c>
      <c r="R3" s="617">
        <f>R2</f>
        <v/>
      </c>
      <c r="S3" s="617">
        <f>S2</f>
        <v/>
      </c>
      <c r="T3" s="617">
        <f>T2</f>
        <v/>
      </c>
      <c r="U3" s="617">
        <f>U2</f>
        <v/>
      </c>
      <c r="V3" s="617">
        <f>V2</f>
        <v/>
      </c>
      <c r="W3" s="617">
        <f>W2</f>
        <v/>
      </c>
      <c r="X3" s="615" t="n"/>
    </row>
    <row r="4" ht="12.6" customHeight="1" s="1062" thickBot="1">
      <c r="A4" s="67" t="inlineStr">
        <is>
          <t>工程</t>
        </is>
      </c>
      <c r="B4" s="501" t="inlineStr">
        <is>
          <t>台数</t>
        </is>
      </c>
      <c r="C4" s="501" t="inlineStr">
        <is>
          <t>機械</t>
        </is>
      </c>
      <c r="D4" s="69" t="inlineStr">
        <is>
          <t>設備名</t>
        </is>
      </c>
      <c r="E4" s="501" t="inlineStr">
        <is>
          <t>ｼﾘｱﾙ№</t>
        </is>
      </c>
      <c r="F4" s="69" t="inlineStr">
        <is>
          <t>ﾒｰｶｰ</t>
        </is>
      </c>
      <c r="G4" s="69" t="inlineStr">
        <is>
          <t>機種</t>
        </is>
      </c>
      <c r="H4" s="501" t="inlineStr">
        <is>
          <t>標準稼働時間</t>
        </is>
      </c>
      <c r="I4" s="389" t="inlineStr">
        <is>
          <t>精度</t>
        </is>
      </c>
      <c r="J4" s="69" t="inlineStr">
        <is>
          <t>状態</t>
        </is>
      </c>
      <c r="K4" s="69" t="n"/>
      <c r="L4" s="526" t="inlineStr">
        <is>
          <t>T1</t>
        </is>
      </c>
      <c r="M4" s="526" t="inlineStr">
        <is>
          <t>T2</t>
        </is>
      </c>
      <c r="N4" s="526" t="inlineStr">
        <is>
          <t>T3</t>
        </is>
      </c>
      <c r="O4" s="526" t="inlineStr">
        <is>
          <t>T4</t>
        </is>
      </c>
      <c r="P4" s="526" t="inlineStr">
        <is>
          <t>T5</t>
        </is>
      </c>
      <c r="Q4" s="526" t="inlineStr">
        <is>
          <t>T6</t>
        </is>
      </c>
      <c r="R4" s="526" t="inlineStr">
        <is>
          <t>T7</t>
        </is>
      </c>
      <c r="S4" s="526" t="inlineStr">
        <is>
          <t>T8</t>
        </is>
      </c>
      <c r="T4" s="526" t="inlineStr">
        <is>
          <t>T9</t>
        </is>
      </c>
      <c r="U4" s="526" t="inlineStr">
        <is>
          <t>T10</t>
        </is>
      </c>
      <c r="V4" s="526" t="inlineStr">
        <is>
          <t>T11</t>
        </is>
      </c>
      <c r="W4" s="526" t="inlineStr">
        <is>
          <t>T12</t>
        </is>
      </c>
      <c r="X4" s="501" t="n"/>
    </row>
    <row r="5" ht="12.6" customHeight="1" s="1062" thickTop="1">
      <c r="A5" s="930" t="inlineStr">
        <is>
          <t>LA</t>
        </is>
      </c>
      <c r="B5" s="1064" t="n">
        <v>3</v>
      </c>
      <c r="C5" s="861" t="inlineStr">
        <is>
          <t>LA03</t>
        </is>
      </c>
      <c r="D5" s="861" t="inlineStr">
        <is>
          <t>汎用旋盤</t>
        </is>
      </c>
      <c r="E5" s="335" t="inlineStr">
        <is>
          <t>0168-AA</t>
        </is>
      </c>
      <c r="F5" s="335" t="inlineStr">
        <is>
          <t>TAKISAWA</t>
        </is>
      </c>
      <c r="G5" s="335" t="inlineStr">
        <is>
          <t>TAL-460</t>
        </is>
      </c>
      <c r="H5" s="333" t="n">
        <v>910</v>
      </c>
      <c r="I5" s="864" t="inlineStr">
        <is>
          <t>B</t>
        </is>
      </c>
      <c r="J5" s="864" t="n"/>
      <c r="K5" s="70" t="n"/>
      <c r="L5" s="530" t="n">
        <v>21317</v>
      </c>
      <c r="M5" s="709" t="n">
        <v>15533</v>
      </c>
      <c r="N5" s="1065" t="n">
        <v>24601</v>
      </c>
      <c r="O5" s="530" t="n"/>
      <c r="P5" s="530" t="n"/>
      <c r="Q5" s="908" t="n"/>
      <c r="R5" s="908" t="n"/>
      <c r="S5" s="908" t="n"/>
      <c r="T5" s="908" t="n"/>
      <c r="U5" s="1066" t="n"/>
      <c r="V5" s="1067" t="n"/>
      <c r="W5" s="1068" t="n"/>
      <c r="X5" s="503" t="n"/>
    </row>
    <row r="6" ht="12.6" customHeight="1" s="1062">
      <c r="A6" s="1069" t="n"/>
      <c r="B6" s="1070" t="n"/>
      <c r="C6" s="861" t="inlineStr">
        <is>
          <t>LA04</t>
        </is>
      </c>
      <c r="D6" s="861" t="inlineStr">
        <is>
          <t>汎用旋盤</t>
        </is>
      </c>
      <c r="E6" s="335" t="inlineStr">
        <is>
          <t>0167-AA</t>
        </is>
      </c>
      <c r="F6" s="335" t="inlineStr">
        <is>
          <t>OKUMA</t>
        </is>
      </c>
      <c r="G6" s="335" t="inlineStr">
        <is>
          <t>LS450*800</t>
        </is>
      </c>
      <c r="H6" s="337" t="n">
        <v>910</v>
      </c>
      <c r="I6" s="864" t="inlineStr">
        <is>
          <t>B</t>
        </is>
      </c>
      <c r="J6" s="864" t="n"/>
      <c r="K6" s="70" t="n"/>
      <c r="L6" s="574" t="n">
        <v>3020</v>
      </c>
      <c r="M6" s="709" t="n">
        <v>1811</v>
      </c>
      <c r="N6" s="1071" t="n">
        <v>2553</v>
      </c>
      <c r="O6" s="574" t="n"/>
      <c r="P6" s="530" t="n"/>
      <c r="Q6" s="912" t="n"/>
      <c r="R6" s="102" t="n"/>
      <c r="S6" s="102" t="n"/>
      <c r="T6" s="912" t="n"/>
      <c r="U6" s="1072" t="n"/>
      <c r="V6" s="1073" t="n"/>
      <c r="W6" s="1074" t="n"/>
      <c r="X6" s="504" t="n"/>
    </row>
    <row r="7" ht="12.6" customHeight="1" s="1062">
      <c r="A7" s="1069" t="n"/>
      <c r="B7" s="1070" t="n"/>
      <c r="C7" s="589" t="inlineStr">
        <is>
          <t>LA05</t>
        </is>
      </c>
      <c r="D7" s="861" t="inlineStr">
        <is>
          <t>汎用旋盤</t>
        </is>
      </c>
      <c r="E7" s="589" t="inlineStr">
        <is>
          <t>0784-AA</t>
        </is>
      </c>
      <c r="F7" s="589" t="inlineStr">
        <is>
          <t>TAKISAWA</t>
        </is>
      </c>
      <c r="G7" s="589" t="inlineStr">
        <is>
          <t>TAL-510L10</t>
        </is>
      </c>
      <c r="H7" s="876" t="n">
        <v>910</v>
      </c>
      <c r="I7" s="876" t="inlineStr">
        <is>
          <t>B</t>
        </is>
      </c>
      <c r="J7" s="864" t="n"/>
      <c r="K7" s="70" t="n"/>
      <c r="L7" s="574" t="n">
        <v>20796</v>
      </c>
      <c r="M7" s="709" t="n">
        <v>15023</v>
      </c>
      <c r="N7" s="1071" t="n">
        <v>23535</v>
      </c>
      <c r="O7" s="574" t="n"/>
      <c r="P7" s="530" t="n"/>
      <c r="Q7" s="102" t="n"/>
      <c r="R7" s="102" t="n"/>
      <c r="S7" s="102" t="n"/>
      <c r="T7" s="102" t="n"/>
      <c r="U7" s="1072" t="n"/>
      <c r="V7" s="1073" t="n"/>
      <c r="W7" s="1075" t="n"/>
      <c r="X7" s="504" t="n"/>
    </row>
    <row r="8" ht="12.6" customHeight="1" s="1062">
      <c r="A8" s="1069" t="n"/>
      <c r="B8" s="1070" t="n"/>
      <c r="C8" s="589" t="n"/>
      <c r="D8" s="861" t="n"/>
      <c r="E8" s="589" t="n"/>
      <c r="F8" s="589" t="n"/>
      <c r="G8" s="589" t="n"/>
      <c r="H8" s="876" t="n"/>
      <c r="I8" s="876" t="n"/>
      <c r="J8" s="876" t="n"/>
      <c r="K8" s="70" t="n"/>
      <c r="L8" s="574" t="n"/>
      <c r="M8" s="709" t="n"/>
      <c r="N8" s="574" t="n"/>
      <c r="O8" s="574" t="n"/>
      <c r="P8" s="530" t="n"/>
      <c r="Q8" s="102" t="n"/>
      <c r="R8" s="102" t="n"/>
      <c r="S8" s="102" t="n"/>
      <c r="T8" s="102" t="n"/>
      <c r="U8" s="1072" t="n"/>
      <c r="V8" s="1073" t="n"/>
      <c r="W8" s="1076" t="n"/>
      <c r="X8" s="503" t="n"/>
    </row>
    <row r="9" ht="12.6" customHeight="1" s="1062">
      <c r="A9" s="1069" t="n"/>
      <c r="B9" s="1077" t="n"/>
      <c r="C9" s="90" t="n"/>
      <c r="D9" s="587" t="n"/>
      <c r="E9" s="90" t="n"/>
      <c r="F9" s="90" t="n"/>
      <c r="G9" s="90" t="n"/>
      <c r="H9" s="588" t="n"/>
      <c r="I9" s="588" t="n"/>
      <c r="J9" s="588" t="n"/>
      <c r="K9" s="74" t="n"/>
      <c r="L9" s="527" t="n"/>
      <c r="M9" s="527" t="n"/>
      <c r="N9" s="527" t="n"/>
      <c r="O9" s="527" t="n"/>
      <c r="P9" s="527" t="n"/>
      <c r="Q9" s="527" t="n"/>
      <c r="R9" s="527" t="n"/>
      <c r="S9" s="527" t="n"/>
      <c r="T9" s="527" t="n"/>
      <c r="U9" s="527" t="n"/>
      <c r="V9" s="1078" t="n"/>
      <c r="W9" s="165" t="n"/>
      <c r="X9" s="505" t="n"/>
    </row>
    <row r="10" ht="12.6" customHeight="1" s="1062">
      <c r="A10" s="1069" t="n"/>
      <c r="B10" s="76" t="n"/>
      <c r="C10" s="76" t="n"/>
      <c r="D10" s="76" t="n"/>
      <c r="E10" s="76" t="n"/>
      <c r="F10" s="76" t="n"/>
      <c r="G10" s="76" t="n"/>
      <c r="H10" s="77">
        <f>SUM(H5:H9)</f>
        <v/>
      </c>
      <c r="I10" s="935" t="n"/>
      <c r="J10" s="1079" t="inlineStr">
        <is>
          <t>LA</t>
        </is>
      </c>
      <c r="K10" s="79" t="inlineStr">
        <is>
          <t>合計</t>
        </is>
      </c>
      <c r="L10" s="618">
        <f>SUM(L5:L9)</f>
        <v/>
      </c>
      <c r="M10" s="618">
        <f>SUM(M5:M9)</f>
        <v/>
      </c>
      <c r="N10" s="830">
        <f>SUM(N5:N9)</f>
        <v/>
      </c>
      <c r="O10" s="618">
        <f>SUM(O5:O9)</f>
        <v/>
      </c>
      <c r="P10" s="618">
        <f>SUM(P5:P9)</f>
        <v/>
      </c>
      <c r="Q10" s="618">
        <f>SUM(Q5:Q9)</f>
        <v/>
      </c>
      <c r="R10" s="618">
        <f>SUM(R5:R9)</f>
        <v/>
      </c>
      <c r="S10" s="618">
        <f>SUM(S5:S9)</f>
        <v/>
      </c>
      <c r="T10" s="618">
        <f>SUM(T5:T9)</f>
        <v/>
      </c>
      <c r="U10" s="618">
        <f>SUM(U5:U9)</f>
        <v/>
      </c>
      <c r="V10" s="618">
        <f>SUM(V5:V9)</f>
        <v/>
      </c>
      <c r="W10" s="619">
        <f>SUM(W5:W9)</f>
        <v/>
      </c>
      <c r="X10" s="506" t="n"/>
    </row>
    <row r="11" ht="12.6" customHeight="1" s="1062">
      <c r="A11" s="1080" t="n"/>
      <c r="B11" s="80" t="n"/>
      <c r="C11" s="80" t="n"/>
      <c r="D11" s="80" t="n"/>
      <c r="E11" s="80" t="n"/>
      <c r="F11" s="80" t="n"/>
      <c r="G11" s="80" t="n"/>
      <c r="H11" s="80" t="n"/>
      <c r="I11" s="934" t="n"/>
      <c r="J11" s="1081" t="n"/>
      <c r="K11" s="82" t="inlineStr">
        <is>
          <t>稼働率</t>
        </is>
      </c>
      <c r="L11" s="621">
        <f>L10/($H$10*L3)</f>
        <v/>
      </c>
      <c r="M11" s="621">
        <f>M10/($H$10*M3)</f>
        <v/>
      </c>
      <c r="N11" s="621">
        <f>N10/($H$10*N3)</f>
        <v/>
      </c>
      <c r="O11" s="621">
        <f>O10/($H$10*O3)</f>
        <v/>
      </c>
      <c r="P11" s="621">
        <f>P10/($H$10*P3)</f>
        <v/>
      </c>
      <c r="Q11" s="621">
        <f>Q10/($H$10*Q3)</f>
        <v/>
      </c>
      <c r="R11" s="621">
        <f>R10/($H$10*R3)</f>
        <v/>
      </c>
      <c r="S11" s="621">
        <f>S10/($H$10*S3)</f>
        <v/>
      </c>
      <c r="T11" s="621">
        <f>T10/($H$10*T3)</f>
        <v/>
      </c>
      <c r="U11" s="621">
        <f>U10/($H$10*U3)</f>
        <v/>
      </c>
      <c r="V11" s="621">
        <f>V10/($H$10*V3)</f>
        <v/>
      </c>
      <c r="W11" s="621">
        <f>W10/($H$10*W3)</f>
        <v/>
      </c>
      <c r="X11" s="507" t="n"/>
    </row>
    <row r="12" ht="12.6" customFormat="1" customHeight="1" s="500">
      <c r="A12" s="930" t="inlineStr">
        <is>
          <t>MA</t>
        </is>
      </c>
      <c r="B12" s="1082" t="n">
        <v>4</v>
      </c>
      <c r="C12" s="841" t="inlineStr">
        <is>
          <t>MA01</t>
        </is>
      </c>
      <c r="D12" s="842" t="inlineStr">
        <is>
          <t>ﾌﾗｲｽ盤</t>
        </is>
      </c>
      <c r="E12" s="340" t="inlineStr">
        <is>
          <t>0690-AA</t>
        </is>
      </c>
      <c r="F12" s="340" t="inlineStr">
        <is>
          <t>SHIZUOKA</t>
        </is>
      </c>
      <c r="G12" s="340" t="inlineStr">
        <is>
          <t>SV-CH</t>
        </is>
      </c>
      <c r="H12" s="843" t="n">
        <v>910</v>
      </c>
      <c r="I12" s="844" t="inlineStr">
        <is>
          <t>B</t>
        </is>
      </c>
      <c r="J12" s="844" t="n"/>
      <c r="K12" s="845" t="n"/>
      <c r="L12" s="1083" t="n">
        <v>21082</v>
      </c>
      <c r="M12" s="1072" t="n">
        <v>15201</v>
      </c>
      <c r="N12" s="1084" t="n">
        <v>25078</v>
      </c>
      <c r="O12" s="1085" t="n"/>
      <c r="P12" s="1072" t="n"/>
      <c r="Q12" s="1072" t="n"/>
      <c r="R12" s="1072" t="n"/>
      <c r="S12" s="1072" t="n"/>
      <c r="T12" s="1072" t="n"/>
      <c r="U12" s="1072" t="n"/>
      <c r="V12" s="1073" t="n"/>
      <c r="W12" s="1075" t="n"/>
      <c r="X12" s="504" t="n"/>
      <c r="Y12" s="1086" t="n"/>
    </row>
    <row r="13" ht="12.6" customHeight="1" s="1062">
      <c r="A13" s="1069" t="n"/>
      <c r="B13" s="1087" t="n"/>
      <c r="C13" s="860" t="inlineStr">
        <is>
          <t>MA02</t>
        </is>
      </c>
      <c r="D13" s="861" t="inlineStr">
        <is>
          <t>ﾌﾗｲｽ盤</t>
        </is>
      </c>
      <c r="E13" s="343" t="inlineStr">
        <is>
          <t>0691-AA</t>
        </is>
      </c>
      <c r="F13" s="343" t="inlineStr">
        <is>
          <t>SHIZUOKA</t>
        </is>
      </c>
      <c r="G13" s="343" t="inlineStr">
        <is>
          <t>SV-CH</t>
        </is>
      </c>
      <c r="H13" s="862" t="n">
        <v>910</v>
      </c>
      <c r="I13" s="863" t="inlineStr">
        <is>
          <t>B</t>
        </is>
      </c>
      <c r="J13" s="863" t="n"/>
      <c r="K13" s="70" t="n"/>
      <c r="L13" s="1083" t="n">
        <v>20751</v>
      </c>
      <c r="M13" s="1072" t="n">
        <v>12066</v>
      </c>
      <c r="N13" s="1084" t="n">
        <v>22910</v>
      </c>
      <c r="O13" s="1085" t="n"/>
      <c r="P13" s="1072" t="n"/>
      <c r="Q13" s="1072" t="n"/>
      <c r="R13" s="1072" t="n"/>
      <c r="S13" s="1072" t="n"/>
      <c r="T13" s="1072" t="n"/>
      <c r="U13" s="1072" t="n"/>
      <c r="V13" s="1073" t="n"/>
      <c r="W13" s="1075" t="n"/>
      <c r="X13" s="504" t="n"/>
      <c r="Y13" s="836" t="n"/>
    </row>
    <row r="14" ht="12.6" customHeight="1" s="1062">
      <c r="A14" s="1069" t="n"/>
      <c r="B14" s="1087" t="n"/>
      <c r="C14" s="860" t="inlineStr">
        <is>
          <t>MA03</t>
        </is>
      </c>
      <c r="D14" s="861" t="inlineStr">
        <is>
          <t>ﾌﾗｲｽ盤</t>
        </is>
      </c>
      <c r="E14" s="343" t="inlineStr">
        <is>
          <t>0174-AA</t>
        </is>
      </c>
      <c r="F14" s="343" t="inlineStr">
        <is>
          <t>NIIGATA</t>
        </is>
      </c>
      <c r="G14" s="343" t="inlineStr">
        <is>
          <t>2UMB</t>
        </is>
      </c>
      <c r="H14" s="862" t="n">
        <v>910</v>
      </c>
      <c r="I14" s="863" t="inlineStr">
        <is>
          <t>B</t>
        </is>
      </c>
      <c r="J14" s="863" t="n"/>
      <c r="K14" s="70" t="n"/>
      <c r="L14" s="1088" t="n">
        <v>14965</v>
      </c>
      <c r="M14" s="1072" t="n">
        <v>11003</v>
      </c>
      <c r="N14" s="1084" t="n">
        <v>15720</v>
      </c>
      <c r="O14" s="1085" t="n"/>
      <c r="P14" s="1072" t="n"/>
      <c r="Q14" s="1072" t="n"/>
      <c r="R14" s="1072" t="n"/>
      <c r="S14" s="1072" t="n"/>
      <c r="T14" s="1072" t="n"/>
      <c r="U14" s="1072" t="n"/>
      <c r="V14" s="1073" t="n"/>
      <c r="W14" s="1075" t="n"/>
      <c r="X14" s="504" t="n"/>
    </row>
    <row r="15" ht="12.6" customFormat="1" customHeight="1" s="500">
      <c r="A15" s="1069" t="n"/>
      <c r="B15" s="1087" t="n"/>
      <c r="C15" s="860" t="inlineStr">
        <is>
          <t>MA04</t>
        </is>
      </c>
      <c r="D15" s="861" t="inlineStr">
        <is>
          <t>ﾌﾗｲｽ盤</t>
        </is>
      </c>
      <c r="E15" s="343" t="inlineStr">
        <is>
          <t>0606-AA</t>
        </is>
      </c>
      <c r="F15" s="343" t="inlineStr">
        <is>
          <t>IWASHITA</t>
        </is>
      </c>
      <c r="G15" s="343" t="inlineStr">
        <is>
          <t>NK-1/2</t>
        </is>
      </c>
      <c r="H15" s="862" t="n">
        <v>910</v>
      </c>
      <c r="I15" s="863" t="inlineStr">
        <is>
          <t>B</t>
        </is>
      </c>
      <c r="J15" s="864" t="inlineStr">
        <is>
          <t>仕事無し/少ない</t>
        </is>
      </c>
      <c r="K15" s="845" t="n"/>
      <c r="L15" s="1088" t="n">
        <v>0</v>
      </c>
      <c r="M15" s="1072" t="n">
        <v>0</v>
      </c>
      <c r="N15" s="1084" t="n">
        <v>0</v>
      </c>
      <c r="O15" s="1085" t="n"/>
      <c r="P15" s="1072" t="n"/>
      <c r="Q15" s="1072" t="n"/>
      <c r="R15" s="1072" t="n"/>
      <c r="S15" s="1072" t="n"/>
      <c r="T15" s="1089" t="n"/>
      <c r="U15" s="1085" t="n"/>
      <c r="V15" s="1090" t="n"/>
      <c r="W15" s="1075" t="n"/>
      <c r="X15" s="504" t="n"/>
    </row>
    <row r="16" ht="12.6" customHeight="1" s="1062">
      <c r="A16" s="1069" t="n"/>
      <c r="B16" s="1091" t="n"/>
      <c r="C16" s="71" t="n"/>
      <c r="D16" s="72" t="n"/>
      <c r="E16" s="71" t="n"/>
      <c r="F16" s="71" t="n"/>
      <c r="G16" s="71" t="n"/>
      <c r="H16" s="71" t="n"/>
      <c r="I16" s="73" t="n"/>
      <c r="J16" s="73" t="n"/>
      <c r="K16" s="74" t="n"/>
      <c r="L16" s="1092" t="n"/>
      <c r="M16" s="1093" t="n"/>
      <c r="N16" s="1092" t="n"/>
      <c r="O16" s="1092" t="n"/>
      <c r="P16" s="1093" t="n"/>
      <c r="Q16" s="1093" t="n"/>
      <c r="R16" s="1093" t="n"/>
      <c r="S16" s="1093" t="n"/>
      <c r="T16" s="1093" t="n"/>
      <c r="U16" s="1093" t="n"/>
      <c r="V16" s="1078" t="n"/>
      <c r="W16" s="1094" t="n"/>
      <c r="X16" s="505" t="n"/>
    </row>
    <row r="17" ht="12.6" customHeight="1" s="1062">
      <c r="A17" s="1069" t="n"/>
      <c r="B17" s="76" t="n"/>
      <c r="C17" s="76" t="n"/>
      <c r="D17" s="86" t="n"/>
      <c r="E17" s="76" t="n"/>
      <c r="F17" s="76" t="n"/>
      <c r="G17" s="76" t="n"/>
      <c r="H17" s="77">
        <f>SUM(H12:H16)</f>
        <v/>
      </c>
      <c r="I17" s="935" t="n"/>
      <c r="J17" s="1095" t="inlineStr">
        <is>
          <t>MA</t>
        </is>
      </c>
      <c r="K17" s="79" t="inlineStr">
        <is>
          <t>合計</t>
        </is>
      </c>
      <c r="L17" s="620">
        <f>SUM(L12:L16)</f>
        <v/>
      </c>
      <c r="M17" s="620">
        <f>SUM(M12:M16)</f>
        <v/>
      </c>
      <c r="N17" s="831">
        <f>SUM(N12:N16)</f>
        <v/>
      </c>
      <c r="O17" s="620">
        <f>SUM(O12:O16)</f>
        <v/>
      </c>
      <c r="P17" s="620">
        <f>SUM(P12:P16)</f>
        <v/>
      </c>
      <c r="Q17" s="620">
        <f>SUM(Q12:Q16)</f>
        <v/>
      </c>
      <c r="R17" s="620">
        <f>SUM(R12:R16)</f>
        <v/>
      </c>
      <c r="S17" s="620">
        <f>SUM(S12:S16)</f>
        <v/>
      </c>
      <c r="T17" s="620">
        <f>SUM(T12:T16)</f>
        <v/>
      </c>
      <c r="U17" s="620">
        <f>SUM(U12:U16)</f>
        <v/>
      </c>
      <c r="V17" s="620">
        <f>SUM(V12:V16)</f>
        <v/>
      </c>
      <c r="W17" s="620">
        <f>SUM(W12:W16)</f>
        <v/>
      </c>
      <c r="X17" s="508" t="n"/>
    </row>
    <row r="18" ht="12.6" customHeight="1" s="1062">
      <c r="A18" s="1080" t="n"/>
      <c r="B18" s="80" t="n"/>
      <c r="C18" s="80" t="n"/>
      <c r="D18" s="87" t="n"/>
      <c r="E18" s="80" t="n"/>
      <c r="F18" s="80" t="n"/>
      <c r="G18" s="80" t="n"/>
      <c r="H18" s="80" t="n"/>
      <c r="I18" s="934" t="n"/>
      <c r="J18" s="1096" t="n"/>
      <c r="K18" s="82" t="inlineStr">
        <is>
          <t>稼働率</t>
        </is>
      </c>
      <c r="L18" s="528">
        <f>L17/($H$17*L3)</f>
        <v/>
      </c>
      <c r="M18" s="528">
        <f>M17/($H$17*M3)</f>
        <v/>
      </c>
      <c r="N18" s="528">
        <f>N17/($H$17*N3)</f>
        <v/>
      </c>
      <c r="O18" s="528">
        <f>O17/($H$17*O3)</f>
        <v/>
      </c>
      <c r="P18" s="528">
        <f>P17/($H$17*P3)</f>
        <v/>
      </c>
      <c r="Q18" s="528">
        <f>Q17/($H$17*Q3)</f>
        <v/>
      </c>
      <c r="R18" s="528">
        <f>R17/($H$17*R3)</f>
        <v/>
      </c>
      <c r="S18" s="528">
        <f>S17/($H$17*S3)</f>
        <v/>
      </c>
      <c r="T18" s="528">
        <f>T17/($H$17*T3)</f>
        <v/>
      </c>
      <c r="U18" s="528">
        <f>U17/($H$17*U3)</f>
        <v/>
      </c>
      <c r="V18" s="528">
        <f>V17/($H$17*V3)</f>
        <v/>
      </c>
      <c r="W18" s="528">
        <f>W17/($H$17*W3)</f>
        <v/>
      </c>
      <c r="X18" s="507" t="n"/>
    </row>
    <row r="19" ht="12.6" customFormat="1" customHeight="1" s="500">
      <c r="A19" s="930" t="inlineStr">
        <is>
          <t>BJ</t>
        </is>
      </c>
      <c r="B19" s="1082" t="n">
        <v>5</v>
      </c>
      <c r="C19" s="841" t="inlineStr">
        <is>
          <t>BJ01</t>
        </is>
      </c>
      <c r="D19" s="848" t="inlineStr">
        <is>
          <t>精密ﾌﾗｲｽ盤</t>
        </is>
      </c>
      <c r="E19" s="340" t="inlineStr">
        <is>
          <t>0706-AA</t>
        </is>
      </c>
      <c r="F19" s="340" t="inlineStr">
        <is>
          <t>MAKINO</t>
        </is>
      </c>
      <c r="G19" s="340" t="inlineStr">
        <is>
          <t>KSJP-55</t>
        </is>
      </c>
      <c r="H19" s="843" t="n">
        <v>910</v>
      </c>
      <c r="I19" s="844" t="inlineStr">
        <is>
          <t>B</t>
        </is>
      </c>
      <c r="J19" s="849" t="n"/>
      <c r="K19" s="850" t="n"/>
      <c r="L19" s="1097" t="n">
        <v>15951</v>
      </c>
      <c r="M19" s="1098" t="n">
        <v>14279</v>
      </c>
      <c r="N19" s="1099" t="n">
        <v>23510</v>
      </c>
      <c r="O19" s="1100" t="n"/>
      <c r="P19" s="1098" t="n"/>
      <c r="Q19" s="1098" t="n"/>
      <c r="R19" s="1098" t="n"/>
      <c r="S19" s="1098" t="n"/>
      <c r="T19" s="1098" t="n"/>
      <c r="U19" s="1098" t="n"/>
      <c r="V19" s="1098" t="n"/>
      <c r="W19" s="1101" t="n"/>
      <c r="X19" s="509" t="n"/>
    </row>
    <row r="20" ht="12.6" customHeight="1" s="1062">
      <c r="A20" s="1069" t="n"/>
      <c r="B20" s="1087" t="n"/>
      <c r="C20" s="860" t="inlineStr">
        <is>
          <t>BJ04</t>
        </is>
      </c>
      <c r="D20" s="861" t="inlineStr">
        <is>
          <t>精密ﾌﾗｲｽ盤</t>
        </is>
      </c>
      <c r="E20" s="343" t="inlineStr">
        <is>
          <t>0179-AA</t>
        </is>
      </c>
      <c r="F20" s="343" t="inlineStr">
        <is>
          <t>HASEGAWA</t>
        </is>
      </c>
      <c r="G20" s="343" t="inlineStr">
        <is>
          <t>HPF-B</t>
        </is>
      </c>
      <c r="H20" s="862" t="n">
        <v>910</v>
      </c>
      <c r="I20" s="863" t="inlineStr">
        <is>
          <t>B</t>
        </is>
      </c>
      <c r="J20" s="877" t="n"/>
      <c r="K20" s="114" t="n"/>
      <c r="L20" s="1102" t="n">
        <v>8213</v>
      </c>
      <c r="M20" s="1103" t="n">
        <v>7268</v>
      </c>
      <c r="N20" s="1104" t="n">
        <v>6272</v>
      </c>
      <c r="O20" s="1105" t="n"/>
      <c r="P20" s="1103" t="n"/>
      <c r="Q20" s="1103" t="n"/>
      <c r="R20" s="1103" t="n"/>
      <c r="S20" s="1103" t="n"/>
      <c r="T20" s="1103" t="n"/>
      <c r="U20" s="1105" t="n"/>
      <c r="V20" s="1105" t="n"/>
      <c r="W20" s="1106" t="n"/>
      <c r="X20" s="510" t="n"/>
    </row>
    <row r="21" ht="12.6" customHeight="1" s="1062">
      <c r="A21" s="1069" t="n"/>
      <c r="B21" s="1087" t="n"/>
      <c r="C21" s="346" t="inlineStr">
        <is>
          <t>BJ06</t>
        </is>
      </c>
      <c r="D21" s="347" t="inlineStr">
        <is>
          <t>精密ﾌﾗｲｽ盤</t>
        </is>
      </c>
      <c r="E21" s="345" t="inlineStr">
        <is>
          <t>0180-AA</t>
        </is>
      </c>
      <c r="F21" s="345" t="inlineStr">
        <is>
          <t>NIIGATA</t>
        </is>
      </c>
      <c r="G21" s="345" t="inlineStr">
        <is>
          <t>M-K2</t>
        </is>
      </c>
      <c r="H21" s="862" t="n">
        <v>910</v>
      </c>
      <c r="I21" s="878" t="inlineStr">
        <is>
          <t>B</t>
        </is>
      </c>
      <c r="J21" s="879" t="n"/>
      <c r="K21" s="114" t="n"/>
      <c r="L21" s="1083" t="n">
        <v>20771</v>
      </c>
      <c r="M21" s="1107" t="n">
        <v>14098</v>
      </c>
      <c r="N21" s="1108" t="n">
        <v>22062</v>
      </c>
      <c r="O21" s="1109" t="n"/>
      <c r="P21" s="1107" t="n"/>
      <c r="Q21" s="1107" t="n"/>
      <c r="R21" s="1107" t="n"/>
      <c r="S21" s="1107" t="n"/>
      <c r="T21" s="1107" t="n"/>
      <c r="U21" s="1107" t="n"/>
      <c r="V21" s="1107" t="n"/>
      <c r="W21" s="1110" t="n"/>
      <c r="X21" s="503" t="n"/>
    </row>
    <row r="22" ht="12.6" customHeight="1" s="1062">
      <c r="A22" s="1069" t="n"/>
      <c r="B22" s="1087" t="n"/>
      <c r="C22" s="349" t="inlineStr">
        <is>
          <t>BJ07</t>
        </is>
      </c>
      <c r="D22" s="350" t="inlineStr">
        <is>
          <t>精密ﾌﾗｲｽ盤</t>
        </is>
      </c>
      <c r="E22" s="351" t="inlineStr">
        <is>
          <t>0707-AA</t>
        </is>
      </c>
      <c r="F22" s="351" t="inlineStr">
        <is>
          <t>MAKINO</t>
        </is>
      </c>
      <c r="G22" s="351" t="inlineStr">
        <is>
          <t>KSJP-55</t>
        </is>
      </c>
      <c r="H22" s="862" t="n">
        <v>910</v>
      </c>
      <c r="I22" s="863" t="inlineStr">
        <is>
          <t>B</t>
        </is>
      </c>
      <c r="J22" s="879" t="n"/>
      <c r="K22" s="114" t="n"/>
      <c r="L22" s="1111" t="n">
        <v>22592</v>
      </c>
      <c r="M22" s="1112" t="n">
        <v>15368</v>
      </c>
      <c r="N22" s="1113" t="n">
        <v>24459</v>
      </c>
      <c r="O22" s="1114" t="n"/>
      <c r="P22" s="1112" t="n"/>
      <c r="Q22" s="1112" t="n"/>
      <c r="R22" s="1112" t="n"/>
      <c r="S22" s="1112" t="n"/>
      <c r="T22" s="1112" t="n"/>
      <c r="U22" s="1112" t="n"/>
      <c r="V22" s="1112" t="n"/>
      <c r="W22" s="1115" t="n"/>
      <c r="X22" s="504" t="n"/>
    </row>
    <row r="23" ht="12.6" customHeight="1" s="1062">
      <c r="A23" s="1069" t="n"/>
      <c r="B23" s="1087" t="n"/>
      <c r="C23" s="349" t="inlineStr">
        <is>
          <t>BJ08</t>
        </is>
      </c>
      <c r="D23" s="350" t="inlineStr">
        <is>
          <t>精密ﾌﾗｲｽ盤</t>
        </is>
      </c>
      <c r="E23" s="351" t="inlineStr">
        <is>
          <t>0792-AA</t>
        </is>
      </c>
      <c r="F23" s="351" t="inlineStr">
        <is>
          <t>MAKINO</t>
        </is>
      </c>
      <c r="G23" s="351" t="inlineStr">
        <is>
          <t>KVJP-55</t>
        </is>
      </c>
      <c r="H23" s="862" t="n">
        <v>910</v>
      </c>
      <c r="I23" s="863" t="inlineStr">
        <is>
          <t>A</t>
        </is>
      </c>
      <c r="J23" s="879" t="n"/>
      <c r="K23" s="114" t="n"/>
      <c r="L23" s="1111" t="n">
        <v>21452</v>
      </c>
      <c r="M23" s="1112" t="n">
        <v>15070</v>
      </c>
      <c r="N23" s="1113" t="n">
        <v>23842</v>
      </c>
      <c r="O23" s="1114" t="n"/>
      <c r="P23" s="1112" t="n"/>
      <c r="Q23" s="1112" t="n"/>
      <c r="R23" s="1112" t="n"/>
      <c r="S23" s="1112" t="n"/>
      <c r="T23" s="1112" t="n"/>
      <c r="U23" s="1112" t="n"/>
      <c r="V23" s="1112" t="n"/>
      <c r="W23" s="1115" t="n"/>
      <c r="X23" s="504" t="n"/>
    </row>
    <row r="24" ht="12.6" customHeight="1" s="1062">
      <c r="A24" s="1069" t="n"/>
      <c r="B24" s="1087" t="n"/>
      <c r="C24" s="349" t="n"/>
      <c r="D24" s="350" t="n"/>
      <c r="E24" s="351" t="n"/>
      <c r="F24" s="351" t="n"/>
      <c r="G24" s="351" t="n"/>
      <c r="H24" s="862" t="n"/>
      <c r="I24" s="863" t="n"/>
      <c r="J24" s="879" t="n"/>
      <c r="K24" s="114" t="n"/>
      <c r="L24" s="1111" t="n"/>
      <c r="M24" s="1114" t="n"/>
      <c r="N24" s="1114" t="n"/>
      <c r="O24" s="1114" t="n"/>
      <c r="P24" s="1114" t="n"/>
      <c r="Q24" s="1114" t="n"/>
      <c r="R24" s="1112" t="n"/>
      <c r="S24" s="1112" t="n"/>
      <c r="T24" s="1112" t="n"/>
      <c r="U24" s="1112" t="n"/>
      <c r="V24" s="1112" t="n"/>
      <c r="W24" s="1115" t="n"/>
      <c r="X24" s="504" t="n"/>
    </row>
    <row r="25" ht="12.6" customHeight="1" s="1062">
      <c r="A25" s="1069" t="n"/>
      <c r="B25" s="1091" t="n"/>
      <c r="C25" s="71" t="n"/>
      <c r="D25" s="72" t="n"/>
      <c r="E25" s="71" t="n"/>
      <c r="F25" s="71" t="n"/>
      <c r="G25" s="71" t="n"/>
      <c r="H25" s="71" t="n"/>
      <c r="I25" s="73" t="n"/>
      <c r="J25" s="88" t="n"/>
      <c r="K25" s="120" t="n"/>
      <c r="L25" s="1116" t="n"/>
      <c r="M25" s="1078" t="n"/>
      <c r="N25" s="1117" t="n"/>
      <c r="O25" s="1117" t="n"/>
      <c r="P25" s="1078" t="n"/>
      <c r="Q25" s="1078" t="n"/>
      <c r="R25" s="1078" t="n"/>
      <c r="S25" s="1078" t="n"/>
      <c r="T25" s="1078" t="n"/>
      <c r="U25" s="1078" t="n"/>
      <c r="V25" s="1078" t="n"/>
      <c r="W25" s="1094" t="n"/>
      <c r="X25" s="505" t="n"/>
    </row>
    <row r="26" ht="12.6" customHeight="1" s="1062">
      <c r="A26" s="1069" t="n"/>
      <c r="B26" s="76" t="n"/>
      <c r="C26" s="76" t="n"/>
      <c r="D26" s="86" t="n"/>
      <c r="E26" s="76" t="n"/>
      <c r="F26" s="76" t="n"/>
      <c r="G26" s="76" t="n"/>
      <c r="H26" s="77">
        <f>SUM(H19:H25)</f>
        <v/>
      </c>
      <c r="I26" s="935" t="n"/>
      <c r="J26" s="934" t="inlineStr">
        <is>
          <t>BJ</t>
        </is>
      </c>
      <c r="K26" s="79" t="inlineStr">
        <is>
          <t>合計</t>
        </is>
      </c>
      <c r="L26" s="618">
        <f>SUM(L19:L25)</f>
        <v/>
      </c>
      <c r="M26" s="618">
        <f>SUM(M19:M25)</f>
        <v/>
      </c>
      <c r="N26" s="830">
        <f>SUM(N19:N25)</f>
        <v/>
      </c>
      <c r="O26" s="618">
        <f>SUM(O19:O25)</f>
        <v/>
      </c>
      <c r="P26" s="618">
        <f>SUM(P19:P25)</f>
        <v/>
      </c>
      <c r="Q26" s="618">
        <f>SUM(Q19:Q25)</f>
        <v/>
      </c>
      <c r="R26" s="618">
        <f>SUM(R19:R24)</f>
        <v/>
      </c>
      <c r="S26" s="618">
        <f>SUM(S19:S25)</f>
        <v/>
      </c>
      <c r="T26" s="618">
        <f>SUM(T19:T25)</f>
        <v/>
      </c>
      <c r="U26" s="618">
        <f>SUM(U19:U25)</f>
        <v/>
      </c>
      <c r="V26" s="618">
        <f>SUM(V19:V25)</f>
        <v/>
      </c>
      <c r="W26" s="618">
        <f>SUM(W19:W25)</f>
        <v/>
      </c>
      <c r="X26" s="508" t="n"/>
    </row>
    <row r="27" ht="12.6" customHeight="1" s="1062">
      <c r="A27" s="1080" t="n"/>
      <c r="B27" s="80" t="n"/>
      <c r="C27" s="80" t="n"/>
      <c r="D27" s="87" t="n"/>
      <c r="E27" s="80" t="n"/>
      <c r="F27" s="80" t="n"/>
      <c r="G27" s="80" t="n"/>
      <c r="H27" s="80" t="n"/>
      <c r="I27" s="934" t="n"/>
      <c r="J27" s="1096" t="n"/>
      <c r="K27" s="82" t="inlineStr">
        <is>
          <t>稼働率</t>
        </is>
      </c>
      <c r="L27" s="528">
        <f>L26/($H$26*L3)</f>
        <v/>
      </c>
      <c r="M27" s="528">
        <f>M26/($H$26*M3)</f>
        <v/>
      </c>
      <c r="N27" s="528">
        <f>N26/($H$26*N3)</f>
        <v/>
      </c>
      <c r="O27" s="528">
        <f>O26/($H$26*O3)</f>
        <v/>
      </c>
      <c r="P27" s="528">
        <f>P26/($H$26*P3)</f>
        <v/>
      </c>
      <c r="Q27" s="528">
        <f>Q26/($H$26*Q3)</f>
        <v/>
      </c>
      <c r="R27" s="528">
        <f>R26/($H$26*R3)</f>
        <v/>
      </c>
      <c r="S27" s="528">
        <f>S26/($H$26*S3)</f>
        <v/>
      </c>
      <c r="T27" s="528">
        <f>T26/($H$26*T3)</f>
        <v/>
      </c>
      <c r="U27" s="528">
        <f>U26/($H$26*U3)</f>
        <v/>
      </c>
      <c r="V27" s="528">
        <f>V26/($H$26*V3)</f>
        <v/>
      </c>
      <c r="W27" s="528">
        <f>W26/($H$26*W3)</f>
        <v/>
      </c>
      <c r="X27" s="507" t="n"/>
    </row>
    <row r="28" ht="12.6" customFormat="1" customHeight="1" s="500">
      <c r="A28" s="930" t="inlineStr">
        <is>
          <t>DA</t>
        </is>
      </c>
      <c r="B28" s="1082" t="n">
        <v>2</v>
      </c>
      <c r="C28" s="841" t="inlineStr">
        <is>
          <t>DA01</t>
        </is>
      </c>
      <c r="D28" s="842" t="inlineStr">
        <is>
          <t>卓上ボール盤</t>
        </is>
      </c>
      <c r="E28" s="340" t="inlineStr">
        <is>
          <t>0181-AA</t>
        </is>
      </c>
      <c r="F28" s="352" t="inlineStr">
        <is>
          <t>YOSHIDA(ＶＮＭ改造)</t>
        </is>
      </c>
      <c r="G28" s="340" t="inlineStr">
        <is>
          <t>XY座標付</t>
        </is>
      </c>
      <c r="H28" s="843" t="n">
        <v>910</v>
      </c>
      <c r="I28" s="844" t="inlineStr">
        <is>
          <t>C</t>
        </is>
      </c>
      <c r="J28" s="844" t="inlineStr">
        <is>
          <t>多量品穴加工用</t>
        </is>
      </c>
      <c r="K28" s="850" t="n"/>
      <c r="L28" s="1118" t="n">
        <v>0</v>
      </c>
      <c r="M28" s="1119" t="n">
        <v>0</v>
      </c>
      <c r="N28" s="1120" t="n">
        <v>0</v>
      </c>
      <c r="O28" s="1118" t="n"/>
      <c r="P28" s="1119" t="n"/>
      <c r="Q28" s="1119" t="n"/>
      <c r="R28" s="1119" t="n"/>
      <c r="S28" s="1119" t="n"/>
      <c r="T28" s="1118" t="n"/>
      <c r="U28" s="1118" t="n"/>
      <c r="V28" s="1118" t="n"/>
      <c r="W28" s="1121" t="n"/>
      <c r="X28" s="509" t="n"/>
    </row>
    <row r="29" ht="12.6" customHeight="1" s="1062">
      <c r="A29" s="1069" t="n"/>
      <c r="B29" s="1087" t="n"/>
      <c r="C29" s="860" t="inlineStr">
        <is>
          <t>DA04</t>
        </is>
      </c>
      <c r="D29" s="861" t="inlineStr">
        <is>
          <t>ﾗｼﾞｱﾙﾎﾞｰﾙ盤</t>
        </is>
      </c>
      <c r="E29" s="343" t="inlineStr">
        <is>
          <t>0184-AA</t>
        </is>
      </c>
      <c r="F29" s="343" t="inlineStr">
        <is>
          <t>OKUMA</t>
        </is>
      </c>
      <c r="G29" s="343" t="inlineStr">
        <is>
          <t>DMB-YH152R</t>
        </is>
      </c>
      <c r="H29" s="862" t="n">
        <v>910</v>
      </c>
      <c r="I29" s="863" t="inlineStr">
        <is>
          <t>B</t>
        </is>
      </c>
      <c r="J29" s="863" t="inlineStr">
        <is>
          <t>ネジ加工専用</t>
        </is>
      </c>
      <c r="K29" s="114" t="n"/>
      <c r="L29" s="1122" t="n">
        <v>8420</v>
      </c>
      <c r="M29" s="1123" t="n">
        <v>6820</v>
      </c>
      <c r="N29" s="1124" t="n">
        <v>9833</v>
      </c>
      <c r="O29" s="1122" t="n"/>
      <c r="P29" s="1123" t="n"/>
      <c r="Q29" s="1123" t="n"/>
      <c r="R29" s="1123" t="n"/>
      <c r="S29" s="1123" t="n"/>
      <c r="T29" s="1123" t="n"/>
      <c r="U29" s="1123" t="n"/>
      <c r="V29" s="1123" t="n"/>
      <c r="W29" s="1125" t="n"/>
      <c r="X29" s="511" t="n"/>
    </row>
    <row r="30" ht="12.6" customHeight="1" s="1062">
      <c r="A30" s="1069" t="n"/>
      <c r="B30" s="1091" t="n"/>
      <c r="C30" s="71" t="n"/>
      <c r="D30" s="72" t="n"/>
      <c r="E30" s="71" t="n"/>
      <c r="F30" s="71" t="n"/>
      <c r="G30" s="71" t="n"/>
      <c r="H30" s="71" t="n"/>
      <c r="I30" s="73" t="n"/>
      <c r="J30" s="89" t="n"/>
      <c r="K30" s="120" t="n"/>
      <c r="L30" s="1117" t="n"/>
      <c r="M30" s="1078" t="n"/>
      <c r="N30" s="1117" t="n"/>
      <c r="O30" s="1117" t="n"/>
      <c r="P30" s="1078" t="n"/>
      <c r="Q30" s="1078" t="n"/>
      <c r="R30" s="1078" t="n"/>
      <c r="S30" s="1078" t="n"/>
      <c r="T30" s="1078" t="n"/>
      <c r="U30" s="1078" t="n"/>
      <c r="V30" s="1078" t="n"/>
      <c r="W30" s="1094" t="n"/>
      <c r="X30" s="505" t="n"/>
    </row>
    <row r="31" ht="12.6" customHeight="1" s="1062">
      <c r="A31" s="1069" t="n"/>
      <c r="B31" s="76" t="n"/>
      <c r="C31" s="76" t="n"/>
      <c r="D31" s="86" t="n"/>
      <c r="E31" s="76" t="n"/>
      <c r="F31" s="76" t="n"/>
      <c r="G31" s="76" t="n"/>
      <c r="H31" s="77">
        <f>SUM(H28:H30)</f>
        <v/>
      </c>
      <c r="I31" s="935" t="n"/>
      <c r="J31" s="934" t="inlineStr">
        <is>
          <t>DA</t>
        </is>
      </c>
      <c r="K31" s="79" t="inlineStr">
        <is>
          <t>合計</t>
        </is>
      </c>
      <c r="L31" s="620">
        <f>SUM(L28:L30)</f>
        <v/>
      </c>
      <c r="M31" s="620">
        <f>SUM(M28:M30)</f>
        <v/>
      </c>
      <c r="N31" s="831">
        <f>SUM(N28:N30)</f>
        <v/>
      </c>
      <c r="O31" s="620">
        <f>SUM(O28:O30)</f>
        <v/>
      </c>
      <c r="P31" s="620">
        <f>SUM(P28:P30)</f>
        <v/>
      </c>
      <c r="Q31" s="620">
        <f>SUM(Q28:Q30)</f>
        <v/>
      </c>
      <c r="R31" s="620">
        <f>SUM(R28:R30)</f>
        <v/>
      </c>
      <c r="S31" s="620">
        <f>SUM(S28:S30)</f>
        <v/>
      </c>
      <c r="T31" s="620">
        <f>SUM(T28:T30)</f>
        <v/>
      </c>
      <c r="U31" s="620">
        <f>SUM(U28:U30)</f>
        <v/>
      </c>
      <c r="V31" s="620">
        <f>SUM(V28:V30)</f>
        <v/>
      </c>
      <c r="W31" s="620">
        <f>SUM(W28:W30)</f>
        <v/>
      </c>
      <c r="X31" s="510" t="n"/>
    </row>
    <row r="32" ht="12.6" customHeight="1" s="1062">
      <c r="A32" s="1080" t="n"/>
      <c r="B32" s="80" t="n"/>
      <c r="C32" s="80" t="n"/>
      <c r="D32" s="87" t="n"/>
      <c r="E32" s="80" t="n"/>
      <c r="F32" s="80" t="n"/>
      <c r="G32" s="80" t="n"/>
      <c r="H32" s="80" t="n"/>
      <c r="I32" s="934" t="n"/>
      <c r="J32" s="1096" t="n"/>
      <c r="K32" s="82" t="inlineStr">
        <is>
          <t>稼働率</t>
        </is>
      </c>
      <c r="L32" s="867">
        <f>L31/($H$31*L3)</f>
        <v/>
      </c>
      <c r="M32" s="528">
        <f>M31/($H$31*M3)</f>
        <v/>
      </c>
      <c r="N32" s="528">
        <f>N31/($H$31*N3)</f>
        <v/>
      </c>
      <c r="O32" s="528">
        <f>O31/($H$31*O3)</f>
        <v/>
      </c>
      <c r="P32" s="528">
        <f>P31/($H$31*P3)</f>
        <v/>
      </c>
      <c r="Q32" s="528">
        <f>Q31/($H$31*Q3)</f>
        <v/>
      </c>
      <c r="R32" s="528">
        <f>R31/($H$31*R3)</f>
        <v/>
      </c>
      <c r="S32" s="528">
        <f>S31/($H$31*S3)</f>
        <v/>
      </c>
      <c r="T32" s="528">
        <f>T31/($H$31*T3)</f>
        <v/>
      </c>
      <c r="U32" s="528">
        <f>U31/($H$31*U3)</f>
        <v/>
      </c>
      <c r="V32" s="528">
        <f>V31/($H$31*V3)</f>
        <v/>
      </c>
      <c r="W32" s="528">
        <f>W31/($H$31*W3)</f>
        <v/>
      </c>
      <c r="X32" s="507" t="n"/>
    </row>
    <row r="33" ht="12.6" customHeight="1" s="1062">
      <c r="A33" s="930" t="inlineStr">
        <is>
          <t>HT</t>
        </is>
      </c>
      <c r="B33" s="939" t="n">
        <v>4</v>
      </c>
      <c r="C33" s="353" t="inlineStr">
        <is>
          <t>HT01</t>
        </is>
      </c>
      <c r="D33" s="354" t="inlineStr">
        <is>
          <t>電気炉(焼入れ)</t>
        </is>
      </c>
      <c r="E33" s="340" t="inlineStr">
        <is>
          <t>0200-AA</t>
        </is>
      </c>
      <c r="F33" s="340" t="inlineStr">
        <is>
          <t>THERMAL</t>
        </is>
      </c>
      <c r="G33" s="340" t="inlineStr">
        <is>
          <t>RBM4/K</t>
        </is>
      </c>
      <c r="H33" s="843" t="n">
        <v>490</v>
      </c>
      <c r="I33" s="844" t="inlineStr">
        <is>
          <t>対象外</t>
        </is>
      </c>
      <c r="J33" s="578" t="n"/>
      <c r="K33" s="579" t="n"/>
      <c r="L33" s="1118" t="n">
        <v>0</v>
      </c>
      <c r="M33" s="1118" t="n">
        <v>0</v>
      </c>
      <c r="N33" s="1120" t="n">
        <v>0</v>
      </c>
      <c r="O33" s="1118" t="n"/>
      <c r="P33" s="1119" t="n"/>
      <c r="Q33" s="1119" t="n"/>
      <c r="R33" s="1119" t="n"/>
      <c r="S33" s="1119" t="n"/>
      <c r="T33" s="1119" t="n"/>
      <c r="U33" s="1118" t="n"/>
      <c r="V33" s="1118" t="n"/>
      <c r="W33" s="1126" t="n"/>
      <c r="X33" s="509" t="n"/>
    </row>
    <row r="34" ht="12.6" customHeight="1" s="1062">
      <c r="A34" s="1069" t="n"/>
      <c r="B34" s="1087" t="n"/>
      <c r="C34" s="147" t="inlineStr">
        <is>
          <t>HT02</t>
        </is>
      </c>
      <c r="D34" s="355" t="inlineStr">
        <is>
          <t>電気炉（焼戻し）</t>
        </is>
      </c>
      <c r="E34" s="343" t="inlineStr">
        <is>
          <t>0201-AA</t>
        </is>
      </c>
      <c r="F34" s="343" t="inlineStr">
        <is>
          <t>THERMAL</t>
        </is>
      </c>
      <c r="G34" s="343" t="inlineStr">
        <is>
          <t>TL-4</t>
        </is>
      </c>
      <c r="H34" s="862" t="n">
        <v>490</v>
      </c>
      <c r="I34" s="863" t="inlineStr">
        <is>
          <t>対象外</t>
        </is>
      </c>
      <c r="J34" s="886" t="n"/>
      <c r="K34" s="580" t="n"/>
      <c r="L34" s="1127" t="n">
        <v>0</v>
      </c>
      <c r="M34" s="1067" t="n">
        <v>0</v>
      </c>
      <c r="N34" s="1128" t="n">
        <v>0</v>
      </c>
      <c r="O34" s="1067" t="n"/>
      <c r="P34" s="1129" t="n"/>
      <c r="Q34" s="1129" t="n"/>
      <c r="R34" s="1129" t="n"/>
      <c r="S34" s="1129" t="n"/>
      <c r="T34" s="1129" t="n"/>
      <c r="U34" s="1067" t="n"/>
      <c r="V34" s="1067" t="n"/>
      <c r="W34" s="1130" t="n"/>
      <c r="X34" s="503" t="n"/>
    </row>
    <row r="35" ht="12.6" customHeight="1" s="1062">
      <c r="A35" s="1069" t="n"/>
      <c r="B35" s="1087" t="n"/>
      <c r="C35" s="147" t="inlineStr">
        <is>
          <t>HT05</t>
        </is>
      </c>
      <c r="D35" s="355" t="inlineStr">
        <is>
          <t>真空熱処理炉</t>
        </is>
      </c>
      <c r="E35" s="343" t="inlineStr">
        <is>
          <t>0781-AA</t>
        </is>
      </c>
      <c r="F35" s="343" t="inlineStr">
        <is>
          <t>NAKANIHON-RO</t>
        </is>
      </c>
      <c r="G35" s="343" t="inlineStr">
        <is>
          <t>NVF50P</t>
        </is>
      </c>
      <c r="H35" s="862" t="n">
        <v>490</v>
      </c>
      <c r="I35" s="863" t="inlineStr">
        <is>
          <t>対象外</t>
        </is>
      </c>
      <c r="J35" s="886" t="n"/>
      <c r="K35" s="580" t="n"/>
      <c r="L35" s="530" t="n">
        <v>14010</v>
      </c>
      <c r="M35" s="1129" t="n">
        <v>9620</v>
      </c>
      <c r="N35" s="1128" t="n">
        <v>15035</v>
      </c>
      <c r="O35" s="1067" t="n"/>
      <c r="P35" s="1129" t="n"/>
      <c r="Q35" s="1129" t="n"/>
      <c r="R35" s="1129" t="n"/>
      <c r="S35" s="1067" t="n"/>
      <c r="T35" s="1067" t="n"/>
      <c r="U35" s="1067" t="n"/>
      <c r="V35" s="1067" t="n"/>
      <c r="W35" s="1130" t="n"/>
      <c r="X35" s="503" t="n"/>
    </row>
    <row r="36" ht="12.6" customHeight="1" s="1062">
      <c r="A36" s="1069" t="n"/>
      <c r="B36" s="1087" t="n"/>
      <c r="C36" s="591" t="n"/>
      <c r="D36" s="592" t="n"/>
      <c r="E36" s="593" t="n"/>
      <c r="F36" s="593" t="n"/>
      <c r="G36" s="593" t="n"/>
      <c r="H36" s="358" t="n"/>
      <c r="I36" s="878" t="n"/>
      <c r="J36" s="594" t="n"/>
      <c r="K36" s="595" t="n"/>
      <c r="L36" s="1111" t="n"/>
      <c r="M36" s="1090" t="n"/>
      <c r="N36" s="1090" t="n"/>
      <c r="O36" s="1090" t="n"/>
      <c r="P36" s="1090" t="n"/>
      <c r="Q36" s="1090" t="n"/>
      <c r="R36" s="1073" t="n"/>
      <c r="S36" s="1073" t="n"/>
      <c r="T36" s="1073" t="n"/>
      <c r="U36" s="1073" t="n"/>
      <c r="V36" s="1073" t="n"/>
      <c r="W36" s="1131" t="n"/>
      <c r="X36" s="504" t="n"/>
    </row>
    <row r="37" ht="12.6" customHeight="1" s="1062">
      <c r="A37" s="1069" t="n"/>
      <c r="B37" s="597" t="n"/>
      <c r="C37" s="598" t="n"/>
      <c r="D37" s="599" t="n"/>
      <c r="E37" s="598" t="n"/>
      <c r="F37" s="598" t="n"/>
      <c r="G37" s="598" t="n"/>
      <c r="H37" s="600">
        <f>SUM(H33:H36)</f>
        <v/>
      </c>
      <c r="I37" s="933" t="n"/>
      <c r="J37" s="1095" t="inlineStr">
        <is>
          <t>HT</t>
        </is>
      </c>
      <c r="K37" s="601" t="inlineStr">
        <is>
          <t>合計</t>
        </is>
      </c>
      <c r="L37" s="625">
        <f>SUM(L33:L36)</f>
        <v/>
      </c>
      <c r="M37" s="625">
        <f>SUM(M33:M36)</f>
        <v/>
      </c>
      <c r="N37" s="832">
        <f>SUM(N33:N36)</f>
        <v/>
      </c>
      <c r="O37" s="625">
        <f>SUM(O33:O36)</f>
        <v/>
      </c>
      <c r="P37" s="625">
        <f>SUM(P33:P36)</f>
        <v/>
      </c>
      <c r="Q37" s="625">
        <f>SUM(Q33:Q36)</f>
        <v/>
      </c>
      <c r="R37" s="625">
        <f>SUM(R33:R36)</f>
        <v/>
      </c>
      <c r="S37" s="625">
        <f>SUM(S33:S36)</f>
        <v/>
      </c>
      <c r="T37" s="625">
        <f>SUM(T33:T36)</f>
        <v/>
      </c>
      <c r="U37" s="625">
        <f>SUM(U33:U36)</f>
        <v/>
      </c>
      <c r="V37" s="625">
        <f>SUM(V33:V36)</f>
        <v/>
      </c>
      <c r="W37" s="625">
        <f>SUM(W33:W36)</f>
        <v/>
      </c>
      <c r="X37" s="506" t="n"/>
    </row>
    <row r="38" ht="12.6" customFormat="1" customHeight="1" s="500">
      <c r="A38" s="1080" t="n"/>
      <c r="B38" s="602" t="n"/>
      <c r="C38" s="581" t="n"/>
      <c r="D38" s="582" t="n"/>
      <c r="E38" s="581" t="n"/>
      <c r="F38" s="581" t="n"/>
      <c r="G38" s="581" t="n"/>
      <c r="H38" s="581" t="n"/>
      <c r="I38" s="583" t="n"/>
      <c r="J38" s="1096" t="n"/>
      <c r="K38" s="82" t="inlineStr">
        <is>
          <t>稼働率</t>
        </is>
      </c>
      <c r="L38" s="528">
        <f>L37/($H$37*L3)</f>
        <v/>
      </c>
      <c r="M38" s="528">
        <f>M37/($H$37*M3)</f>
        <v/>
      </c>
      <c r="N38" s="528">
        <f>N37/($H$37*N3)</f>
        <v/>
      </c>
      <c r="O38" s="528">
        <f>O37/($H$37*O3)</f>
        <v/>
      </c>
      <c r="P38" s="528">
        <f>P37/($H$37*P3)</f>
        <v/>
      </c>
      <c r="Q38" s="528">
        <f>Q37/($H$37*Q3)</f>
        <v/>
      </c>
      <c r="R38" s="528">
        <f>R37/($H$37*R3)</f>
        <v/>
      </c>
      <c r="S38" s="528">
        <f>S37/($H$37*S3)</f>
        <v/>
      </c>
      <c r="T38" s="528">
        <f>T37/($H$37*T3)</f>
        <v/>
      </c>
      <c r="U38" s="528">
        <f>U37/($H$37*U3)</f>
        <v/>
      </c>
      <c r="V38" s="528">
        <f>V37/($H$37*V3)</f>
        <v/>
      </c>
      <c r="W38" s="528">
        <f>W37/($H$37*W3)</f>
        <v/>
      </c>
      <c r="X38" s="507" t="n"/>
    </row>
    <row r="39" ht="12" customFormat="1" customHeight="1" s="854">
      <c r="A39" s="950" t="inlineStr">
        <is>
          <t>LN</t>
        </is>
      </c>
      <c r="B39" s="1132" t="n">
        <v>2</v>
      </c>
      <c r="C39" s="841" t="inlineStr">
        <is>
          <t>LN01</t>
        </is>
      </c>
      <c r="D39" s="842" t="inlineStr">
        <is>
          <t>CNC旋盤</t>
        </is>
      </c>
      <c r="E39" s="340" t="inlineStr">
        <is>
          <t>0649-AA</t>
        </is>
      </c>
      <c r="F39" s="340" t="inlineStr">
        <is>
          <t>MAZAK</t>
        </is>
      </c>
      <c r="G39" s="340" t="inlineStr">
        <is>
          <t>QT Smart 200M</t>
        </is>
      </c>
      <c r="H39" s="843" t="n">
        <v>910</v>
      </c>
      <c r="I39" s="844" t="inlineStr">
        <is>
          <t>B</t>
        </is>
      </c>
      <c r="J39" s="844" t="n"/>
      <c r="K39" s="850" t="n"/>
      <c r="L39" s="529" t="n">
        <v>23009</v>
      </c>
      <c r="M39" s="106" t="n">
        <v>14812</v>
      </c>
      <c r="N39" s="1133" t="n">
        <v>27047</v>
      </c>
      <c r="O39" s="529" t="n"/>
      <c r="P39" s="106" t="n"/>
      <c r="Q39" s="106" t="n"/>
      <c r="R39" s="106" t="n"/>
      <c r="S39" s="106" t="n"/>
      <c r="T39" s="106" t="n"/>
      <c r="U39" s="106" t="n"/>
      <c r="V39" s="106" t="n"/>
      <c r="W39" s="107" t="n"/>
      <c r="X39" s="512" t="n"/>
      <c r="Y39" s="853" t="n"/>
    </row>
    <row r="40" ht="12.6" customFormat="1" customHeight="1" s="854">
      <c r="A40" s="1069" t="n"/>
      <c r="B40" s="1087" t="n"/>
      <c r="C40" s="860" t="inlineStr">
        <is>
          <t>LN02</t>
        </is>
      </c>
      <c r="D40" s="861" t="inlineStr">
        <is>
          <t>CNC旋盤</t>
        </is>
      </c>
      <c r="E40" s="343" t="inlineStr">
        <is>
          <t>0708-AA</t>
        </is>
      </c>
      <c r="F40" s="343" t="inlineStr">
        <is>
          <t>MAZAK</t>
        </is>
      </c>
      <c r="G40" s="343" t="inlineStr">
        <is>
          <t>QUICK TURN 200MY(500U)</t>
        </is>
      </c>
      <c r="H40" s="862" t="n">
        <v>910</v>
      </c>
      <c r="I40" s="863" t="inlineStr">
        <is>
          <t>B</t>
        </is>
      </c>
      <c r="J40" s="863" t="n"/>
      <c r="K40" s="114" t="n"/>
      <c r="L40" s="530" t="n">
        <v>25628</v>
      </c>
      <c r="M40" s="115" t="n">
        <v>20299</v>
      </c>
      <c r="N40" s="1065" t="n">
        <v>30750</v>
      </c>
      <c r="O40" s="530" t="n"/>
      <c r="P40" s="115" t="n"/>
      <c r="Q40" s="115" t="n"/>
      <c r="R40" s="115" t="n"/>
      <c r="S40" s="115" t="n"/>
      <c r="T40" s="115" t="n"/>
      <c r="U40" s="115" t="n"/>
      <c r="V40" s="115" t="n"/>
      <c r="W40" s="116" t="n"/>
      <c r="X40" s="513" t="n"/>
      <c r="Y40" s="853" t="n"/>
    </row>
    <row r="41" ht="12.6" customFormat="1" customHeight="1" s="854">
      <c r="A41" s="1069" t="n"/>
      <c r="B41" s="1091" t="n"/>
      <c r="C41" s="884" t="n"/>
      <c r="D41" s="117" t="n"/>
      <c r="E41" s="117" t="n"/>
      <c r="F41" s="117" t="n"/>
      <c r="G41" s="118" t="n"/>
      <c r="H41" s="119" t="n"/>
      <c r="I41" s="119" t="n"/>
      <c r="J41" s="63" t="n"/>
      <c r="K41" s="120" t="n"/>
      <c r="L41" s="531" t="n"/>
      <c r="M41" s="121" t="n"/>
      <c r="N41" s="531" t="n"/>
      <c r="O41" s="531" t="n"/>
      <c r="P41" s="121" t="n"/>
      <c r="Q41" s="121" t="n"/>
      <c r="R41" s="121" t="n"/>
      <c r="S41" s="121" t="n"/>
      <c r="T41" s="121" t="n"/>
      <c r="U41" s="121" t="n"/>
      <c r="V41" s="121" t="n"/>
      <c r="W41" s="122" t="n"/>
      <c r="X41" s="514" t="n"/>
      <c r="Y41" s="853" t="n"/>
    </row>
    <row r="42" ht="12.6" customFormat="1" customHeight="1" s="854">
      <c r="A42" s="1069" t="n"/>
      <c r="B42" s="123" t="n"/>
      <c r="C42" s="948" t="n"/>
      <c r="D42" s="123" t="n"/>
      <c r="E42" s="123" t="n"/>
      <c r="F42" s="123" t="n"/>
      <c r="G42" s="123" t="n"/>
      <c r="H42" s="125">
        <f>SUM(H39:H41)</f>
        <v/>
      </c>
      <c r="I42" s="123" t="n"/>
      <c r="J42" s="948" t="inlineStr">
        <is>
          <t>LN</t>
        </is>
      </c>
      <c r="K42" s="126" t="inlineStr">
        <is>
          <t>合計</t>
        </is>
      </c>
      <c r="L42" s="622">
        <f>SUM(L39:L41)</f>
        <v/>
      </c>
      <c r="M42" s="623">
        <f>SUM(M39:M41)</f>
        <v/>
      </c>
      <c r="N42" s="833">
        <f>SUM(N39:N41)</f>
        <v/>
      </c>
      <c r="O42" s="623">
        <f>SUM(O39:O41)</f>
        <v/>
      </c>
      <c r="P42" s="623">
        <f>SUM(P39:P41)</f>
        <v/>
      </c>
      <c r="Q42" s="623">
        <f>SUM(Q39:Q41)</f>
        <v/>
      </c>
      <c r="R42" s="623">
        <f>SUM(R39:R41)</f>
        <v/>
      </c>
      <c r="S42" s="623">
        <f>SUM(S39:S41)</f>
        <v/>
      </c>
      <c r="T42" s="623">
        <f>SUM(T39:T41)</f>
        <v/>
      </c>
      <c r="U42" s="623">
        <f>SUM(U39:U41)</f>
        <v/>
      </c>
      <c r="V42" s="623">
        <f>SUM(V39:V41)</f>
        <v/>
      </c>
      <c r="W42" s="623">
        <f>SUM(W39:W41)</f>
        <v/>
      </c>
      <c r="X42" s="515" t="n"/>
    </row>
    <row r="43" ht="12.6" customFormat="1" customHeight="1" s="854">
      <c r="A43" s="1069" t="n"/>
      <c r="B43" s="123" t="n"/>
      <c r="C43" s="949" t="n"/>
      <c r="D43" s="138" t="n"/>
      <c r="E43" s="138" t="n"/>
      <c r="F43" s="138" t="n"/>
      <c r="G43" s="138" t="n"/>
      <c r="H43" s="138" t="n"/>
      <c r="I43" s="138" t="n"/>
      <c r="K43" s="127" t="inlineStr">
        <is>
          <t>稼働率</t>
        </is>
      </c>
      <c r="L43" s="536">
        <f>L42/($H$42*L2)</f>
        <v/>
      </c>
      <c r="M43" s="536">
        <f>M42/($H$42*M2)</f>
        <v/>
      </c>
      <c r="N43" s="536">
        <f>N42/($H$42*N2)</f>
        <v/>
      </c>
      <c r="O43" s="536">
        <f>O42/($H$42*O2)</f>
        <v/>
      </c>
      <c r="P43" s="536">
        <f>P42/($H$42*P2)</f>
        <v/>
      </c>
      <c r="Q43" s="536">
        <f>Q42/($H$42*Q2)</f>
        <v/>
      </c>
      <c r="R43" s="536">
        <f>R42/($H$42*R2)</f>
        <v/>
      </c>
      <c r="S43" s="536">
        <f>S42/($H$42*S2)</f>
        <v/>
      </c>
      <c r="T43" s="536">
        <f>T42/($H$42*T2)</f>
        <v/>
      </c>
      <c r="U43" s="536">
        <f>U42/($H$42*U2)</f>
        <v/>
      </c>
      <c r="V43" s="536">
        <f>V42/($H$42*V2)</f>
        <v/>
      </c>
      <c r="W43" s="536">
        <f>W42/($H$42*W2)</f>
        <v/>
      </c>
      <c r="X43" s="516" t="n"/>
    </row>
    <row r="44" ht="12.6" customFormat="1" customHeight="1" s="854">
      <c r="A44" s="1134" t="inlineStr">
        <is>
          <t>MC</t>
        </is>
      </c>
      <c r="B44" s="1132" t="n">
        <v>3</v>
      </c>
      <c r="C44" s="841" t="inlineStr">
        <is>
          <t>MC1</t>
        </is>
      </c>
      <c r="D44" s="842" t="inlineStr">
        <is>
          <t>一般ﾏｼﾆﾝｸﾞｾﾝﾀ</t>
        </is>
      </c>
      <c r="E44" s="855" t="inlineStr">
        <is>
          <t>0645-AA</t>
        </is>
      </c>
      <c r="F44" s="855" t="inlineStr">
        <is>
          <t>MAZAK</t>
        </is>
      </c>
      <c r="G44" s="855" t="inlineStr">
        <is>
          <t>SMART430A</t>
        </is>
      </c>
      <c r="H44" s="843" t="n">
        <v>910</v>
      </c>
      <c r="I44" s="858" t="inlineStr">
        <is>
          <t>B</t>
        </is>
      </c>
      <c r="J44" s="844" t="n"/>
      <c r="K44" s="850" t="n"/>
      <c r="L44" s="140" t="n">
        <v>24069</v>
      </c>
      <c r="M44" s="106" t="n">
        <v>15339</v>
      </c>
      <c r="N44" s="1135" t="n">
        <v>31366</v>
      </c>
      <c r="O44" s="140" t="n"/>
      <c r="P44" s="106" t="n"/>
      <c r="Q44" s="106" t="n"/>
      <c r="R44" s="106" t="n"/>
      <c r="S44" s="106" t="n"/>
      <c r="T44" s="106" t="n"/>
      <c r="U44" s="106" t="n"/>
      <c r="V44" s="106" t="n"/>
      <c r="W44" s="107" t="n"/>
      <c r="X44" s="512" t="n"/>
      <c r="Y44" s="853" t="n"/>
    </row>
    <row r="45" ht="12.6" customFormat="1" customHeight="1" s="854">
      <c r="A45" s="1069" t="n"/>
      <c r="B45" s="1087" t="n"/>
      <c r="C45" s="346" t="inlineStr">
        <is>
          <t>MC2</t>
        </is>
      </c>
      <c r="D45" s="347" t="inlineStr">
        <is>
          <t>一般ﾏｼﾆﾝｸﾞｾﾝﾀ</t>
        </is>
      </c>
      <c r="E45" s="357" t="inlineStr">
        <is>
          <t>0669-AA</t>
        </is>
      </c>
      <c r="F45" s="357" t="inlineStr">
        <is>
          <t>MAZAK</t>
        </is>
      </c>
      <c r="G45" s="357" t="inlineStr">
        <is>
          <t>SMART430A</t>
        </is>
      </c>
      <c r="H45" s="358" t="n">
        <v>910</v>
      </c>
      <c r="I45" s="880" t="inlineStr">
        <is>
          <t>B</t>
        </is>
      </c>
      <c r="J45" s="863" t="n"/>
      <c r="K45" s="114" t="n"/>
      <c r="L45" s="129" t="n">
        <v>20892</v>
      </c>
      <c r="M45" s="115" t="n">
        <v>15143</v>
      </c>
      <c r="N45" s="1136" t="n">
        <v>24112</v>
      </c>
      <c r="O45" s="129" t="n"/>
      <c r="P45" s="129" t="n"/>
      <c r="Q45" s="129" t="n"/>
      <c r="R45" s="129" t="n"/>
      <c r="S45" s="129" t="n"/>
      <c r="T45" s="129" t="n"/>
      <c r="U45" s="129" t="n"/>
      <c r="V45" s="129" t="n"/>
      <c r="W45" s="130" t="n"/>
      <c r="X45" s="517" t="n"/>
      <c r="Y45" s="853" t="n"/>
    </row>
    <row r="46" ht="12.6" customFormat="1" customHeight="1" s="854">
      <c r="A46" s="1069" t="n"/>
      <c r="B46" s="1087" t="n"/>
      <c r="C46" s="349" t="inlineStr">
        <is>
          <t>MC3</t>
        </is>
      </c>
      <c r="D46" s="861" t="inlineStr">
        <is>
          <t>高精度ﾏｼﾆﾝｸﾞｾﾝﾀ</t>
        </is>
      </c>
      <c r="E46" s="359" t="inlineStr">
        <is>
          <t>0769-AA</t>
        </is>
      </c>
      <c r="F46" s="359" t="inlineStr">
        <is>
          <t>MAKINO</t>
        </is>
      </c>
      <c r="G46" s="360" t="inlineStr">
        <is>
          <t>V33i (3R システム)</t>
        </is>
      </c>
      <c r="H46" s="361" t="n">
        <v>910</v>
      </c>
      <c r="I46" s="881" t="inlineStr">
        <is>
          <t>B</t>
        </is>
      </c>
      <c r="J46" s="863" t="n"/>
      <c r="K46" s="114" t="n"/>
      <c r="L46" s="129" t="n">
        <v>24294</v>
      </c>
      <c r="M46" s="115" t="n">
        <v>17557</v>
      </c>
      <c r="N46" s="1136" t="n">
        <v>30516</v>
      </c>
      <c r="O46" s="129" t="n"/>
      <c r="P46" s="129" t="n"/>
      <c r="Q46" s="129" t="n"/>
      <c r="R46" s="129" t="n"/>
      <c r="S46" s="129" t="n"/>
      <c r="T46" s="129" t="n"/>
      <c r="U46" s="129" t="n"/>
      <c r="V46" s="129" t="n"/>
      <c r="W46" s="130" t="n"/>
      <c r="X46" s="517" t="n"/>
      <c r="Y46" s="853" t="n"/>
    </row>
    <row r="47" ht="12.6" customFormat="1" customHeight="1" s="854">
      <c r="A47" s="1069" t="n"/>
      <c r="B47" s="1087" t="n"/>
      <c r="C47" s="885" t="n"/>
      <c r="D47" s="111" t="n"/>
      <c r="E47" s="111" t="n"/>
      <c r="F47" s="111" t="n"/>
      <c r="G47" s="131" t="n"/>
      <c r="H47" s="112" t="n"/>
      <c r="I47" s="112" t="n"/>
      <c r="J47" s="863" t="n"/>
      <c r="K47" s="114" t="n"/>
      <c r="L47" s="530" t="n"/>
      <c r="M47" s="115" t="n"/>
      <c r="N47" s="530" t="n"/>
      <c r="O47" s="530" t="n"/>
      <c r="P47" s="129" t="n"/>
      <c r="Q47" s="129" t="n"/>
      <c r="R47" s="129" t="n"/>
      <c r="S47" s="129" t="n"/>
      <c r="T47" s="129" t="n"/>
      <c r="U47" s="129" t="n"/>
      <c r="V47" s="129" t="n"/>
      <c r="W47" s="130" t="n"/>
      <c r="X47" s="517" t="n"/>
      <c r="Y47" s="853" t="n"/>
    </row>
    <row r="48" ht="12.6" customFormat="1" customHeight="1" s="854">
      <c r="A48" s="1069" t="n"/>
      <c r="B48" s="1091" t="n"/>
      <c r="C48" s="884" t="n"/>
      <c r="D48" s="117" t="n"/>
      <c r="E48" s="117" t="n"/>
      <c r="F48" s="117" t="n"/>
      <c r="G48" s="132" t="n"/>
      <c r="H48" s="119" t="n"/>
      <c r="I48" s="119" t="n"/>
      <c r="J48" s="63" t="n"/>
      <c r="K48" s="120" t="n"/>
      <c r="L48" s="531" t="n"/>
      <c r="M48" s="121" t="n"/>
      <c r="N48" s="531" t="n"/>
      <c r="O48" s="531" t="n"/>
      <c r="P48" s="133" t="n"/>
      <c r="Q48" s="133" t="n"/>
      <c r="R48" s="133" t="n"/>
      <c r="S48" s="133" t="n"/>
      <c r="T48" s="133" t="n"/>
      <c r="U48" s="133" t="n"/>
      <c r="V48" s="133" t="n"/>
      <c r="W48" s="134" t="n"/>
      <c r="X48" s="518" t="n"/>
      <c r="Y48" s="853" t="n"/>
    </row>
    <row r="49" ht="12.6" customFormat="1" customHeight="1" s="854">
      <c r="A49" s="1069" t="n"/>
      <c r="B49" s="123" t="n"/>
      <c r="C49" s="135" t="n"/>
      <c r="D49" s="123" t="n"/>
      <c r="E49" s="123" t="n"/>
      <c r="F49" s="123" t="n"/>
      <c r="G49" s="123" t="n"/>
      <c r="H49" s="125">
        <f>SUM(H44:H48)</f>
        <v/>
      </c>
      <c r="I49" s="123" t="n"/>
      <c r="J49" s="948" t="inlineStr">
        <is>
          <t>MC</t>
        </is>
      </c>
      <c r="K49" s="79" t="inlineStr">
        <is>
          <t>合計</t>
        </is>
      </c>
      <c r="L49" s="624">
        <f>SUM(L44:L48)</f>
        <v/>
      </c>
      <c r="M49" s="624">
        <f>SUM(M44:M48)</f>
        <v/>
      </c>
      <c r="N49" s="834">
        <f>SUM(N44:N48)</f>
        <v/>
      </c>
      <c r="O49" s="624">
        <f>SUM(O44:O48)</f>
        <v/>
      </c>
      <c r="P49" s="624">
        <f>SUM(P44:P48)</f>
        <v/>
      </c>
      <c r="Q49" s="624">
        <f>SUM(Q44:Q48)</f>
        <v/>
      </c>
      <c r="R49" s="624">
        <f>SUM(R44:R48)</f>
        <v/>
      </c>
      <c r="S49" s="624">
        <f>SUM(S44:S48)</f>
        <v/>
      </c>
      <c r="T49" s="624">
        <f>SUM(T44:T48)</f>
        <v/>
      </c>
      <c r="U49" s="624">
        <f>SUM(U44:U48)</f>
        <v/>
      </c>
      <c r="V49" s="624">
        <f>SUM(V44:V48)</f>
        <v/>
      </c>
      <c r="W49" s="624">
        <f>SUM(W44:W48)</f>
        <v/>
      </c>
      <c r="X49" s="515" t="n"/>
    </row>
    <row r="50" ht="12.6" customFormat="1" customHeight="1" s="854">
      <c r="A50" s="1080" t="n"/>
      <c r="B50" s="123" t="n"/>
      <c r="C50" s="135" t="n"/>
      <c r="D50" s="123" t="n"/>
      <c r="E50" s="123" t="n"/>
      <c r="F50" s="123" t="n"/>
      <c r="G50" s="123" t="n"/>
      <c r="H50" s="123" t="n"/>
      <c r="I50" s="123" t="n"/>
      <c r="K50" s="104" t="inlineStr">
        <is>
          <t>稼働率</t>
        </is>
      </c>
      <c r="L50" s="533">
        <f>L49/($H$49*L2)</f>
        <v/>
      </c>
      <c r="M50" s="533">
        <f>M49/($H$49*M2)</f>
        <v/>
      </c>
      <c r="N50" s="533">
        <f>N49/($H$49*N2)</f>
        <v/>
      </c>
      <c r="O50" s="533">
        <f>O49/($H$49*O2)</f>
        <v/>
      </c>
      <c r="P50" s="533">
        <f>P49/($H$49*P2)</f>
        <v/>
      </c>
      <c r="Q50" s="533">
        <f>Q49/($H$49*Q2)</f>
        <v/>
      </c>
      <c r="R50" s="533">
        <f>R49/($H$49*R2)</f>
        <v/>
      </c>
      <c r="S50" s="533">
        <f>S49/($H$49*S2)</f>
        <v/>
      </c>
      <c r="T50" s="533">
        <f>T49/($H$49*T2)</f>
        <v/>
      </c>
      <c r="U50" s="533">
        <f>U49/($H$49*U2)</f>
        <v/>
      </c>
      <c r="V50" s="533">
        <f>V49/($H$49*V2)</f>
        <v/>
      </c>
      <c r="W50" s="533">
        <f>W49/($H$49*W2)</f>
        <v/>
      </c>
      <c r="X50" s="516" t="n"/>
    </row>
    <row r="51" ht="12.6" customFormat="1" customHeight="1" s="854">
      <c r="A51" s="944" t="inlineStr">
        <is>
          <t>ED</t>
        </is>
      </c>
      <c r="B51" s="1132" t="n">
        <v>2</v>
      </c>
      <c r="C51" s="353" t="inlineStr">
        <is>
          <t>ED01</t>
        </is>
      </c>
      <c r="D51" s="354" t="inlineStr">
        <is>
          <t>細穴放電加工機</t>
        </is>
      </c>
      <c r="E51" s="855" t="inlineStr">
        <is>
          <t>0196-AA</t>
        </is>
      </c>
      <c r="F51" s="855" t="inlineStr">
        <is>
          <t>Sodick</t>
        </is>
      </c>
      <c r="G51" s="855" t="inlineStr">
        <is>
          <t>K1C</t>
        </is>
      </c>
      <c r="H51" s="843" t="n">
        <v>910</v>
      </c>
      <c r="I51" s="844" t="inlineStr">
        <is>
          <t>C</t>
        </is>
      </c>
      <c r="J51" s="844" t="n"/>
      <c r="K51" s="105" t="n"/>
      <c r="L51" s="1118" t="n">
        <v>0</v>
      </c>
      <c r="M51" s="1118" t="n">
        <v>0</v>
      </c>
      <c r="N51" s="1133" t="n">
        <v>0</v>
      </c>
      <c r="O51" s="529" t="n"/>
      <c r="P51" s="106" t="n"/>
      <c r="Q51" s="106" t="n"/>
      <c r="R51" s="106" t="n"/>
      <c r="S51" s="106" t="n"/>
      <c r="T51" s="529" t="n"/>
      <c r="U51" s="529" t="n"/>
      <c r="V51" s="529" t="n"/>
      <c r="W51" s="107" t="n"/>
      <c r="X51" s="512" t="n"/>
      <c r="Y51" s="853" t="n"/>
    </row>
    <row r="52" ht="12.6" customFormat="1" customHeight="1" s="854">
      <c r="A52" s="1069" t="n"/>
      <c r="B52" s="1087" t="n"/>
      <c r="C52" s="464" t="inlineStr">
        <is>
          <t>ED02</t>
        </is>
      </c>
      <c r="D52" s="465" t="inlineStr">
        <is>
          <t>細穴放電加工機</t>
        </is>
      </c>
      <c r="E52" s="466" t="inlineStr">
        <is>
          <t>0776-AA</t>
        </is>
      </c>
      <c r="F52" s="466" t="inlineStr">
        <is>
          <t>Sodick</t>
        </is>
      </c>
      <c r="G52" s="466" t="inlineStr">
        <is>
          <t>K3HS</t>
        </is>
      </c>
      <c r="H52" s="467" t="n">
        <v>910</v>
      </c>
      <c r="I52" s="882" t="inlineStr">
        <is>
          <t>A</t>
        </is>
      </c>
      <c r="J52" s="882" t="n"/>
      <c r="K52" s="114" t="n"/>
      <c r="L52" s="530" t="n">
        <v>9745</v>
      </c>
      <c r="M52" s="365" t="n">
        <v>4140</v>
      </c>
      <c r="N52" s="1137" t="n">
        <v>9329</v>
      </c>
      <c r="O52" s="534" t="n"/>
      <c r="P52" s="365" t="n"/>
      <c r="Q52" s="365" t="n"/>
      <c r="R52" s="365" t="n"/>
      <c r="S52" s="365" t="n"/>
      <c r="T52" s="365" t="n"/>
      <c r="U52" s="365" t="n"/>
      <c r="V52" s="365" t="n"/>
      <c r="W52" s="366" t="n"/>
      <c r="X52" s="519" t="n"/>
      <c r="Y52" s="853" t="n"/>
    </row>
    <row r="53" ht="12.6" customFormat="1" customHeight="1" s="854">
      <c r="A53" s="1069" t="n"/>
      <c r="B53" s="1091" t="n"/>
      <c r="C53" s="136" t="n"/>
      <c r="D53" s="117" t="n"/>
      <c r="E53" s="117" t="n"/>
      <c r="F53" s="117" t="n"/>
      <c r="G53" s="117" t="n"/>
      <c r="H53" s="119" t="n"/>
      <c r="I53" s="119" t="n"/>
      <c r="J53" s="63" t="n"/>
      <c r="K53" s="120" t="n"/>
      <c r="L53" s="531" t="n"/>
      <c r="M53" s="121" t="n"/>
      <c r="N53" s="531" t="n"/>
      <c r="O53" s="531" t="n"/>
      <c r="P53" s="121" t="n"/>
      <c r="Q53" s="121" t="n"/>
      <c r="R53" s="121" t="n"/>
      <c r="S53" s="137" t="n"/>
      <c r="T53" s="121" t="n"/>
      <c r="U53" s="121" t="n"/>
      <c r="V53" s="121" t="n"/>
      <c r="W53" s="122" t="n"/>
      <c r="X53" s="514" t="n"/>
      <c r="Y53" s="853" t="n"/>
    </row>
    <row r="54" ht="12.6" customFormat="1" customHeight="1" s="854">
      <c r="A54" s="1069" t="n"/>
      <c r="B54" s="123" t="n"/>
      <c r="C54" s="948" t="n"/>
      <c r="D54" s="123" t="n"/>
      <c r="E54" s="123" t="n"/>
      <c r="F54" s="123" t="n"/>
      <c r="G54" s="123" t="n"/>
      <c r="H54" s="125">
        <f>SUM(H51:H53)</f>
        <v/>
      </c>
      <c r="I54" s="123" t="n"/>
      <c r="J54" s="949" t="inlineStr">
        <is>
          <t>ED</t>
        </is>
      </c>
      <c r="K54" s="79" t="inlineStr">
        <is>
          <t>合計</t>
        </is>
      </c>
      <c r="L54" s="623">
        <f>SUM(L51:L53)</f>
        <v/>
      </c>
      <c r="M54" s="623">
        <f>SUM(M51:M53)</f>
        <v/>
      </c>
      <c r="N54" s="833">
        <f>SUM(N51:N53)</f>
        <v/>
      </c>
      <c r="O54" s="623">
        <f>SUM(O51:O53)</f>
        <v/>
      </c>
      <c r="P54" s="623">
        <f>SUM(P51:P53)</f>
        <v/>
      </c>
      <c r="Q54" s="623">
        <f>SUM(Q51:Q53)</f>
        <v/>
      </c>
      <c r="R54" s="623">
        <f>SUM(R51:R53)</f>
        <v/>
      </c>
      <c r="S54" s="623">
        <f>SUM(S51:S53)</f>
        <v/>
      </c>
      <c r="T54" s="623">
        <f>SUM(T51:T53)</f>
        <v/>
      </c>
      <c r="U54" s="623">
        <f>SUM(U51:U53)</f>
        <v/>
      </c>
      <c r="V54" s="623">
        <f>SUM(V51:V53)</f>
        <v/>
      </c>
      <c r="W54" s="623">
        <f>SUM(W51:W53)</f>
        <v/>
      </c>
      <c r="X54" s="515" t="n"/>
    </row>
    <row r="55" ht="12.6" customFormat="1" customHeight="1" s="854">
      <c r="A55" s="1080" t="n"/>
      <c r="B55" s="138" t="n"/>
      <c r="C55" s="949" t="n"/>
      <c r="D55" s="138" t="n"/>
      <c r="E55" s="138" t="n"/>
      <c r="F55" s="138" t="n"/>
      <c r="G55" s="138" t="n"/>
      <c r="H55" s="138" t="n"/>
      <c r="I55" s="138" t="n"/>
      <c r="J55" s="1096" t="n"/>
      <c r="K55" s="82" t="inlineStr">
        <is>
          <t>稼働率</t>
        </is>
      </c>
      <c r="L55" s="535">
        <f>L54/($H$54*L2)</f>
        <v/>
      </c>
      <c r="M55" s="535">
        <f>M54/($H$54*M2)</f>
        <v/>
      </c>
      <c r="N55" s="535">
        <f>N54/($H$54*N2)</f>
        <v/>
      </c>
      <c r="O55" s="535">
        <f>O54/($H$54*O2)</f>
        <v/>
      </c>
      <c r="P55" s="535">
        <f>P54/($H$54*P2)</f>
        <v/>
      </c>
      <c r="Q55" s="535">
        <f>Q54/($H$54*Q2)</f>
        <v/>
      </c>
      <c r="R55" s="535">
        <f>R54/($H$54*R2)</f>
        <v/>
      </c>
      <c r="S55" s="535">
        <f>S54/($H$54*S2)</f>
        <v/>
      </c>
      <c r="T55" s="535">
        <f>T54/($H$54*T2)</f>
        <v/>
      </c>
      <c r="U55" s="535">
        <f>U54/($H$54*U2)</f>
        <v/>
      </c>
      <c r="V55" s="535">
        <f>V54/($H$54*V2)</f>
        <v/>
      </c>
      <c r="W55" s="535">
        <f>W54/($H$54*W2)</f>
        <v/>
      </c>
      <c r="X55" s="520" t="n"/>
    </row>
    <row r="56" ht="12.6" customFormat="1" customHeight="1" s="93">
      <c r="A56" s="940" t="inlineStr">
        <is>
          <t>ES</t>
        </is>
      </c>
      <c r="B56" s="168" t="n">
        <v>0</v>
      </c>
      <c r="C56" s="91" t="n"/>
      <c r="D56" s="83" t="n"/>
      <c r="E56" s="91" t="n"/>
      <c r="F56" s="91" t="n"/>
      <c r="G56" s="91" t="n"/>
      <c r="H56" s="91" t="n"/>
      <c r="I56" s="92" t="n"/>
      <c r="J56" s="92" t="n"/>
      <c r="K56" s="105" t="n"/>
      <c r="L56" s="84" t="n"/>
      <c r="M56" s="91" t="n"/>
      <c r="N56" s="92" t="n"/>
      <c r="O56" s="92" t="n"/>
      <c r="P56" s="91" t="n"/>
      <c r="Q56" s="91" t="n"/>
      <c r="R56" s="91" t="n"/>
      <c r="S56" s="91" t="n"/>
      <c r="T56" s="91" t="n"/>
      <c r="U56" s="91" t="n"/>
      <c r="V56" s="91" t="n"/>
      <c r="W56" s="166" t="n"/>
      <c r="X56" s="521" t="n"/>
    </row>
    <row r="57" hidden="1" ht="12.6" customFormat="1" customHeight="1" s="93">
      <c r="A57" s="1069" t="n"/>
      <c r="B57" s="94" t="n"/>
      <c r="C57" s="95" t="n"/>
      <c r="D57" s="72" t="n"/>
      <c r="E57" s="95" t="n"/>
      <c r="F57" s="95" t="n"/>
      <c r="G57" s="95" t="n"/>
      <c r="H57" s="95" t="n"/>
      <c r="I57" s="96" t="n"/>
      <c r="J57" s="96" t="n"/>
      <c r="K57" s="120" t="n"/>
      <c r="L57" s="73" t="n"/>
      <c r="M57" s="95" t="n"/>
      <c r="N57" s="96" t="n"/>
      <c r="O57" s="96" t="n"/>
      <c r="P57" s="95" t="n"/>
      <c r="Q57" s="95" t="n"/>
      <c r="R57" s="95" t="n"/>
      <c r="S57" s="95" t="n"/>
      <c r="T57" s="95" t="n"/>
      <c r="U57" s="95" t="n"/>
      <c r="V57" s="95" t="n"/>
      <c r="W57" s="167" t="n"/>
      <c r="X57" s="522" t="n"/>
    </row>
    <row r="58" ht="12.6" customFormat="1" customHeight="1" s="93">
      <c r="A58" s="1069" t="n"/>
      <c r="B58" s="609" t="n"/>
      <c r="C58" s="610" t="n"/>
      <c r="D58" s="599" t="n"/>
      <c r="E58" s="610" t="n"/>
      <c r="F58" s="610" t="n"/>
      <c r="G58" s="610" t="n"/>
      <c r="H58" s="611">
        <f>SUM(H56:H57)</f>
        <v/>
      </c>
      <c r="I58" s="941" t="n"/>
      <c r="J58" s="1138" t="inlineStr">
        <is>
          <t>ES</t>
        </is>
      </c>
      <c r="K58" s="601" t="inlineStr">
        <is>
          <t>合計</t>
        </is>
      </c>
      <c r="L58" s="626">
        <f>SUM(L56:L57)</f>
        <v/>
      </c>
      <c r="M58" s="626">
        <f>SUM(M56:M57)</f>
        <v/>
      </c>
      <c r="N58" s="601">
        <f>SUM(N56:N57)</f>
        <v/>
      </c>
      <c r="O58" s="626">
        <f>SUM(O56:O57)</f>
        <v/>
      </c>
      <c r="P58" s="626">
        <f>SUM(P56:P57)</f>
        <v/>
      </c>
      <c r="Q58" s="626">
        <f>SUM(Q56:Q57)</f>
        <v/>
      </c>
      <c r="R58" s="626">
        <f>SUM(R56:R57)</f>
        <v/>
      </c>
      <c r="S58" s="626">
        <f>SUM(S56:S57)</f>
        <v/>
      </c>
      <c r="T58" s="626">
        <f>SUM(T56:T57)</f>
        <v/>
      </c>
      <c r="U58" s="626">
        <f>SUM(U56:U57)</f>
        <v/>
      </c>
      <c r="V58" s="626">
        <f>SUM(V56:V57)</f>
        <v/>
      </c>
      <c r="W58" s="626">
        <f>SUM(W56:W57)</f>
        <v/>
      </c>
      <c r="X58" s="509" t="n"/>
    </row>
    <row r="59" ht="12.6" customFormat="1" customHeight="1" s="93">
      <c r="A59" s="1080" t="n"/>
      <c r="B59" s="613" t="n"/>
      <c r="C59" s="97" t="n"/>
      <c r="D59" s="87" t="n"/>
      <c r="E59" s="97" t="n"/>
      <c r="F59" s="97" t="n"/>
      <c r="G59" s="97" t="n"/>
      <c r="H59" s="97" t="n"/>
      <c r="I59" s="942" t="n"/>
      <c r="J59" s="1096" t="n"/>
      <c r="K59" s="82" t="inlineStr">
        <is>
          <t>稼働率</t>
        </is>
      </c>
      <c r="L59" s="528">
        <f>L58/($H$58*L3)</f>
        <v/>
      </c>
      <c r="M59" s="528">
        <f>M58/($H$58*M3)</f>
        <v/>
      </c>
      <c r="N59" s="528">
        <f>N58/($H$58*N3)</f>
        <v/>
      </c>
      <c r="O59" s="528">
        <f>O58/($H$58*O3)</f>
        <v/>
      </c>
      <c r="P59" s="528">
        <f>P58/($H$58*P3)</f>
        <v/>
      </c>
      <c r="Q59" s="528">
        <f>Q58/($H$58*Q3)</f>
        <v/>
      </c>
      <c r="R59" s="528">
        <f>R58/($H$58*R3)</f>
        <v/>
      </c>
      <c r="S59" s="528">
        <f>S58/($H$58*S3)</f>
        <v/>
      </c>
      <c r="T59" s="528">
        <f>T58/($H$58*T3)</f>
        <v/>
      </c>
      <c r="U59" s="528">
        <f>U58/($H$58*U3)</f>
        <v/>
      </c>
      <c r="V59" s="528">
        <f>V58/($H$58*V3)</f>
        <v/>
      </c>
      <c r="W59" s="528">
        <f>W58/($H$58*W3)</f>
        <v/>
      </c>
      <c r="X59" s="507" t="n"/>
    </row>
    <row r="60" ht="12.6" customFormat="1" customHeight="1" s="854">
      <c r="A60" s="1134" t="inlineStr">
        <is>
          <t>EN</t>
        </is>
      </c>
      <c r="B60" s="1132" t="n">
        <v>3</v>
      </c>
      <c r="C60" s="841" t="inlineStr">
        <is>
          <t>EN0１</t>
        </is>
      </c>
      <c r="D60" s="842" t="inlineStr">
        <is>
          <t>CNC放電加工機</t>
        </is>
      </c>
      <c r="E60" s="855" t="inlineStr">
        <is>
          <t>0194-AA</t>
        </is>
      </c>
      <c r="F60" s="855" t="inlineStr">
        <is>
          <t>Sodick</t>
        </is>
      </c>
      <c r="G60" s="856" t="inlineStr">
        <is>
          <t>AD3L</t>
        </is>
      </c>
      <c r="H60" s="843" t="n">
        <v>910</v>
      </c>
      <c r="I60" s="857" t="inlineStr">
        <is>
          <t>B</t>
        </is>
      </c>
      <c r="J60" s="844" t="n"/>
      <c r="K60" s="850" t="n"/>
      <c r="L60" s="140" t="n">
        <v>19667</v>
      </c>
      <c r="M60" s="106" t="n">
        <v>13014</v>
      </c>
      <c r="N60" s="1135" t="n">
        <v>17333</v>
      </c>
      <c r="O60" s="140" t="n"/>
      <c r="P60" s="106" t="n"/>
      <c r="Q60" s="140" t="n"/>
      <c r="R60" s="106" t="n"/>
      <c r="S60" s="106" t="n"/>
      <c r="T60" s="140" t="n"/>
      <c r="U60" s="106" t="n"/>
      <c r="V60" s="106" t="n"/>
      <c r="W60" s="107" t="n"/>
      <c r="X60" s="512" t="n"/>
      <c r="Y60" s="853" t="n"/>
    </row>
    <row r="61" ht="12.6" customFormat="1" customHeight="1" s="854">
      <c r="A61" s="1069" t="n"/>
      <c r="B61" s="1087" t="n"/>
      <c r="C61" s="860" t="inlineStr">
        <is>
          <t>EN02</t>
        </is>
      </c>
      <c r="D61" s="861" t="inlineStr">
        <is>
          <t>CNC放電加工機</t>
        </is>
      </c>
      <c r="E61" s="362" t="inlineStr">
        <is>
          <t>0630-AA</t>
        </is>
      </c>
      <c r="F61" s="362" t="inlineStr">
        <is>
          <t>Sodick</t>
        </is>
      </c>
      <c r="G61" s="363" t="inlineStr">
        <is>
          <t>AG40L</t>
        </is>
      </c>
      <c r="H61" s="862" t="n">
        <v>910</v>
      </c>
      <c r="I61" s="881" t="inlineStr">
        <is>
          <t>B</t>
        </is>
      </c>
      <c r="J61" s="863" t="n"/>
      <c r="K61" s="114" t="n"/>
      <c r="L61" s="129" t="n">
        <v>21497</v>
      </c>
      <c r="M61" s="115" t="n">
        <v>13307</v>
      </c>
      <c r="N61" s="1136" t="n">
        <v>25482</v>
      </c>
      <c r="O61" s="129" t="n"/>
      <c r="P61" s="115" t="n"/>
      <c r="Q61" s="129" t="n"/>
      <c r="R61" s="115" t="n"/>
      <c r="S61" s="115" t="n"/>
      <c r="T61" s="129" t="n"/>
      <c r="U61" s="115" t="n"/>
      <c r="V61" s="115" t="n"/>
      <c r="W61" s="116" t="n"/>
      <c r="X61" s="513" t="n"/>
      <c r="Y61" s="853" t="n"/>
    </row>
    <row r="62" ht="12.6" customFormat="1" customHeight="1" s="854">
      <c r="A62" s="1069" t="n"/>
      <c r="B62" s="1087" t="n"/>
      <c r="C62" s="860" t="inlineStr">
        <is>
          <t>EN03</t>
        </is>
      </c>
      <c r="D62" s="861" t="inlineStr">
        <is>
          <t>CNC放電加工機</t>
        </is>
      </c>
      <c r="E62" s="362" t="inlineStr">
        <is>
          <t>0668-AA</t>
        </is>
      </c>
      <c r="F62" s="362" t="inlineStr">
        <is>
          <t>Sodick</t>
        </is>
      </c>
      <c r="G62" s="363" t="inlineStr">
        <is>
          <t>AG40L</t>
        </is>
      </c>
      <c r="H62" s="862" t="n">
        <v>910</v>
      </c>
      <c r="I62" s="881" t="inlineStr">
        <is>
          <t>B</t>
        </is>
      </c>
      <c r="J62" s="863" t="n"/>
      <c r="K62" s="114" t="n"/>
      <c r="L62" s="129" t="n">
        <v>24023</v>
      </c>
      <c r="M62" s="709" t="n">
        <v>15658</v>
      </c>
      <c r="N62" s="1136" t="n">
        <v>26070</v>
      </c>
      <c r="O62" s="129" t="n"/>
      <c r="P62" s="115" t="n"/>
      <c r="Q62" s="129" t="n"/>
      <c r="R62" s="115" t="n"/>
      <c r="S62" s="929" t="n"/>
      <c r="T62" s="929" t="n"/>
      <c r="U62" s="115" t="n"/>
      <c r="V62" s="115" t="n"/>
      <c r="W62" s="116" t="n"/>
      <c r="X62" s="513" t="n"/>
      <c r="Y62" s="853" t="n"/>
    </row>
    <row r="63" ht="12.6" customFormat="1" customHeight="1" s="854">
      <c r="A63" s="1069" t="n"/>
      <c r="B63" s="1087" t="n"/>
      <c r="C63" s="860" t="inlineStr">
        <is>
          <t>EN04</t>
        </is>
      </c>
      <c r="D63" s="861" t="inlineStr">
        <is>
          <t>CNC放電加工機</t>
        </is>
      </c>
      <c r="E63" s="128" t="inlineStr">
        <is>
          <t>0795-AA</t>
        </is>
      </c>
      <c r="F63" s="362" t="inlineStr">
        <is>
          <t>Sodick</t>
        </is>
      </c>
      <c r="G63" s="128" t="inlineStr">
        <is>
          <t>AP30L</t>
        </is>
      </c>
      <c r="H63" s="883" t="n">
        <v>910</v>
      </c>
      <c r="I63" s="883" t="inlineStr">
        <is>
          <t>A</t>
        </is>
      </c>
      <c r="J63" s="863" t="n"/>
      <c r="K63" s="114" t="n"/>
      <c r="L63" s="129" t="n">
        <v>24582</v>
      </c>
      <c r="M63" s="115" t="n">
        <v>17120</v>
      </c>
      <c r="N63" s="1136" t="n">
        <v>28995</v>
      </c>
      <c r="O63" s="129" t="n"/>
      <c r="P63" s="129" t="n"/>
      <c r="Q63" s="129" t="n"/>
      <c r="R63" s="129" t="n"/>
      <c r="S63" s="129" t="n"/>
      <c r="T63" s="530" t="n"/>
      <c r="U63" s="115" t="n"/>
      <c r="V63" s="115" t="n"/>
      <c r="W63" s="116" t="n"/>
      <c r="X63" s="513" t="n"/>
      <c r="Y63" s="853" t="n"/>
    </row>
    <row r="64" ht="12.6" customFormat="1" customHeight="1" s="854">
      <c r="A64" s="1069" t="n"/>
      <c r="B64" s="1091" t="n"/>
      <c r="C64" s="884" t="n"/>
      <c r="D64" s="117" t="n"/>
      <c r="E64" s="117" t="n"/>
      <c r="F64" s="117" t="n"/>
      <c r="G64" s="117" t="n"/>
      <c r="H64" s="119" t="n"/>
      <c r="I64" s="884" t="n"/>
      <c r="J64" s="63" t="n"/>
      <c r="K64" s="120" t="n"/>
      <c r="L64" s="531" t="n"/>
      <c r="M64" s="121" t="n"/>
      <c r="N64" s="531" t="n"/>
      <c r="O64" s="531" t="n"/>
      <c r="P64" s="121" t="n"/>
      <c r="Q64" s="121" t="n"/>
      <c r="R64" s="121" t="n"/>
      <c r="S64" s="121" t="n"/>
      <c r="T64" s="121" t="n"/>
      <c r="U64" s="121" t="n"/>
      <c r="V64" s="121" t="n"/>
      <c r="W64" s="122" t="n"/>
      <c r="X64" s="514" t="n"/>
      <c r="Y64" s="853" t="n"/>
    </row>
    <row r="65" ht="12.6" customFormat="1" customHeight="1" s="854">
      <c r="A65" s="1069" t="n"/>
      <c r="B65" s="141" t="n"/>
      <c r="C65" s="948" t="n"/>
      <c r="D65" s="123" t="n"/>
      <c r="E65" s="123" t="n"/>
      <c r="F65" s="123" t="n"/>
      <c r="G65" s="123" t="n"/>
      <c r="H65" s="125">
        <f>SUM(H60:H64)</f>
        <v/>
      </c>
      <c r="I65" s="123" t="n"/>
      <c r="J65" s="949" t="inlineStr">
        <is>
          <t>EN</t>
        </is>
      </c>
      <c r="K65" s="79" t="inlineStr">
        <is>
          <t>合計</t>
        </is>
      </c>
      <c r="L65" s="623">
        <f>SUM(L60:L64)</f>
        <v/>
      </c>
      <c r="M65" s="623">
        <f>SUM(M60:M64)</f>
        <v/>
      </c>
      <c r="N65" s="833">
        <f>SUM(N60:N64)</f>
        <v/>
      </c>
      <c r="O65" s="623">
        <f>SUM(O60:O64)</f>
        <v/>
      </c>
      <c r="P65" s="623">
        <f>SUM(P60:P64)</f>
        <v/>
      </c>
      <c r="Q65" s="623">
        <f>SUM(Q60:Q64)</f>
        <v/>
      </c>
      <c r="R65" s="623">
        <f>SUM(R60:R64)</f>
        <v/>
      </c>
      <c r="S65" s="623">
        <f>SUM(S60:S64)</f>
        <v/>
      </c>
      <c r="T65" s="623">
        <f>SUM(T60:T64)</f>
        <v/>
      </c>
      <c r="U65" s="623">
        <f>SUM(U60:U64)</f>
        <v/>
      </c>
      <c r="V65" s="623">
        <f>SUM(V60:V64)</f>
        <v/>
      </c>
      <c r="W65" s="623">
        <f>SUM(W60:W64)</f>
        <v/>
      </c>
      <c r="X65" s="515" t="n"/>
    </row>
    <row r="66" ht="12.6" customFormat="1" customHeight="1" s="854">
      <c r="A66" s="1080" t="n"/>
      <c r="B66" s="142" t="n"/>
      <c r="C66" s="949" t="n"/>
      <c r="D66" s="138" t="n"/>
      <c r="E66" s="138" t="n"/>
      <c r="F66" s="138" t="n"/>
      <c r="G66" s="138" t="n"/>
      <c r="H66" s="138" t="n"/>
      <c r="I66" s="138" t="n"/>
      <c r="J66" s="1096" t="n"/>
      <c r="K66" s="82" t="inlineStr">
        <is>
          <t>稼働率</t>
        </is>
      </c>
      <c r="L66" s="535">
        <f>L65/($H$65*L2)</f>
        <v/>
      </c>
      <c r="M66" s="535">
        <f>M65/($H$65*M2)</f>
        <v/>
      </c>
      <c r="N66" s="535">
        <f>N65/($H$65*N2)</f>
        <v/>
      </c>
      <c r="O66" s="535">
        <f>O65/($H$65*O2)</f>
        <v/>
      </c>
      <c r="P66" s="535">
        <f>P65/($H$65*P2)</f>
        <v/>
      </c>
      <c r="Q66" s="535">
        <f>Q65/($H$65*Q2)</f>
        <v/>
      </c>
      <c r="R66" s="535">
        <f>R65/($H$65*R2)</f>
        <v/>
      </c>
      <c r="S66" s="535">
        <f>S65/($H$65*S2)</f>
        <v/>
      </c>
      <c r="T66" s="535">
        <f>T65/($H$65*T2)</f>
        <v/>
      </c>
      <c r="U66" s="535">
        <f>U65/($H$65*U2)</f>
        <v/>
      </c>
      <c r="V66" s="535">
        <f>V65/($H$65*V2)</f>
        <v/>
      </c>
      <c r="W66" s="535">
        <f>W65/($H$65*W2)</f>
        <v/>
      </c>
      <c r="X66" s="520" t="n"/>
    </row>
    <row r="67" ht="12.6" customFormat="1" customHeight="1" s="854">
      <c r="A67" s="1134" t="inlineStr">
        <is>
          <t>EW</t>
        </is>
      </c>
      <c r="B67" s="1132" t="n">
        <v>4</v>
      </c>
      <c r="C67" s="841" t="inlineStr">
        <is>
          <t>EW0１</t>
        </is>
      </c>
      <c r="D67" s="842" t="inlineStr">
        <is>
          <t>ﾜｲﾔ放電加工機</t>
        </is>
      </c>
      <c r="E67" s="855" t="inlineStr">
        <is>
          <t>0195-AA</t>
        </is>
      </c>
      <c r="F67" s="855" t="inlineStr">
        <is>
          <t>Sodick</t>
        </is>
      </c>
      <c r="G67" s="855" t="inlineStr">
        <is>
          <t>AQ327L</t>
        </is>
      </c>
      <c r="H67" s="843" t="n">
        <v>910</v>
      </c>
      <c r="I67" s="844" t="inlineStr">
        <is>
          <t>B</t>
        </is>
      </c>
      <c r="J67" s="844" t="n"/>
      <c r="K67" s="105" t="n"/>
      <c r="L67" s="140" t="n">
        <v>23148</v>
      </c>
      <c r="M67" s="140" t="n">
        <v>16109</v>
      </c>
      <c r="N67" s="1135" t="n">
        <v>28692</v>
      </c>
      <c r="O67" s="140" t="n"/>
      <c r="P67" s="140" t="n"/>
      <c r="Q67" s="140" t="n"/>
      <c r="R67" s="140" t="n"/>
      <c r="S67" s="140" t="n"/>
      <c r="T67" s="140" t="n"/>
      <c r="U67" s="140" t="n"/>
      <c r="V67" s="140" t="n"/>
      <c r="W67" s="837" t="n"/>
      <c r="X67" s="512" t="n"/>
      <c r="Y67" s="853" t="n"/>
    </row>
    <row r="68" ht="12.6" customFormat="1" customHeight="1" s="854">
      <c r="A68" s="1069" t="n"/>
      <c r="B68" s="1087" t="n"/>
      <c r="C68" s="860" t="inlineStr">
        <is>
          <t>EW02</t>
        </is>
      </c>
      <c r="D68" s="861" t="inlineStr">
        <is>
          <t>ﾜｲﾔ放電加工機</t>
        </is>
      </c>
      <c r="E68" s="362" t="inlineStr">
        <is>
          <t>0629-AA</t>
        </is>
      </c>
      <c r="F68" s="362" t="inlineStr">
        <is>
          <t>Sodick</t>
        </is>
      </c>
      <c r="G68" s="362" t="inlineStr">
        <is>
          <t>SL400Q</t>
        </is>
      </c>
      <c r="H68" s="862" t="n">
        <v>910</v>
      </c>
      <c r="I68" s="863" t="inlineStr">
        <is>
          <t>B</t>
        </is>
      </c>
      <c r="J68" s="863" t="n"/>
      <c r="K68" s="114" t="n"/>
      <c r="L68" s="129" t="n">
        <v>27835</v>
      </c>
      <c r="M68" s="129" t="n">
        <v>19930</v>
      </c>
      <c r="N68" s="1136" t="n">
        <v>32356</v>
      </c>
      <c r="O68" s="129" t="n"/>
      <c r="P68" s="129" t="n"/>
      <c r="Q68" s="129" t="n"/>
      <c r="R68" s="129" t="n"/>
      <c r="S68" s="129" t="n"/>
      <c r="T68" s="129" t="n"/>
      <c r="U68" s="129" t="n"/>
      <c r="V68" s="129" t="n"/>
      <c r="W68" s="130" t="n"/>
      <c r="X68" s="513" t="n"/>
      <c r="Y68" s="853" t="n"/>
    </row>
    <row r="69" ht="12.6" customFormat="1" customHeight="1" s="854">
      <c r="A69" s="1069" t="n"/>
      <c r="B69" s="1087" t="n"/>
      <c r="C69" s="860" t="inlineStr">
        <is>
          <t>EW03</t>
        </is>
      </c>
      <c r="D69" s="861" t="inlineStr">
        <is>
          <t>ﾜｲﾔ放電加工機</t>
        </is>
      </c>
      <c r="E69" s="362" t="inlineStr">
        <is>
          <t>0667-AA</t>
        </is>
      </c>
      <c r="F69" s="362" t="inlineStr">
        <is>
          <t>Sodick</t>
        </is>
      </c>
      <c r="G69" s="362" t="inlineStr">
        <is>
          <t>ALN400G</t>
        </is>
      </c>
      <c r="H69" s="862" t="n">
        <v>910</v>
      </c>
      <c r="I69" s="863" t="inlineStr">
        <is>
          <t>B</t>
        </is>
      </c>
      <c r="J69" s="863" t="n"/>
      <c r="K69" s="114" t="n"/>
      <c r="L69" s="129" t="n">
        <v>26471</v>
      </c>
      <c r="M69" s="129" t="n">
        <v>17275</v>
      </c>
      <c r="N69" s="1136" t="n">
        <v>31957</v>
      </c>
      <c r="O69" s="129" t="n"/>
      <c r="P69" s="129" t="n"/>
      <c r="Q69" s="129" t="n"/>
      <c r="R69" s="129" t="n"/>
      <c r="S69" s="129" t="n"/>
      <c r="T69" s="129" t="n"/>
      <c r="U69" s="129" t="n"/>
      <c r="V69" s="129" t="n"/>
      <c r="W69" s="130" t="n"/>
      <c r="X69" s="513" t="n"/>
      <c r="Y69" s="853" t="n"/>
    </row>
    <row r="70" ht="12.6" customFormat="1" customHeight="1" s="854">
      <c r="A70" s="1069" t="n"/>
      <c r="B70" s="1087" t="n"/>
      <c r="C70" s="463" t="inlineStr">
        <is>
          <t>EW04</t>
        </is>
      </c>
      <c r="D70" s="861" t="inlineStr">
        <is>
          <t>ﾜｲﾔ放電加工機</t>
        </is>
      </c>
      <c r="E70" s="111" t="inlineStr">
        <is>
          <t>0775-AA</t>
        </is>
      </c>
      <c r="F70" s="362" t="inlineStr">
        <is>
          <t>Sodick</t>
        </is>
      </c>
      <c r="G70" s="111" t="inlineStr">
        <is>
          <t>ALN600G</t>
        </is>
      </c>
      <c r="H70" s="885" t="n">
        <v>910</v>
      </c>
      <c r="I70" s="885" t="inlineStr">
        <is>
          <t>A</t>
        </is>
      </c>
      <c r="J70" s="863" t="n"/>
      <c r="K70" s="114" t="n"/>
      <c r="L70" s="129" t="n">
        <v>24755</v>
      </c>
      <c r="M70" s="129" t="n">
        <v>19522</v>
      </c>
      <c r="N70" s="1136" t="n">
        <v>30839</v>
      </c>
      <c r="O70" s="129" t="n"/>
      <c r="P70" s="129" t="n"/>
      <c r="Q70" s="129" t="n"/>
      <c r="R70" s="129" t="n"/>
      <c r="S70" s="129" t="n"/>
      <c r="T70" s="129" t="n"/>
      <c r="U70" s="129" t="n"/>
      <c r="V70" s="129" t="n"/>
      <c r="W70" s="130" t="n"/>
      <c r="X70" s="513" t="n"/>
      <c r="Y70" s="853" t="n"/>
    </row>
    <row r="71" ht="12.6" customFormat="1" customHeight="1" s="854">
      <c r="A71" s="1069" t="n"/>
      <c r="B71" s="1091" t="n"/>
      <c r="C71" s="884" t="n"/>
      <c r="D71" s="117" t="n"/>
      <c r="E71" s="117" t="n"/>
      <c r="F71" s="117" t="n"/>
      <c r="G71" s="117" t="n"/>
      <c r="H71" s="884" t="n"/>
      <c r="I71" s="119" t="n"/>
      <c r="J71" s="63" t="n"/>
      <c r="K71" s="120" t="n"/>
      <c r="L71" s="531" t="n"/>
      <c r="M71" s="121" t="n"/>
      <c r="N71" s="531" t="n"/>
      <c r="O71" s="531" t="n"/>
      <c r="P71" s="121" t="n"/>
      <c r="Q71" s="121" t="n"/>
      <c r="R71" s="121" t="n"/>
      <c r="S71" s="121" t="n"/>
      <c r="T71" s="121" t="n"/>
      <c r="U71" s="121" t="n"/>
      <c r="V71" s="121" t="n"/>
      <c r="W71" s="122" t="n"/>
      <c r="X71" s="514" t="n"/>
      <c r="Y71" s="853" t="n"/>
    </row>
    <row r="72" ht="12.6" customFormat="1" customHeight="1" s="854">
      <c r="A72" s="1069" t="n"/>
      <c r="B72" s="123" t="n"/>
      <c r="C72" s="948" t="n"/>
      <c r="D72" s="143" t="n"/>
      <c r="E72" s="123" t="n"/>
      <c r="F72" s="123" t="n"/>
      <c r="G72" s="123" t="n"/>
      <c r="H72" s="125">
        <f>SUM(H67:H71)</f>
        <v/>
      </c>
      <c r="I72" s="123" t="n"/>
      <c r="J72" s="949" t="inlineStr">
        <is>
          <t>EW</t>
        </is>
      </c>
      <c r="K72" s="79" t="inlineStr">
        <is>
          <t>合計</t>
        </is>
      </c>
      <c r="L72" s="624">
        <f>SUM(L67:L71)</f>
        <v/>
      </c>
      <c r="M72" s="624">
        <f>SUM(M67:M71)</f>
        <v/>
      </c>
      <c r="N72" s="834">
        <f>SUM(N67:N71)</f>
        <v/>
      </c>
      <c r="O72" s="624">
        <f>SUM(O67:O71)</f>
        <v/>
      </c>
      <c r="P72" s="624">
        <f>SUM(P67:P71)</f>
        <v/>
      </c>
      <c r="Q72" s="624">
        <f>SUM(Q67:Q71)</f>
        <v/>
      </c>
      <c r="R72" s="624">
        <f>SUM(R67:R71)</f>
        <v/>
      </c>
      <c r="S72" s="624">
        <f>SUM(S67:S71)</f>
        <v/>
      </c>
      <c r="T72" s="624">
        <f>SUM(T67:T71)</f>
        <v/>
      </c>
      <c r="U72" s="624">
        <f>SUM(U67:U71)</f>
        <v/>
      </c>
      <c r="V72" s="624">
        <f>SUM(V67:V71)</f>
        <v/>
      </c>
      <c r="W72" s="624">
        <f>SUM(W67:W71)</f>
        <v/>
      </c>
      <c r="X72" s="515" t="n"/>
    </row>
    <row r="73" ht="12.6" customFormat="1" customHeight="1" s="854">
      <c r="A73" s="1080" t="n"/>
      <c r="B73" s="138" t="n"/>
      <c r="C73" s="949" t="n"/>
      <c r="D73" s="144" t="n"/>
      <c r="E73" s="138" t="n"/>
      <c r="F73" s="138" t="n"/>
      <c r="G73" s="138" t="n"/>
      <c r="H73" s="138" t="n"/>
      <c r="I73" s="138" t="n"/>
      <c r="J73" s="1096" t="n"/>
      <c r="K73" s="82" t="inlineStr">
        <is>
          <t>稼働率</t>
        </is>
      </c>
      <c r="L73" s="536">
        <f>L72/($H$72*L2)</f>
        <v/>
      </c>
      <c r="M73" s="536">
        <f>M72/($H$72*M2)</f>
        <v/>
      </c>
      <c r="N73" s="536">
        <f>N72/($H$72*N2)</f>
        <v/>
      </c>
      <c r="O73" s="536">
        <f>O72/($H$72*O2)</f>
        <v/>
      </c>
      <c r="P73" s="536">
        <f>P72/($H$72*P2)</f>
        <v/>
      </c>
      <c r="Q73" s="536">
        <f>Q72/($H$72*Q2)</f>
        <v/>
      </c>
      <c r="R73" s="536">
        <f>R72/($H$72*R2)</f>
        <v/>
      </c>
      <c r="S73" s="536">
        <f>S72/($H$72*S2)</f>
        <v/>
      </c>
      <c r="T73" s="536">
        <f>T72/($H$72*T2)</f>
        <v/>
      </c>
      <c r="U73" s="536">
        <f>U72/($H$72*U2)</f>
        <v/>
      </c>
      <c r="V73" s="536">
        <f>V72/($H$72*V2)</f>
        <v/>
      </c>
      <c r="W73" s="536">
        <f>W72/($H$72*W2)</f>
        <v/>
      </c>
      <c r="X73" s="520" t="n"/>
    </row>
    <row r="74" ht="12.6" customFormat="1" customHeight="1" s="854">
      <c r="A74" s="1139" t="inlineStr">
        <is>
          <t>GC</t>
        </is>
      </c>
      <c r="B74" s="1132" t="n">
        <v>2</v>
      </c>
      <c r="C74" s="353" t="inlineStr">
        <is>
          <t>GC01</t>
        </is>
      </c>
      <c r="D74" s="842" t="inlineStr">
        <is>
          <t>ｾﾝﾀﾚｽ研削盤</t>
        </is>
      </c>
      <c r="E74" s="855" t="inlineStr">
        <is>
          <t>0189-AA</t>
        </is>
      </c>
      <c r="F74" s="855" t="inlineStr">
        <is>
          <t>WASINO</t>
        </is>
      </c>
      <c r="G74" s="855" t="inlineStr">
        <is>
          <t>TFG-M1</t>
        </is>
      </c>
      <c r="H74" s="843" t="n">
        <v>910</v>
      </c>
      <c r="I74" s="844" t="inlineStr">
        <is>
          <t>B</t>
        </is>
      </c>
      <c r="J74" s="844" t="n"/>
      <c r="K74" s="114" t="n"/>
      <c r="L74" s="140" t="n">
        <v>3897</v>
      </c>
      <c r="M74" s="140" t="n">
        <v>5002</v>
      </c>
      <c r="N74" s="1135" t="n">
        <v>11523</v>
      </c>
      <c r="O74" s="140" t="n"/>
      <c r="P74" s="140" t="n"/>
      <c r="Q74" s="140" t="n"/>
      <c r="R74" s="140" t="n"/>
      <c r="S74" s="140" t="n"/>
      <c r="T74" s="140" t="n"/>
      <c r="U74" s="140" t="n"/>
      <c r="V74" s="140" t="n"/>
      <c r="W74" s="837" t="n"/>
      <c r="X74" s="512" t="n"/>
      <c r="Y74" s="853" t="n"/>
    </row>
    <row r="75" ht="12.6" customFormat="1" customHeight="1" s="854">
      <c r="A75" s="1069" t="n"/>
      <c r="B75" s="1087" t="n"/>
      <c r="C75" s="147" t="inlineStr">
        <is>
          <t>GC02</t>
        </is>
      </c>
      <c r="D75" s="861" t="inlineStr">
        <is>
          <t>ｾﾝﾀﾚｽ研削盤</t>
        </is>
      </c>
      <c r="E75" s="362" t="inlineStr">
        <is>
          <t>0761-AA</t>
        </is>
      </c>
      <c r="F75" s="362" t="inlineStr">
        <is>
          <t>AMADA</t>
        </is>
      </c>
      <c r="G75" s="362" t="inlineStr">
        <is>
          <t>TF-M1</t>
        </is>
      </c>
      <c r="H75" s="862" t="n">
        <v>910</v>
      </c>
      <c r="I75" s="863" t="inlineStr">
        <is>
          <t>B</t>
        </is>
      </c>
      <c r="J75" s="882" t="n"/>
      <c r="K75" s="114" t="n"/>
      <c r="L75" s="838" t="n">
        <v>20315</v>
      </c>
      <c r="M75" s="838" t="n">
        <v>11317</v>
      </c>
      <c r="N75" s="1140" t="n">
        <v>23936</v>
      </c>
      <c r="O75" s="838" t="n"/>
      <c r="P75" s="838" t="n"/>
      <c r="Q75" s="838" t="n"/>
      <c r="R75" s="838" t="n"/>
      <c r="S75" s="838" t="n"/>
      <c r="T75" s="838" t="n"/>
      <c r="U75" s="838" t="n"/>
      <c r="V75" s="838" t="n"/>
      <c r="W75" s="839" t="n"/>
      <c r="X75" s="519" t="n"/>
      <c r="Y75" s="853" t="n"/>
    </row>
    <row r="76" ht="12.6" customFormat="1" customHeight="1" s="854">
      <c r="A76" s="1069" t="n"/>
      <c r="B76" s="1091" t="n"/>
      <c r="C76" s="884" t="n"/>
      <c r="D76" s="117" t="n"/>
      <c r="E76" s="117" t="n"/>
      <c r="F76" s="117" t="n"/>
      <c r="G76" s="117" t="n"/>
      <c r="H76" s="119" t="n"/>
      <c r="I76" s="119" t="n"/>
      <c r="J76" s="63" t="n"/>
      <c r="K76" s="120" t="n"/>
      <c r="L76" s="531" t="n"/>
      <c r="M76" s="121" t="n"/>
      <c r="N76" s="531" t="n"/>
      <c r="O76" s="531" t="n"/>
      <c r="P76" s="121" t="n"/>
      <c r="Q76" s="121" t="n"/>
      <c r="R76" s="121" t="n"/>
      <c r="S76" s="121" t="n"/>
      <c r="T76" s="121" t="n"/>
      <c r="U76" s="121" t="n"/>
      <c r="V76" s="121" t="n"/>
      <c r="W76" s="122" t="n"/>
      <c r="X76" s="514" t="n"/>
      <c r="Y76" s="853" t="n"/>
    </row>
    <row r="77" ht="12.6" customFormat="1" customHeight="1" s="854">
      <c r="A77" s="1069" t="n"/>
      <c r="B77" s="123" t="n"/>
      <c r="C77" s="948" t="n"/>
      <c r="D77" s="123" t="n"/>
      <c r="E77" s="123" t="n"/>
      <c r="F77" s="123" t="n"/>
      <c r="G77" s="123" t="n"/>
      <c r="H77" s="125">
        <f>SUM(H74:H76)</f>
        <v/>
      </c>
      <c r="I77" s="123" t="n"/>
      <c r="J77" s="949" t="inlineStr">
        <is>
          <t>GC</t>
        </is>
      </c>
      <c r="K77" s="79" t="inlineStr">
        <is>
          <t>合計</t>
        </is>
      </c>
      <c r="L77" s="623">
        <f>SUM(L74:L76)</f>
        <v/>
      </c>
      <c r="M77" s="623">
        <f>SUM(M74:M76)</f>
        <v/>
      </c>
      <c r="N77" s="833">
        <f>SUM(N74:N76)</f>
        <v/>
      </c>
      <c r="O77" s="623">
        <f>SUM(O74:O76)</f>
        <v/>
      </c>
      <c r="P77" s="623">
        <f>SUM(P74:P76)</f>
        <v/>
      </c>
      <c r="Q77" s="623">
        <f>SUM(Q74:Q76)</f>
        <v/>
      </c>
      <c r="R77" s="623">
        <f>SUM(R74:R76)</f>
        <v/>
      </c>
      <c r="S77" s="623">
        <f>SUM(S74:S76)</f>
        <v/>
      </c>
      <c r="T77" s="623">
        <f>SUM(T74:T76)</f>
        <v/>
      </c>
      <c r="U77" s="623">
        <f>SUM(U74:U76)</f>
        <v/>
      </c>
      <c r="V77" s="623">
        <f>SUM(V74:V76)</f>
        <v/>
      </c>
      <c r="W77" s="623">
        <f>SUM(W74:W76)</f>
        <v/>
      </c>
      <c r="X77" s="515" t="n"/>
    </row>
    <row r="78" ht="12.6" customFormat="1" customHeight="1" s="854">
      <c r="A78" s="1080" t="n"/>
      <c r="B78" s="123" t="n"/>
      <c r="C78" s="948" t="n"/>
      <c r="D78" s="123" t="n"/>
      <c r="E78" s="123" t="n"/>
      <c r="F78" s="123" t="n"/>
      <c r="G78" s="123" t="n"/>
      <c r="H78" s="123" t="n"/>
      <c r="I78" s="123" t="n"/>
      <c r="J78" s="1096" t="n"/>
      <c r="K78" s="104" t="inlineStr">
        <is>
          <t>稼働率</t>
        </is>
      </c>
      <c r="L78" s="532">
        <f>L77/($H$77*L3)</f>
        <v/>
      </c>
      <c r="M78" s="532">
        <f>M77/($H$77*M3)</f>
        <v/>
      </c>
      <c r="N78" s="532">
        <f>N77/($H$77*N3)</f>
        <v/>
      </c>
      <c r="O78" s="532">
        <f>O77/($H$77*O3)</f>
        <v/>
      </c>
      <c r="P78" s="532">
        <f>P77/($H$77*P3)</f>
        <v/>
      </c>
      <c r="Q78" s="532">
        <f>Q77/($H$77*Q3)</f>
        <v/>
      </c>
      <c r="R78" s="532">
        <f>R77/($H$77*R3)</f>
        <v/>
      </c>
      <c r="S78" s="532">
        <f>S77/($H$77*S3)</f>
        <v/>
      </c>
      <c r="T78" s="532">
        <f>T77/($H$77*T3)</f>
        <v/>
      </c>
      <c r="U78" s="532">
        <f>U77/($H$77*U3)</f>
        <v/>
      </c>
      <c r="V78" s="532">
        <f>V77/($H$77*V3)</f>
        <v/>
      </c>
      <c r="W78" s="532">
        <f>W77/($H$77*W3)</f>
        <v/>
      </c>
      <c r="X78" s="516" t="n"/>
    </row>
    <row r="79" customFormat="1" s="854">
      <c r="A79" s="1134" t="inlineStr">
        <is>
          <t>GJ</t>
        </is>
      </c>
      <c r="B79" s="1132" t="n">
        <v>2</v>
      </c>
      <c r="C79" s="841" t="inlineStr">
        <is>
          <t>GJ02</t>
        </is>
      </c>
      <c r="D79" s="842" t="inlineStr">
        <is>
          <t>NC治具研削盤</t>
        </is>
      </c>
      <c r="E79" s="855" t="inlineStr">
        <is>
          <t>0648-AA</t>
        </is>
      </c>
      <c r="F79" s="855" t="inlineStr">
        <is>
          <t>FURUKAWA</t>
        </is>
      </c>
      <c r="G79" s="855" t="inlineStr">
        <is>
          <t>FKS-4500</t>
        </is>
      </c>
      <c r="H79" s="843" t="n">
        <v>910</v>
      </c>
      <c r="I79" s="844" t="inlineStr">
        <is>
          <t>B</t>
        </is>
      </c>
      <c r="J79" s="844" t="inlineStr">
        <is>
          <t>一人2台作業</t>
        </is>
      </c>
      <c r="K79" s="145" t="n"/>
      <c r="L79" s="529" t="n">
        <v>18055</v>
      </c>
      <c r="M79" s="106" t="n">
        <v>13250</v>
      </c>
      <c r="N79" s="1133" t="n">
        <v>11798</v>
      </c>
      <c r="O79" s="529" t="n"/>
      <c r="P79" s="106" t="n"/>
      <c r="Q79" s="106" t="n"/>
      <c r="R79" s="106" t="n"/>
      <c r="S79" s="106" t="n"/>
      <c r="T79" s="106" t="n"/>
      <c r="U79" s="106" t="n"/>
      <c r="V79" s="106" t="n"/>
      <c r="W79" s="107" t="n"/>
      <c r="X79" s="512" t="n"/>
      <c r="Y79" s="853" t="n"/>
    </row>
    <row r="80" customFormat="1" s="854">
      <c r="A80" s="1069" t="n"/>
      <c r="B80" s="1087" t="n"/>
      <c r="C80" s="860" t="inlineStr">
        <is>
          <t>GJ03</t>
        </is>
      </c>
      <c r="D80" s="861" t="inlineStr">
        <is>
          <t>NC治具研削盤</t>
        </is>
      </c>
      <c r="E80" s="362" t="inlineStr">
        <is>
          <t>0763-AA</t>
        </is>
      </c>
      <c r="F80" s="362" t="inlineStr">
        <is>
          <t>FURUKAWA</t>
        </is>
      </c>
      <c r="G80" s="362" t="inlineStr">
        <is>
          <t>FKS-4500</t>
        </is>
      </c>
      <c r="H80" s="862" t="n">
        <v>910</v>
      </c>
      <c r="I80" s="863" t="inlineStr">
        <is>
          <t>A</t>
        </is>
      </c>
      <c r="J80" s="863" t="n"/>
      <c r="K80" s="367" t="n"/>
      <c r="L80" s="534" t="n">
        <v>16069</v>
      </c>
      <c r="M80" s="365" t="n">
        <v>8480</v>
      </c>
      <c r="N80" s="1137" t="n">
        <v>11798</v>
      </c>
      <c r="O80" s="534" t="n"/>
      <c r="P80" s="365" t="n"/>
      <c r="Q80" s="365" t="n"/>
      <c r="R80" s="365" t="n"/>
      <c r="S80" s="365" t="n"/>
      <c r="T80" s="365" t="n"/>
      <c r="U80" s="365" t="n"/>
      <c r="V80" s="365" t="n"/>
      <c r="W80" s="366" t="n"/>
      <c r="X80" s="519" t="n"/>
      <c r="Y80" s="853" t="n"/>
    </row>
    <row r="81" ht="12.6" customFormat="1" customHeight="1" s="854">
      <c r="A81" s="1069" t="n"/>
      <c r="B81" s="1091" t="n"/>
      <c r="C81" s="884" t="n"/>
      <c r="D81" s="117" t="n"/>
      <c r="E81" s="117" t="n"/>
      <c r="F81" s="117" t="n"/>
      <c r="G81" s="117" t="n"/>
      <c r="H81" s="119" t="n"/>
      <c r="I81" s="119" t="n"/>
      <c r="J81" s="63" t="n"/>
      <c r="K81" s="120" t="n"/>
      <c r="L81" s="531" t="n"/>
      <c r="M81" s="121" t="n"/>
      <c r="N81" s="531" t="n"/>
      <c r="O81" s="531" t="n"/>
      <c r="P81" s="121" t="n"/>
      <c r="Q81" s="121" t="n"/>
      <c r="R81" s="121" t="n"/>
      <c r="S81" s="121" t="n"/>
      <c r="T81" s="121" t="n"/>
      <c r="U81" s="121" t="n"/>
      <c r="V81" s="121" t="n"/>
      <c r="W81" s="122" t="n"/>
      <c r="X81" s="514" t="n"/>
      <c r="Y81" s="853" t="n"/>
    </row>
    <row r="82" ht="12.6" customFormat="1" customHeight="1" s="854">
      <c r="A82" s="1069" t="n"/>
      <c r="B82" s="123" t="n"/>
      <c r="C82" s="948" t="n"/>
      <c r="D82" s="123" t="n"/>
      <c r="E82" s="123" t="n"/>
      <c r="F82" s="123" t="n"/>
      <c r="G82" s="123" t="n"/>
      <c r="H82" s="125">
        <f>SUM(H79:H81)</f>
        <v/>
      </c>
      <c r="I82" s="123" t="n"/>
      <c r="J82" s="949" t="inlineStr">
        <is>
          <t>GJ</t>
        </is>
      </c>
      <c r="K82" s="79" t="inlineStr">
        <is>
          <t>合計</t>
        </is>
      </c>
      <c r="L82" s="623">
        <f>SUM(L79:L81)</f>
        <v/>
      </c>
      <c r="M82" s="623">
        <f>SUM(M79:M81)</f>
        <v/>
      </c>
      <c r="N82" s="833">
        <f>SUM(N79:N81)</f>
        <v/>
      </c>
      <c r="O82" s="623">
        <f>SUM(O79:O81)</f>
        <v/>
      </c>
      <c r="P82" s="623">
        <f>SUM(P79:P81)</f>
        <v/>
      </c>
      <c r="Q82" s="623">
        <f>SUM(Q79:Q81)</f>
        <v/>
      </c>
      <c r="R82" s="623">
        <f>SUM(R79:R81)</f>
        <v/>
      </c>
      <c r="S82" s="623">
        <f>SUM(S79:S81)</f>
        <v/>
      </c>
      <c r="T82" s="623">
        <f>SUM(T79:T81)</f>
        <v/>
      </c>
      <c r="U82" s="623">
        <f>SUM(U79:U81)</f>
        <v/>
      </c>
      <c r="V82" s="623">
        <f>SUM(V79:V81)</f>
        <v/>
      </c>
      <c r="W82" s="623">
        <f>SUM(W79:W81)</f>
        <v/>
      </c>
      <c r="X82" s="515" t="n"/>
    </row>
    <row r="83" ht="12.6" customFormat="1" customHeight="1" s="854">
      <c r="A83" s="1080" t="n"/>
      <c r="B83" s="123" t="n"/>
      <c r="C83" s="948" t="n"/>
      <c r="D83" s="123" t="n"/>
      <c r="E83" s="123" t="n"/>
      <c r="F83" s="123" t="n"/>
      <c r="G83" s="123" t="n"/>
      <c r="H83" s="123" t="n"/>
      <c r="I83" s="123" t="n"/>
      <c r="J83" s="1096" t="n"/>
      <c r="K83" s="82" t="inlineStr">
        <is>
          <t>稼働率</t>
        </is>
      </c>
      <c r="L83" s="535">
        <f>L82/($H$82*L2)</f>
        <v/>
      </c>
      <c r="M83" s="535">
        <f>M82/($H$82*M2)</f>
        <v/>
      </c>
      <c r="N83" s="535">
        <f>N82/($H$82*N2)</f>
        <v/>
      </c>
      <c r="O83" s="535">
        <f>O82/($H$82*O2)</f>
        <v/>
      </c>
      <c r="P83" s="535">
        <f>P82/($H$82*P2)</f>
        <v/>
      </c>
      <c r="Q83" s="535">
        <f>Q82/($H$82*Q2)</f>
        <v/>
      </c>
      <c r="R83" s="535">
        <f>R82/($H$82*R2)</f>
        <v/>
      </c>
      <c r="S83" s="535">
        <f>S82/($H$82*S2)</f>
        <v/>
      </c>
      <c r="T83" s="535">
        <f>T82/($H$82*T2)</f>
        <v/>
      </c>
      <c r="U83" s="535">
        <f>U82/($H$82*U2)</f>
        <v/>
      </c>
      <c r="V83" s="535">
        <f>V82/($H$82*V2)</f>
        <v/>
      </c>
      <c r="W83" s="535">
        <f>W82/($H$82*W2)</f>
        <v/>
      </c>
      <c r="X83" s="520" t="n"/>
    </row>
    <row r="84" ht="12.6" customFormat="1" customHeight="1" s="854">
      <c r="A84" s="1141" t="inlineStr">
        <is>
          <t>GP</t>
        </is>
      </c>
      <c r="B84" s="1142" t="n">
        <v>2</v>
      </c>
      <c r="C84" s="841" t="inlineStr">
        <is>
          <t>GP02</t>
        </is>
      </c>
      <c r="D84" s="842" t="inlineStr">
        <is>
          <t>CNCﾌﾟﾛﾌｧｲﾙ</t>
        </is>
      </c>
      <c r="E84" s="855" t="inlineStr">
        <is>
          <t>0646-AA</t>
        </is>
      </c>
      <c r="F84" s="855" t="inlineStr">
        <is>
          <t>AMADA</t>
        </is>
      </c>
      <c r="G84" s="855" t="inlineStr">
        <is>
          <t>GLS-150G LED</t>
        </is>
      </c>
      <c r="H84" s="843" t="n">
        <v>910</v>
      </c>
      <c r="I84" s="844" t="inlineStr">
        <is>
          <t>B</t>
        </is>
      </c>
      <c r="J84" s="146" t="n"/>
      <c r="K84" s="145" t="n"/>
      <c r="L84" s="529" t="n">
        <v>19083</v>
      </c>
      <c r="M84" s="106" t="n">
        <v>11551</v>
      </c>
      <c r="N84" s="1133" t="n">
        <v>21417</v>
      </c>
      <c r="O84" s="529" t="n"/>
      <c r="P84" s="106" t="n"/>
      <c r="Q84" s="106" t="n"/>
      <c r="R84" s="106" t="n"/>
      <c r="S84" s="106" t="n"/>
      <c r="T84" s="106" t="n"/>
      <c r="U84" s="106" t="n"/>
      <c r="V84" s="106" t="n"/>
      <c r="W84" s="107" t="n"/>
      <c r="X84" s="512" t="n"/>
      <c r="Y84" s="853" t="n"/>
    </row>
    <row r="85" ht="12.6" customFormat="1" customHeight="1" s="854">
      <c r="A85" s="1069" t="n"/>
      <c r="B85" s="1087" t="n"/>
      <c r="C85" s="860" t="inlineStr">
        <is>
          <t>GP03</t>
        </is>
      </c>
      <c r="D85" s="861" t="inlineStr">
        <is>
          <t>CNCﾌﾟﾛﾌｧｲﾙ研削盤</t>
        </is>
      </c>
      <c r="E85" s="362" t="inlineStr">
        <is>
          <t>0752-AA</t>
        </is>
      </c>
      <c r="F85" s="362" t="inlineStr">
        <is>
          <t>AMADA</t>
        </is>
      </c>
      <c r="G85" s="362" t="inlineStr">
        <is>
          <t>GSL-150GL</t>
        </is>
      </c>
      <c r="H85" s="862" t="n">
        <v>910</v>
      </c>
      <c r="I85" s="863" t="inlineStr">
        <is>
          <t>A</t>
        </is>
      </c>
      <c r="J85" s="147" t="n"/>
      <c r="K85" s="114" t="n"/>
      <c r="L85" s="530" t="n">
        <v>22024</v>
      </c>
      <c r="M85" s="115" t="n">
        <v>15204</v>
      </c>
      <c r="N85" s="1065" t="n">
        <v>24031</v>
      </c>
      <c r="O85" s="530" t="n"/>
      <c r="P85" s="115" t="n"/>
      <c r="Q85" s="115" t="n"/>
      <c r="R85" s="115" t="n"/>
      <c r="S85" s="115" t="n"/>
      <c r="T85" s="115" t="n"/>
      <c r="U85" s="115" t="n"/>
      <c r="V85" s="115" t="n"/>
      <c r="W85" s="116" t="n"/>
      <c r="X85" s="513" t="n"/>
      <c r="Y85" s="853" t="n"/>
    </row>
    <row r="86" ht="12.6" customFormat="1" customHeight="1" s="854">
      <c r="A86" s="1069" t="n"/>
      <c r="B86" s="1087" t="n"/>
      <c r="C86" s="885" t="n"/>
      <c r="D86" s="111" t="n"/>
      <c r="E86" s="111" t="n"/>
      <c r="F86" s="111" t="n"/>
      <c r="G86" s="111" t="n"/>
      <c r="H86" s="112" t="n"/>
      <c r="I86" s="112" t="n"/>
      <c r="J86" s="147" t="n"/>
      <c r="K86" s="148" t="n"/>
      <c r="L86" s="530" t="n"/>
      <c r="M86" s="115" t="n"/>
      <c r="N86" s="530" t="n"/>
      <c r="O86" s="530" t="n"/>
      <c r="P86" s="115" t="n"/>
      <c r="Q86" s="115" t="n"/>
      <c r="R86" s="115" t="n"/>
      <c r="S86" s="115" t="n"/>
      <c r="T86" s="115" t="n"/>
      <c r="U86" s="115" t="n"/>
      <c r="V86" s="115" t="n"/>
      <c r="W86" s="116" t="n"/>
      <c r="X86" s="513" t="n"/>
      <c r="Y86" s="853" t="n"/>
    </row>
    <row r="87" ht="12.6" customFormat="1" customHeight="1" s="854">
      <c r="A87" s="1069" t="n"/>
      <c r="B87" s="1091" t="n"/>
      <c r="C87" s="884" t="n"/>
      <c r="D87" s="117" t="n"/>
      <c r="E87" s="117" t="n"/>
      <c r="F87" s="117" t="n"/>
      <c r="G87" s="117" t="n"/>
      <c r="H87" s="119" t="n"/>
      <c r="I87" s="119" t="n"/>
      <c r="J87" s="149" t="n"/>
      <c r="K87" s="150" t="n"/>
      <c r="L87" s="531" t="n"/>
      <c r="M87" s="121" t="n"/>
      <c r="N87" s="531" t="n"/>
      <c r="O87" s="531" t="n"/>
      <c r="P87" s="121" t="n"/>
      <c r="Q87" s="121" t="n"/>
      <c r="R87" s="121" t="n"/>
      <c r="S87" s="121" t="n"/>
      <c r="T87" s="121" t="n"/>
      <c r="U87" s="121" t="n"/>
      <c r="V87" s="121" t="n"/>
      <c r="W87" s="122" t="n"/>
      <c r="X87" s="514" t="n"/>
      <c r="Y87" s="853" t="n"/>
    </row>
    <row r="88" ht="12.6" customFormat="1" customHeight="1" s="854">
      <c r="A88" s="1069" t="n"/>
      <c r="B88" s="151" t="n"/>
      <c r="C88" s="958" t="n"/>
      <c r="D88" s="123" t="n"/>
      <c r="E88" s="151" t="n"/>
      <c r="F88" s="151" t="n"/>
      <c r="G88" s="151" t="n"/>
      <c r="H88" s="153">
        <f>SUM(H84:H87)</f>
        <v/>
      </c>
      <c r="I88" s="151" t="n"/>
      <c r="J88" s="959" t="inlineStr">
        <is>
          <t>GP</t>
        </is>
      </c>
      <c r="K88" s="79" t="inlineStr">
        <is>
          <t>合計</t>
        </is>
      </c>
      <c r="L88" s="624">
        <f>SUM(L84:L87)</f>
        <v/>
      </c>
      <c r="M88" s="624">
        <f>SUM(M84:M87)</f>
        <v/>
      </c>
      <c r="N88" s="834">
        <f>SUM(N84:N87)</f>
        <v/>
      </c>
      <c r="O88" s="624">
        <f>SUM(O84:O87)</f>
        <v/>
      </c>
      <c r="P88" s="624">
        <f>SUM(P84:P87)</f>
        <v/>
      </c>
      <c r="Q88" s="624">
        <f>SUM(Q84:Q87)</f>
        <v/>
      </c>
      <c r="R88" s="624">
        <f>SUM(R84:R87)</f>
        <v/>
      </c>
      <c r="S88" s="624">
        <f>SUM(S84:S87)</f>
        <v/>
      </c>
      <c r="T88" s="624">
        <f>SUM(T84:T87)</f>
        <v/>
      </c>
      <c r="U88" s="624">
        <f>SUM(U84:U87)</f>
        <v/>
      </c>
      <c r="V88" s="624">
        <f>SUM(V84:V87)</f>
        <v/>
      </c>
      <c r="W88" s="624">
        <f>SUM(W84:W87)</f>
        <v/>
      </c>
      <c r="X88" s="515" t="n"/>
    </row>
    <row r="89" ht="12.6" customFormat="1" customHeight="1" s="854">
      <c r="A89" s="1080" t="n"/>
      <c r="B89" s="154" t="n"/>
      <c r="C89" s="959" t="n"/>
      <c r="D89" s="138" t="n"/>
      <c r="E89" s="154" t="n"/>
      <c r="F89" s="154" t="n"/>
      <c r="G89" s="154" t="n"/>
      <c r="H89" s="154" t="n"/>
      <c r="I89" s="154" t="n"/>
      <c r="J89" s="1096" t="n"/>
      <c r="K89" s="82" t="inlineStr">
        <is>
          <t>稼働率</t>
        </is>
      </c>
      <c r="L89" s="536">
        <f>L88/($H$88*L2)</f>
        <v/>
      </c>
      <c r="M89" s="536">
        <f>M88/($H$88*M2)</f>
        <v/>
      </c>
      <c r="N89" s="536">
        <f>N88/($H$88*N2)</f>
        <v/>
      </c>
      <c r="O89" s="536">
        <f>O88/($H$88*O2)</f>
        <v/>
      </c>
      <c r="P89" s="536">
        <f>P88/($H$88*P2)</f>
        <v/>
      </c>
      <c r="Q89" s="536">
        <f>Q88/($H$88*Q2)</f>
        <v/>
      </c>
      <c r="R89" s="536">
        <f>R88/($H$88*R2)</f>
        <v/>
      </c>
      <c r="S89" s="536">
        <f>S88/($H$88*S2)</f>
        <v/>
      </c>
      <c r="T89" s="536">
        <f>T88/($H$88*T2)</f>
        <v/>
      </c>
      <c r="U89" s="536">
        <f>U88/($H$88*U2)</f>
        <v/>
      </c>
      <c r="V89" s="536">
        <f>V88/($H$88*V2)</f>
        <v/>
      </c>
      <c r="W89" s="536">
        <f>W88/($H$88*W2)</f>
        <v/>
      </c>
      <c r="X89" s="520" t="n"/>
    </row>
    <row r="90" ht="12.6" customHeight="1" s="1062">
      <c r="A90" s="930" t="inlineStr">
        <is>
          <t>GR</t>
        </is>
      </c>
      <c r="B90" s="1082" t="n">
        <v>2</v>
      </c>
      <c r="C90" s="368" t="inlineStr">
        <is>
          <t>GR02</t>
        </is>
      </c>
      <c r="D90" s="369" t="inlineStr">
        <is>
          <t>万能円筒研削盤</t>
        </is>
      </c>
      <c r="E90" s="370" t="inlineStr">
        <is>
          <t>0671-AA</t>
        </is>
      </c>
      <c r="F90" s="370" t="inlineStr">
        <is>
          <t>SHIGIYA</t>
        </is>
      </c>
      <c r="G90" s="370" t="inlineStr">
        <is>
          <t>GP-20-50A</t>
        </is>
      </c>
      <c r="H90" s="371" t="n">
        <v>910</v>
      </c>
      <c r="I90" s="844" t="inlineStr">
        <is>
          <t>B</t>
        </is>
      </c>
      <c r="J90" s="84" t="n"/>
      <c r="K90" s="145" t="n"/>
      <c r="L90" s="1118" t="n">
        <v>21736</v>
      </c>
      <c r="M90" s="1119" t="n">
        <v>15067</v>
      </c>
      <c r="N90" s="1120" t="n">
        <v>20638</v>
      </c>
      <c r="O90" s="1118" t="n"/>
      <c r="P90" s="1119" t="n"/>
      <c r="Q90" s="1119" t="n"/>
      <c r="R90" s="1119" t="n"/>
      <c r="S90" s="1119" t="n"/>
      <c r="T90" s="1119" t="n"/>
      <c r="U90" s="1119" t="n"/>
      <c r="V90" s="1119" t="n"/>
      <c r="W90" s="1143" t="n"/>
      <c r="X90" s="509" t="n"/>
    </row>
    <row r="91" ht="12.6" customHeight="1" s="1062">
      <c r="A91" s="1069" t="n"/>
      <c r="B91" s="1087" t="n"/>
      <c r="C91" s="372" t="inlineStr">
        <is>
          <t>GR04</t>
        </is>
      </c>
      <c r="D91" s="373" t="inlineStr">
        <is>
          <t>万能円筒研削盤</t>
        </is>
      </c>
      <c r="E91" s="374" t="inlineStr">
        <is>
          <t>0656-AA</t>
        </is>
      </c>
      <c r="F91" s="374" t="inlineStr">
        <is>
          <t>TOYODA</t>
        </is>
      </c>
      <c r="G91" s="374" t="inlineStr">
        <is>
          <t>GUP32X50</t>
        </is>
      </c>
      <c r="H91" s="375" t="n">
        <v>910</v>
      </c>
      <c r="I91" s="863" t="inlineStr">
        <is>
          <t>B</t>
        </is>
      </c>
      <c r="J91" s="845" t="n"/>
      <c r="K91" s="114" t="n"/>
      <c r="L91" s="1122" t="n">
        <v>21282</v>
      </c>
      <c r="M91" s="1123" t="n">
        <v>15244</v>
      </c>
      <c r="N91" s="1124" t="n">
        <v>20283</v>
      </c>
      <c r="O91" s="1122" t="n"/>
      <c r="P91" s="1123" t="n"/>
      <c r="Q91" s="1123" t="n"/>
      <c r="R91" s="1123" t="n"/>
      <c r="S91" s="1123" t="n"/>
      <c r="T91" s="1123" t="n"/>
      <c r="U91" s="1123" t="n"/>
      <c r="V91" s="1123" t="n"/>
      <c r="W91" s="1125" t="n"/>
      <c r="X91" s="511" t="n"/>
    </row>
    <row r="92" ht="12.6" customHeight="1" s="1062">
      <c r="A92" s="1069" t="n"/>
      <c r="B92" s="1091" t="n"/>
      <c r="C92" s="71" t="n"/>
      <c r="D92" s="72" t="n"/>
      <c r="E92" s="71" t="n"/>
      <c r="F92" s="71" t="n"/>
      <c r="G92" s="71" t="n"/>
      <c r="H92" s="71" t="n"/>
      <c r="I92" s="73" t="n"/>
      <c r="J92" s="73" t="n"/>
      <c r="K92" s="150" t="n"/>
      <c r="L92" s="1117" t="n"/>
      <c r="M92" s="1078" t="n"/>
      <c r="N92" s="1117" t="n"/>
      <c r="O92" s="1117" t="n"/>
      <c r="P92" s="1078" t="n"/>
      <c r="Q92" s="1078" t="n"/>
      <c r="R92" s="1078" t="n"/>
      <c r="S92" s="1078" t="n"/>
      <c r="T92" s="1078" t="n"/>
      <c r="U92" s="1078" t="n"/>
      <c r="V92" s="1078" t="n"/>
      <c r="W92" s="1094" t="n"/>
      <c r="X92" s="505" t="n"/>
    </row>
    <row r="93" ht="12.6" customHeight="1" s="1062">
      <c r="A93" s="1069" t="n"/>
      <c r="B93" s="76" t="n"/>
      <c r="C93" s="76" t="n"/>
      <c r="D93" s="86" t="n"/>
      <c r="E93" s="76" t="n"/>
      <c r="F93" s="76" t="n"/>
      <c r="G93" s="76" t="n"/>
      <c r="H93" s="77">
        <f>SUM(H90:H92)</f>
        <v/>
      </c>
      <c r="I93" s="935" t="n"/>
      <c r="J93" s="934" t="inlineStr">
        <is>
          <t>GR</t>
        </is>
      </c>
      <c r="K93" s="79" t="inlineStr">
        <is>
          <t>合計</t>
        </is>
      </c>
      <c r="L93" s="620">
        <f>SUM(L90:L92)</f>
        <v/>
      </c>
      <c r="M93" s="620">
        <f>SUM(M90:M92)</f>
        <v/>
      </c>
      <c r="N93" s="831">
        <f>SUM(N90:N92)</f>
        <v/>
      </c>
      <c r="O93" s="620">
        <f>SUM(O90:O92)</f>
        <v/>
      </c>
      <c r="P93" s="620">
        <f>SUM(P90:P92)</f>
        <v/>
      </c>
      <c r="Q93" s="620">
        <f>SUM(Q90:Q92)</f>
        <v/>
      </c>
      <c r="R93" s="620">
        <f>SUM(R90:R92)</f>
        <v/>
      </c>
      <c r="S93" s="620">
        <f>SUM(S90:S92)</f>
        <v/>
      </c>
      <c r="T93" s="620">
        <f>SUM(T90:T92)</f>
        <v/>
      </c>
      <c r="U93" s="620">
        <f>SUM(U90:U92)</f>
        <v/>
      </c>
      <c r="V93" s="620">
        <f>SUM(V90:V92)</f>
        <v/>
      </c>
      <c r="W93" s="620">
        <f>SUM(W90:W92)</f>
        <v/>
      </c>
      <c r="X93" s="510" t="n"/>
    </row>
    <row r="94" ht="12.6" customHeight="1" s="1062">
      <c r="A94" s="1080" t="n"/>
      <c r="B94" s="80" t="n"/>
      <c r="C94" s="80" t="n"/>
      <c r="D94" s="87" t="n"/>
      <c r="E94" s="80" t="n"/>
      <c r="F94" s="80" t="n"/>
      <c r="G94" s="80" t="n"/>
      <c r="H94" s="80" t="n"/>
      <c r="I94" s="934" t="n"/>
      <c r="J94" s="1096" t="n"/>
      <c r="K94" s="82" t="inlineStr">
        <is>
          <t>稼働率</t>
        </is>
      </c>
      <c r="L94" s="528">
        <f>L93/($H$93*L3)</f>
        <v/>
      </c>
      <c r="M94" s="528">
        <f>M93/($H$93*M3)</f>
        <v/>
      </c>
      <c r="N94" s="528">
        <f>N93/($H$93*N3)</f>
        <v/>
      </c>
      <c r="O94" s="528">
        <f>O93/($H$93*O3)</f>
        <v/>
      </c>
      <c r="P94" s="528">
        <f>P93/($H$93*P3)</f>
        <v/>
      </c>
      <c r="Q94" s="528">
        <f>Q93/($H$93*Q3)</f>
        <v/>
      </c>
      <c r="R94" s="528">
        <f>R93/($H$93*R3)</f>
        <v/>
      </c>
      <c r="S94" s="528">
        <f>S93/($H$93*S3)</f>
        <v/>
      </c>
      <c r="T94" s="528">
        <f>T93/($H$93*T3)</f>
        <v/>
      </c>
      <c r="U94" s="528">
        <f>U93/($H$93*U3)</f>
        <v/>
      </c>
      <c r="V94" s="528">
        <f>V93/($H$93*V3)</f>
        <v/>
      </c>
      <c r="W94" s="528">
        <f>W93/($H$93*W3)</f>
        <v/>
      </c>
      <c r="X94" s="507" t="n"/>
    </row>
    <row r="95" ht="12.6" customFormat="1" customHeight="1" s="157">
      <c r="A95" s="1144" t="inlineStr">
        <is>
          <t>GX</t>
        </is>
      </c>
      <c r="B95" s="1145" t="n">
        <v>0</v>
      </c>
      <c r="C95" s="60" t="n"/>
      <c r="D95" s="60" t="n"/>
      <c r="E95" s="60" t="n"/>
      <c r="F95" s="60" t="n"/>
      <c r="G95" s="60" t="n"/>
      <c r="H95" s="60" t="n"/>
      <c r="I95" s="64" t="n"/>
      <c r="J95" s="64" t="n"/>
      <c r="K95" s="145" t="n"/>
      <c r="L95" s="64" t="n"/>
      <c r="M95" s="60" t="n"/>
      <c r="N95" s="64" t="n"/>
      <c r="O95" s="64" t="n"/>
      <c r="P95" s="60" t="n"/>
      <c r="Q95" s="60" t="n"/>
      <c r="R95" s="60" t="n"/>
      <c r="S95" s="60" t="n"/>
      <c r="T95" s="60" t="n"/>
      <c r="U95" s="60" t="n"/>
      <c r="V95" s="60" t="n"/>
      <c r="W95" s="156" t="n"/>
      <c r="X95" s="523" t="n"/>
    </row>
    <row r="96" hidden="1" ht="12.6" customFormat="1" customHeight="1" s="157">
      <c r="A96" s="1069" t="n"/>
      <c r="B96" s="1091" t="n"/>
      <c r="C96" s="158" t="n"/>
      <c r="D96" s="158" t="n"/>
      <c r="E96" s="159" t="n"/>
      <c r="F96" s="159" t="n"/>
      <c r="G96" s="159" t="n"/>
      <c r="H96" s="159" t="n"/>
      <c r="I96" s="160" t="n"/>
      <c r="J96" s="161" t="n"/>
      <c r="K96" s="120" t="n"/>
      <c r="L96" s="161" t="n"/>
      <c r="M96" s="158" t="n"/>
      <c r="N96" s="161" t="n"/>
      <c r="O96" s="161" t="n"/>
      <c r="P96" s="158" t="n"/>
      <c r="Q96" s="158" t="n"/>
      <c r="R96" s="158" t="n"/>
      <c r="S96" s="158" t="n"/>
      <c r="T96" s="158" t="n"/>
      <c r="U96" s="158" t="n"/>
      <c r="V96" s="158" t="n"/>
      <c r="W96" s="162" t="n"/>
      <c r="X96" s="524" t="n"/>
    </row>
    <row r="97" ht="12.6" customFormat="1" customHeight="1" s="157">
      <c r="A97" s="1069" t="n"/>
      <c r="B97" s="603" t="n"/>
      <c r="C97" s="604" t="n"/>
      <c r="D97" s="604" t="n"/>
      <c r="E97" s="604" t="n"/>
      <c r="F97" s="604" t="n"/>
      <c r="G97" s="604" t="n"/>
      <c r="H97" s="605">
        <f>SUM(H95:H96)</f>
        <v/>
      </c>
      <c r="I97" s="968" t="n"/>
      <c r="J97" s="1146" t="inlineStr">
        <is>
          <t>GX</t>
        </is>
      </c>
      <c r="K97" s="607" t="inlineStr">
        <is>
          <t>合計</t>
        </is>
      </c>
      <c r="L97" s="627">
        <f>SUM(L95:L96)</f>
        <v/>
      </c>
      <c r="M97" s="627">
        <f>SUM(M95:M96)</f>
        <v/>
      </c>
      <c r="N97" s="835">
        <f>SUM(N95:N96)</f>
        <v/>
      </c>
      <c r="O97" s="627">
        <f>SUM(O95:O96)</f>
        <v/>
      </c>
      <c r="P97" s="627">
        <f>SUM(P95:P96)</f>
        <v/>
      </c>
      <c r="Q97" s="627">
        <f>SUM(Q95:Q96)</f>
        <v/>
      </c>
      <c r="R97" s="627">
        <f>SUM(R95:R96)</f>
        <v/>
      </c>
      <c r="S97" s="627">
        <f>SUM(S95:S96)</f>
        <v/>
      </c>
      <c r="T97" s="627">
        <f>SUM(T95:T96)</f>
        <v/>
      </c>
      <c r="U97" s="627">
        <f>SUM(U95:U96)</f>
        <v/>
      </c>
      <c r="V97" s="627">
        <f>SUM(V95:V96)</f>
        <v/>
      </c>
      <c r="W97" s="628">
        <f>SUM(W95:W96)</f>
        <v/>
      </c>
      <c r="X97" s="523" t="n"/>
    </row>
    <row r="98" ht="12.6" customFormat="1" customHeight="1" s="157">
      <c r="A98" s="1080" t="n"/>
      <c r="B98" s="608" t="n"/>
      <c r="C98" s="163" t="n"/>
      <c r="D98" s="163" t="n"/>
      <c r="E98" s="163" t="n"/>
      <c r="F98" s="163" t="n"/>
      <c r="G98" s="163" t="n"/>
      <c r="H98" s="163" t="n"/>
      <c r="I98" s="969" t="n"/>
      <c r="J98" s="1096" t="n"/>
      <c r="K98" s="164" t="inlineStr">
        <is>
          <t>稼働率</t>
        </is>
      </c>
      <c r="L98" s="537">
        <f>L97/($H$97*L3)</f>
        <v/>
      </c>
      <c r="M98" s="537">
        <f>M97/($H$97*M3)</f>
        <v/>
      </c>
      <c r="N98" s="537">
        <f>N97/($H$97*N3)</f>
        <v/>
      </c>
      <c r="O98" s="537">
        <f>O97/($H$97*O3)</f>
        <v/>
      </c>
      <c r="P98" s="537">
        <f>P97/($H$97*P3)</f>
        <v/>
      </c>
      <c r="Q98" s="537">
        <f>Q97/($H$97*Q3)</f>
        <v/>
      </c>
      <c r="R98" s="537">
        <f>R97/($H$97*R3)</f>
        <v/>
      </c>
      <c r="S98" s="537">
        <f>S97/($H$97*S3)</f>
        <v/>
      </c>
      <c r="T98" s="537">
        <f>T97/($H$97*T3)</f>
        <v/>
      </c>
      <c r="U98" s="537">
        <f>U97/($H$97*U3)</f>
        <v/>
      </c>
      <c r="V98" s="537">
        <f>V97/($H$97*V3)</f>
        <v/>
      </c>
      <c r="W98" s="537">
        <f>W97/($H$97*W3)</f>
        <v/>
      </c>
      <c r="X98" s="525" t="n"/>
    </row>
    <row r="99" ht="12.6" customHeight="1" s="1062">
      <c r="A99" s="930" t="inlineStr">
        <is>
          <t>GS</t>
        </is>
      </c>
      <c r="B99" s="1082" t="n">
        <v>7</v>
      </c>
      <c r="C99" s="841" t="inlineStr">
        <is>
          <t>GS01</t>
        </is>
      </c>
      <c r="D99" s="842" t="inlineStr">
        <is>
          <t>成形研削盤</t>
        </is>
      </c>
      <c r="E99" s="340" t="inlineStr">
        <is>
          <t>0637-AA</t>
        </is>
      </c>
      <c r="F99" s="340" t="inlineStr">
        <is>
          <t>KURODA</t>
        </is>
      </c>
      <c r="G99" s="340" t="inlineStr">
        <is>
          <t>GS-45HL</t>
        </is>
      </c>
      <c r="H99" s="843" t="n">
        <v>910</v>
      </c>
      <c r="I99" s="857" t="inlineStr">
        <is>
          <t>B</t>
        </is>
      </c>
      <c r="J99" s="98" t="n"/>
      <c r="K99" s="70" t="n"/>
      <c r="L99" s="1083" t="n">
        <v>21508</v>
      </c>
      <c r="M99" s="1147" t="n">
        <v>15192</v>
      </c>
      <c r="N99" s="1148" t="n">
        <v>24106</v>
      </c>
      <c r="O99" s="1066" t="n"/>
      <c r="P99" s="1147" t="n"/>
      <c r="Q99" s="1147" t="n"/>
      <c r="R99" s="1147" t="n"/>
      <c r="S99" s="1147" t="n"/>
      <c r="T99" s="1147" t="n"/>
      <c r="U99" s="1147" t="n"/>
      <c r="V99" s="1129" t="n"/>
      <c r="W99" s="1068" t="n"/>
      <c r="X99" s="503" t="n"/>
    </row>
    <row r="100" ht="12.6" customHeight="1" s="1062">
      <c r="A100" s="1069" t="n"/>
      <c r="B100" s="1087" t="n"/>
      <c r="C100" s="860" t="inlineStr">
        <is>
          <t>GS02</t>
        </is>
      </c>
      <c r="D100" s="861" t="inlineStr">
        <is>
          <t>成形研削盤</t>
        </is>
      </c>
      <c r="E100" s="343" t="inlineStr">
        <is>
          <t>0750-AA</t>
        </is>
      </c>
      <c r="F100" s="343" t="inlineStr">
        <is>
          <t>KURODA</t>
        </is>
      </c>
      <c r="G100" s="343" t="inlineStr">
        <is>
          <t>GS-45HL</t>
        </is>
      </c>
      <c r="H100" s="862" t="n">
        <v>910</v>
      </c>
      <c r="I100" s="881" t="inlineStr">
        <is>
          <t>B</t>
        </is>
      </c>
      <c r="J100" s="886" t="n"/>
      <c r="K100" s="70" t="n"/>
      <c r="L100" s="1083" t="n">
        <v>21883</v>
      </c>
      <c r="M100" s="1147" t="n">
        <v>15609</v>
      </c>
      <c r="N100" s="1148" t="n">
        <v>25656</v>
      </c>
      <c r="O100" s="1066" t="n"/>
      <c r="P100" s="1147" t="n"/>
      <c r="Q100" s="1147" t="n"/>
      <c r="R100" s="1147" t="n"/>
      <c r="S100" s="1147" t="n"/>
      <c r="T100" s="1147" t="n"/>
      <c r="U100" s="1147" t="n"/>
      <c r="V100" s="1129" t="n"/>
      <c r="W100" s="1068" t="n"/>
      <c r="X100" s="503" t="n"/>
    </row>
    <row r="101" ht="12.6" customHeight="1" s="1062">
      <c r="A101" s="1069" t="n"/>
      <c r="B101" s="1087" t="n"/>
      <c r="C101" s="860" t="inlineStr">
        <is>
          <t>GS03</t>
        </is>
      </c>
      <c r="D101" s="861" t="inlineStr">
        <is>
          <t>成形研削盤</t>
        </is>
      </c>
      <c r="E101" s="362" t="inlineStr">
        <is>
          <t>0688-AA</t>
        </is>
      </c>
      <c r="F101" s="343" t="inlineStr">
        <is>
          <t>KURODA</t>
        </is>
      </c>
      <c r="G101" s="343" t="inlineStr">
        <is>
          <t>GS-45HL</t>
        </is>
      </c>
      <c r="H101" s="862" t="n">
        <v>910</v>
      </c>
      <c r="I101" s="881" t="inlineStr">
        <is>
          <t>B</t>
        </is>
      </c>
      <c r="J101" s="886" t="n"/>
      <c r="K101" s="70" t="n"/>
      <c r="L101" s="1149" t="n">
        <v>21072</v>
      </c>
      <c r="M101" s="1147" t="n">
        <v>14268</v>
      </c>
      <c r="N101" s="1148" t="n">
        <v>22814</v>
      </c>
      <c r="O101" s="1066" t="n"/>
      <c r="P101" s="1147" t="n"/>
      <c r="Q101" s="1147" t="n"/>
      <c r="R101" s="1147" t="n"/>
      <c r="S101" s="1147" t="n"/>
      <c r="T101" s="1147" t="n"/>
      <c r="U101" s="1147" t="n"/>
      <c r="V101" s="1147" t="n"/>
      <c r="W101" s="1068" t="n"/>
      <c r="X101" s="503" t="n"/>
      <c r="Z101" s="836" t="n"/>
    </row>
    <row r="102" ht="12.6" customHeight="1" s="1062">
      <c r="A102" s="1069" t="n"/>
      <c r="B102" s="1087" t="n"/>
      <c r="C102" s="860" t="inlineStr">
        <is>
          <t>GS04</t>
        </is>
      </c>
      <c r="D102" s="861" t="inlineStr">
        <is>
          <t>成形研削盤</t>
        </is>
      </c>
      <c r="E102" s="343" t="inlineStr">
        <is>
          <t>0751-AA</t>
        </is>
      </c>
      <c r="F102" s="343" t="inlineStr">
        <is>
          <t>KURODA</t>
        </is>
      </c>
      <c r="G102" s="343" t="inlineStr">
        <is>
          <t>GS-45HL</t>
        </is>
      </c>
      <c r="H102" s="862" t="n">
        <v>910</v>
      </c>
      <c r="I102" s="881" t="inlineStr">
        <is>
          <t>B</t>
        </is>
      </c>
      <c r="J102" s="886" t="n"/>
      <c r="K102" s="70" t="n"/>
      <c r="L102" s="1149" t="n">
        <v>21830</v>
      </c>
      <c r="M102" s="1147" t="n">
        <v>15348</v>
      </c>
      <c r="N102" s="1148" t="n">
        <v>24721</v>
      </c>
      <c r="O102" s="1066" t="n"/>
      <c r="P102" s="1147" t="n"/>
      <c r="Q102" s="1147" t="n"/>
      <c r="R102" s="1147" t="n"/>
      <c r="S102" s="1147" t="n"/>
      <c r="T102" s="1147" t="n"/>
      <c r="U102" s="1147" t="n"/>
      <c r="V102" s="1147" t="n"/>
      <c r="W102" s="1068" t="n"/>
      <c r="X102" s="503" t="n"/>
    </row>
    <row r="103" ht="12.6" customHeight="1" s="1062">
      <c r="A103" s="1069" t="n"/>
      <c r="B103" s="1087" t="n"/>
      <c r="C103" s="860" t="inlineStr">
        <is>
          <t>GS05</t>
        </is>
      </c>
      <c r="D103" s="861" t="inlineStr">
        <is>
          <t>成形研削盤</t>
        </is>
      </c>
      <c r="E103" s="343" t="inlineStr">
        <is>
          <t>0663-AA</t>
        </is>
      </c>
      <c r="F103" s="343" t="inlineStr">
        <is>
          <t>KURODA</t>
        </is>
      </c>
      <c r="G103" s="343" t="inlineStr">
        <is>
          <t>GS-45HL</t>
        </is>
      </c>
      <c r="H103" s="862" t="n">
        <v>910</v>
      </c>
      <c r="I103" s="881" t="inlineStr">
        <is>
          <t>C</t>
        </is>
      </c>
      <c r="J103" s="886" t="n"/>
      <c r="K103" s="70" t="n"/>
      <c r="L103" s="1066" t="n">
        <v>23003</v>
      </c>
      <c r="M103" s="1147" t="n">
        <v>14490</v>
      </c>
      <c r="N103" s="1148" t="n">
        <v>22897</v>
      </c>
      <c r="O103" s="1066" t="n"/>
      <c r="P103" s="1147" t="n"/>
      <c r="Q103" s="1147" t="n"/>
      <c r="R103" s="1147" t="n"/>
      <c r="S103" s="1147" t="n"/>
      <c r="T103" s="1147" t="n"/>
      <c r="U103" s="1147" t="n"/>
      <c r="V103" s="1147" t="n"/>
      <c r="W103" s="1068" t="n"/>
      <c r="X103" s="503" t="n"/>
    </row>
    <row r="104" ht="12.6" customFormat="1" customHeight="1" s="500">
      <c r="A104" s="1069" t="n"/>
      <c r="B104" s="1087" t="n"/>
      <c r="C104" s="860" t="inlineStr">
        <is>
          <t>GS07</t>
        </is>
      </c>
      <c r="D104" s="861" t="inlineStr">
        <is>
          <t>平面研削盤</t>
        </is>
      </c>
      <c r="E104" s="343" t="inlineStr">
        <is>
          <t>0662-AA</t>
        </is>
      </c>
      <c r="F104" s="343" t="inlineStr">
        <is>
          <t>KURODA</t>
        </is>
      </c>
      <c r="G104" s="343" t="inlineStr">
        <is>
          <t>GS65-PFⅡ</t>
        </is>
      </c>
      <c r="H104" s="862" t="n">
        <v>910</v>
      </c>
      <c r="I104" s="881" t="inlineStr">
        <is>
          <t>B</t>
        </is>
      </c>
      <c r="J104" s="886" t="n"/>
      <c r="K104" s="845" t="n"/>
      <c r="L104" s="1085" t="n">
        <v>243</v>
      </c>
      <c r="M104" s="1072" t="n">
        <v>436</v>
      </c>
      <c r="N104" s="1084" t="n">
        <v>1644</v>
      </c>
      <c r="O104" s="1085" t="n"/>
      <c r="P104" s="1072" t="n"/>
      <c r="Q104" s="1072" t="n"/>
      <c r="R104" s="1072" t="n"/>
      <c r="S104" s="1072" t="n"/>
      <c r="T104" s="1085" t="n"/>
      <c r="U104" s="1085" t="n"/>
      <c r="V104" s="1085" t="n"/>
      <c r="W104" s="1074" t="n"/>
      <c r="X104" s="504" t="n"/>
      <c r="Y104" s="0" t="n"/>
    </row>
    <row r="105" ht="12.6" customHeight="1" s="1062">
      <c r="A105" s="1069" t="n"/>
      <c r="B105" s="1087" t="n"/>
      <c r="C105" s="860" t="inlineStr">
        <is>
          <t>GS08</t>
        </is>
      </c>
      <c r="D105" s="861" t="inlineStr">
        <is>
          <t>成形研削盤</t>
        </is>
      </c>
      <c r="E105" s="343" t="inlineStr">
        <is>
          <t>0636-AA</t>
        </is>
      </c>
      <c r="F105" s="343" t="inlineStr">
        <is>
          <t>KURODA</t>
        </is>
      </c>
      <c r="G105" s="343" t="inlineStr">
        <is>
          <t>GS-45HL</t>
        </is>
      </c>
      <c r="H105" s="862" t="n">
        <v>910</v>
      </c>
      <c r="I105" s="881" t="inlineStr">
        <is>
          <t>B</t>
        </is>
      </c>
      <c r="J105" s="886" t="n"/>
      <c r="K105" s="70" t="n"/>
      <c r="L105" s="1085" t="n">
        <v>20778</v>
      </c>
      <c r="M105" s="1072" t="n">
        <v>14553</v>
      </c>
      <c r="N105" s="1084" t="n">
        <v>23456</v>
      </c>
      <c r="O105" s="1085" t="n"/>
      <c r="P105" s="1072" t="n"/>
      <c r="Q105" s="1072" t="n"/>
      <c r="R105" s="1072" t="n"/>
      <c r="S105" s="1072" t="n"/>
      <c r="T105" s="1072" t="n"/>
      <c r="U105" s="1072" t="n"/>
      <c r="V105" s="1072" t="n"/>
      <c r="W105" s="1074" t="n"/>
      <c r="X105" s="504" t="n"/>
    </row>
    <row r="106" ht="12.6" customHeight="1" s="1062">
      <c r="A106" s="1069" t="n"/>
      <c r="B106" s="1091" t="n"/>
      <c r="C106" s="90" t="n"/>
      <c r="D106" s="72" t="n"/>
      <c r="E106" s="75" t="n"/>
      <c r="F106" s="75" t="n"/>
      <c r="G106" s="75" t="n"/>
      <c r="H106" s="75" t="n"/>
      <c r="I106" s="99" t="n"/>
      <c r="J106" s="886" t="n"/>
      <c r="K106" s="74" t="n"/>
      <c r="L106" s="99" t="n"/>
      <c r="M106" s="75" t="n"/>
      <c r="N106" s="99" t="n"/>
      <c r="O106" s="99" t="n"/>
      <c r="P106" s="75" t="n"/>
      <c r="Q106" s="75" t="n"/>
      <c r="R106" s="75" t="n"/>
      <c r="S106" s="75" t="n"/>
      <c r="T106" s="75" t="n"/>
      <c r="U106" s="75" t="n"/>
      <c r="V106" s="75" t="n"/>
      <c r="W106" s="165" t="n"/>
      <c r="X106" s="505" t="n"/>
    </row>
    <row r="107" ht="12.6" customHeight="1" s="1062">
      <c r="A107" s="1069" t="n"/>
      <c r="B107" s="76" t="n"/>
      <c r="C107" s="76" t="n"/>
      <c r="D107" s="86" t="n"/>
      <c r="E107" s="76" t="n"/>
      <c r="F107" s="76" t="n"/>
      <c r="G107" s="76" t="n"/>
      <c r="H107" s="77">
        <f>SUM(H99:H106)</f>
        <v/>
      </c>
      <c r="I107" s="935" t="n"/>
      <c r="J107" s="1095" t="inlineStr">
        <is>
          <t>GS</t>
        </is>
      </c>
      <c r="K107" s="79" t="inlineStr">
        <is>
          <t>合計</t>
        </is>
      </c>
      <c r="L107" s="618">
        <f>SUM(L99:L106)</f>
        <v/>
      </c>
      <c r="M107" s="618">
        <f>SUM(M99:M106)</f>
        <v/>
      </c>
      <c r="N107" s="830">
        <f>SUM(N99:N106)</f>
        <v/>
      </c>
      <c r="O107" s="618">
        <f>SUM(O99:O106)</f>
        <v/>
      </c>
      <c r="P107" s="618">
        <f>SUM(P99:P106)</f>
        <v/>
      </c>
      <c r="Q107" s="618">
        <f>SUM(Q99:Q106)</f>
        <v/>
      </c>
      <c r="R107" s="618">
        <f>SUM(R99:R106)</f>
        <v/>
      </c>
      <c r="S107" s="618">
        <f>SUM(S99:S106)</f>
        <v/>
      </c>
      <c r="T107" s="618">
        <f>SUM(T99:T106)</f>
        <v/>
      </c>
      <c r="U107" s="618">
        <f>SUM(U99:U106)</f>
        <v/>
      </c>
      <c r="V107" s="618">
        <f>SUM(V99:V106)</f>
        <v/>
      </c>
      <c r="W107" s="618">
        <f>SUM(W99:W106)</f>
        <v/>
      </c>
      <c r="X107" s="506" t="n"/>
    </row>
    <row r="108" ht="12.6" customHeight="1" s="1062">
      <c r="A108" s="1080" t="n"/>
      <c r="B108" s="80" t="n"/>
      <c r="C108" s="80" t="n"/>
      <c r="D108" s="87" t="n"/>
      <c r="E108" s="80" t="n"/>
      <c r="F108" s="80" t="n"/>
      <c r="G108" s="80" t="n"/>
      <c r="H108" s="80" t="n"/>
      <c r="I108" s="934" t="n"/>
      <c r="J108" s="1096" t="n"/>
      <c r="K108" s="82" t="inlineStr">
        <is>
          <t>稼働率</t>
        </is>
      </c>
      <c r="L108" s="528">
        <f>L107/($H$107*L3)</f>
        <v/>
      </c>
      <c r="M108" s="528">
        <f>M107/($H$107*M3)</f>
        <v/>
      </c>
      <c r="N108" s="528">
        <f>N107/($H$107*N3)</f>
        <v/>
      </c>
      <c r="O108" s="528">
        <f>O107/($H$107*O3)</f>
        <v/>
      </c>
      <c r="P108" s="528">
        <f>P107/($H$107*P3)</f>
        <v/>
      </c>
      <c r="Q108" s="528">
        <f>Q107/($H$107*Q3)</f>
        <v/>
      </c>
      <c r="R108" s="528">
        <f>R107/($H$107*R3)</f>
        <v/>
      </c>
      <c r="S108" s="528">
        <f>S107/($H$107*S3)</f>
        <v/>
      </c>
      <c r="T108" s="528">
        <f>T107/($H$107*T3)</f>
        <v/>
      </c>
      <c r="U108" s="528">
        <f>U107/($H$107*U3)</f>
        <v/>
      </c>
      <c r="V108" s="528">
        <f>V107/($H$107*V3)</f>
        <v/>
      </c>
      <c r="W108" s="528">
        <f>W107/($H$107*W3)</f>
        <v/>
      </c>
      <c r="X108" s="507" t="n"/>
    </row>
    <row r="109">
      <c r="D109" s="100" t="n"/>
    </row>
    <row r="110">
      <c r="D110" s="100" t="n"/>
    </row>
    <row r="111">
      <c r="D111" s="100" t="n"/>
    </row>
    <row r="112">
      <c r="D112" s="100" t="n"/>
    </row>
    <row r="113">
      <c r="D113" s="100" t="n"/>
    </row>
    <row r="114">
      <c r="D114" s="100" t="n"/>
    </row>
    <row r="115">
      <c r="D115" s="100" t="n"/>
    </row>
    <row r="116">
      <c r="D116" s="100" t="n"/>
    </row>
    <row r="117">
      <c r="D117" s="100" t="n"/>
    </row>
    <row r="118">
      <c r="D118" s="100" t="n"/>
    </row>
    <row r="119">
      <c r="D119" s="100" t="n"/>
    </row>
    <row r="120">
      <c r="D120" s="100" t="n"/>
    </row>
    <row r="121">
      <c r="D121" s="100" t="n"/>
    </row>
    <row r="122">
      <c r="D122" s="100" t="n"/>
    </row>
    <row r="123">
      <c r="D123" s="100" t="n"/>
    </row>
    <row r="124">
      <c r="D124" s="100" t="n"/>
    </row>
  </sheetData>
  <autoFilter ref="A4:W119"/>
  <mergeCells count="50">
    <mergeCell ref="J93:J94"/>
    <mergeCell ref="B19:B25"/>
    <mergeCell ref="J82:J83"/>
    <mergeCell ref="B44:B48"/>
    <mergeCell ref="B60:B64"/>
    <mergeCell ref="A12:A18"/>
    <mergeCell ref="J77:J78"/>
    <mergeCell ref="J37:J38"/>
    <mergeCell ref="B5:B9"/>
    <mergeCell ref="J49:J50"/>
    <mergeCell ref="A5:A11"/>
    <mergeCell ref="B74:B76"/>
    <mergeCell ref="J65:J66"/>
    <mergeCell ref="A84:A89"/>
    <mergeCell ref="B51:B53"/>
    <mergeCell ref="A56:A59"/>
    <mergeCell ref="J107:J108"/>
    <mergeCell ref="A28:A32"/>
    <mergeCell ref="J54:J55"/>
    <mergeCell ref="B79:B81"/>
    <mergeCell ref="A95:A98"/>
    <mergeCell ref="A19:A27"/>
    <mergeCell ref="A44:A50"/>
    <mergeCell ref="J26:J27"/>
    <mergeCell ref="A67:A73"/>
    <mergeCell ref="B84:B87"/>
    <mergeCell ref="A39:A43"/>
    <mergeCell ref="A79:A83"/>
    <mergeCell ref="B90:B92"/>
    <mergeCell ref="A51:A55"/>
    <mergeCell ref="A99:A108"/>
    <mergeCell ref="B12:B16"/>
    <mergeCell ref="B95:B96"/>
    <mergeCell ref="B33:B36"/>
    <mergeCell ref="J31:J32"/>
    <mergeCell ref="A33:A38"/>
    <mergeCell ref="J58:J59"/>
    <mergeCell ref="B39:B41"/>
    <mergeCell ref="B67:B71"/>
    <mergeCell ref="J17:J18"/>
    <mergeCell ref="A60:A66"/>
    <mergeCell ref="J97:J98"/>
    <mergeCell ref="A74:A78"/>
    <mergeCell ref="J88:J89"/>
    <mergeCell ref="J42:J43"/>
    <mergeCell ref="A90:A94"/>
    <mergeCell ref="B99:B106"/>
    <mergeCell ref="J72:J73"/>
    <mergeCell ref="B28:B30"/>
    <mergeCell ref="J10:J11"/>
  </mergeCells>
  <pageMargins left="0.75" right="0.75" top="1" bottom="1" header="0.512" footer="0.512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2:X91"/>
  <sheetViews>
    <sheetView topLeftCell="A55" zoomScaleNormal="100" workbookViewId="0">
      <selection activeCell="D79" sqref="D79"/>
    </sheetView>
  </sheetViews>
  <sheetFormatPr baseColWidth="8" defaultColWidth="9" defaultRowHeight="14.4"/>
  <cols>
    <col width="23.44140625" customWidth="1" style="873" min="1" max="1"/>
    <col width="8" customWidth="1" style="873" min="2" max="4"/>
    <col width="8" customWidth="1" style="182" min="5" max="5"/>
    <col width="9" customWidth="1" style="873" min="6" max="10"/>
    <col width="8.6640625" customWidth="1" style="873" min="11" max="11"/>
    <col width="8.88671875" customWidth="1" style="873" min="12" max="12"/>
    <col width="7.5546875" customWidth="1" style="873" min="13" max="14"/>
    <col width="9" customWidth="1" style="873" min="15" max="24"/>
    <col width="9" customWidth="1" style="875" min="25" max="16384"/>
  </cols>
  <sheetData>
    <row r="2">
      <c r="A2" s="869" t="n">
        <v>1</v>
      </c>
      <c r="B2" s="394" t="inlineStr">
        <is>
          <t>内作受注数量</t>
        </is>
      </c>
    </row>
    <row r="3">
      <c r="A3" s="873" t="inlineStr">
        <is>
          <t>内作受注数量</t>
        </is>
      </c>
      <c r="B3" s="872" t="inlineStr">
        <is>
          <t>1月</t>
        </is>
      </c>
      <c r="C3" s="872" t="inlineStr">
        <is>
          <t>2月</t>
        </is>
      </c>
      <c r="D3" s="872" t="inlineStr">
        <is>
          <t>3月</t>
        </is>
      </c>
      <c r="E3" s="871" t="inlineStr">
        <is>
          <t>4月</t>
        </is>
      </c>
      <c r="F3" s="872" t="inlineStr">
        <is>
          <t>5月</t>
        </is>
      </c>
      <c r="G3" s="872" t="inlineStr">
        <is>
          <t>6月</t>
        </is>
      </c>
      <c r="H3" s="872" t="inlineStr">
        <is>
          <t>7月</t>
        </is>
      </c>
      <c r="I3" s="872" t="inlineStr">
        <is>
          <t>8月</t>
        </is>
      </c>
      <c r="J3" s="872" t="inlineStr">
        <is>
          <t>9月</t>
        </is>
      </c>
      <c r="K3" s="872" t="inlineStr">
        <is>
          <t>10月</t>
        </is>
      </c>
      <c r="L3" s="872" t="inlineStr">
        <is>
          <t>11月</t>
        </is>
      </c>
      <c r="M3" s="872" t="inlineStr">
        <is>
          <t>12月</t>
        </is>
      </c>
      <c r="N3" s="292" t="n"/>
      <c r="O3" s="292" t="n"/>
      <c r="P3" s="292" t="n"/>
      <c r="Q3" s="292" t="n"/>
      <c r="R3" s="292" t="n"/>
      <c r="S3" s="292" t="n"/>
      <c r="T3" s="292" t="n"/>
      <c r="U3" s="292" t="n"/>
      <c r="V3" s="292" t="n"/>
      <c r="W3" s="292" t="n"/>
      <c r="X3" s="292" t="n"/>
    </row>
    <row r="4">
      <c r="A4" s="869" t="inlineStr">
        <is>
          <t>số pcs nhận</t>
        </is>
      </c>
      <c r="B4" s="1150" t="n">
        <v>37419</v>
      </c>
      <c r="C4" s="1150" t="n">
        <v>18771</v>
      </c>
      <c r="D4" s="1151" t="n">
        <v>42119</v>
      </c>
      <c r="E4" s="871" t="n"/>
      <c r="F4" s="1152" t="n"/>
      <c r="G4" s="1152" t="n"/>
      <c r="H4" s="1152" t="n"/>
      <c r="I4" s="1152" t="n"/>
      <c r="J4" s="1152" t="n"/>
      <c r="K4" s="1152" t="n"/>
      <c r="L4" s="1152" t="n"/>
      <c r="M4" s="1152" t="n"/>
      <c r="N4" s="1153" t="n"/>
    </row>
    <row r="5">
      <c r="E5" s="178" t="inlineStr">
        <is>
          <t>※1ヶ月の受注総数量（図面1枚で製作数量が10個の場合は10と報告の事）</t>
        </is>
      </c>
    </row>
    <row r="6" ht="13.5" customHeight="1" s="1062">
      <c r="E6" s="178" t="n"/>
    </row>
    <row r="7">
      <c r="A7" s="394" t="n">
        <v>2</v>
      </c>
      <c r="B7" s="394" t="inlineStr">
        <is>
          <t>内作仕掛数量</t>
        </is>
      </c>
    </row>
    <row r="8">
      <c r="A8" s="873" t="inlineStr">
        <is>
          <t>内作仕掛数量</t>
        </is>
      </c>
      <c r="B8" s="872" t="inlineStr">
        <is>
          <t>1月</t>
        </is>
      </c>
      <c r="C8" s="872" t="inlineStr">
        <is>
          <t>2月</t>
        </is>
      </c>
      <c r="D8" s="872" t="inlineStr">
        <is>
          <t>3月</t>
        </is>
      </c>
      <c r="E8" s="871" t="inlineStr">
        <is>
          <t>4月</t>
        </is>
      </c>
      <c r="F8" s="872" t="inlineStr">
        <is>
          <t>5月</t>
        </is>
      </c>
      <c r="G8" s="872" t="inlineStr">
        <is>
          <t>6月</t>
        </is>
      </c>
      <c r="H8" s="872" t="inlineStr">
        <is>
          <t>7月</t>
        </is>
      </c>
      <c r="I8" s="872" t="inlineStr">
        <is>
          <t>8月</t>
        </is>
      </c>
      <c r="J8" s="872" t="inlineStr">
        <is>
          <t>9月</t>
        </is>
      </c>
      <c r="K8" s="872" t="inlineStr">
        <is>
          <t>10月</t>
        </is>
      </c>
      <c r="L8" s="872" t="inlineStr">
        <is>
          <t>11月</t>
        </is>
      </c>
      <c r="M8" s="872" t="inlineStr">
        <is>
          <t>12月</t>
        </is>
      </c>
      <c r="N8" s="292" t="n"/>
      <c r="O8" s="292" t="n"/>
      <c r="P8" s="292" t="n"/>
      <c r="Q8" s="292" t="n"/>
      <c r="R8" s="292" t="n"/>
      <c r="S8" s="292" t="n"/>
      <c r="T8" s="292" t="n"/>
      <c r="U8" s="292" t="n"/>
      <c r="V8" s="292" t="n"/>
      <c r="W8" s="292" t="n"/>
      <c r="X8" s="292" t="n"/>
    </row>
    <row r="9">
      <c r="A9" s="869" t="inlineStr">
        <is>
          <t>số pcs tồn</t>
        </is>
      </c>
      <c r="B9" s="1150" t="n">
        <v>33772</v>
      </c>
      <c r="C9" s="1150" t="n">
        <v>31704</v>
      </c>
      <c r="D9" s="1154" t="n">
        <v>35107</v>
      </c>
      <c r="E9" s="871" t="n"/>
      <c r="F9" s="1152" t="n"/>
      <c r="G9" s="1152" t="n"/>
      <c r="H9" s="1152" t="n"/>
      <c r="I9" s="1152" t="n"/>
      <c r="J9" s="1152" t="n"/>
      <c r="K9" s="1152" t="n"/>
      <c r="L9" s="1152" t="n"/>
      <c r="M9" s="1152" t="n"/>
      <c r="N9" s="1153" t="n"/>
    </row>
    <row r="10">
      <c r="E10" s="178" t="inlineStr">
        <is>
          <t>※月末時の仕掛り件数（図面1枚仕掛りで製作数量が10個の場合は10と報告の事）</t>
        </is>
      </c>
    </row>
    <row r="11" ht="13.5" customHeight="1" s="1062">
      <c r="E11" s="178" t="n"/>
    </row>
    <row r="12">
      <c r="A12" s="869" t="n">
        <v>3</v>
      </c>
      <c r="B12" s="394" t="inlineStr">
        <is>
          <t>内作完了数量</t>
        </is>
      </c>
    </row>
    <row r="13">
      <c r="A13" s="873" t="inlineStr">
        <is>
          <t>内作完了数量</t>
        </is>
      </c>
      <c r="B13" s="872" t="inlineStr">
        <is>
          <t>1月</t>
        </is>
      </c>
      <c r="C13" s="872" t="inlineStr">
        <is>
          <t>2月</t>
        </is>
      </c>
      <c r="D13" s="872" t="inlineStr">
        <is>
          <t>3月</t>
        </is>
      </c>
      <c r="E13" s="871" t="inlineStr">
        <is>
          <t>4月</t>
        </is>
      </c>
      <c r="F13" s="872" t="inlineStr">
        <is>
          <t>5月</t>
        </is>
      </c>
      <c r="G13" s="872" t="inlineStr">
        <is>
          <t>6月</t>
        </is>
      </c>
      <c r="H13" s="872" t="inlineStr">
        <is>
          <t>7月</t>
        </is>
      </c>
      <c r="I13" s="872" t="inlineStr">
        <is>
          <t>8月</t>
        </is>
      </c>
      <c r="J13" s="872" t="inlineStr">
        <is>
          <t>9月</t>
        </is>
      </c>
      <c r="K13" s="872" t="inlineStr">
        <is>
          <t>10月</t>
        </is>
      </c>
      <c r="L13" s="872" t="inlineStr">
        <is>
          <t>11月</t>
        </is>
      </c>
      <c r="M13" s="872" t="inlineStr">
        <is>
          <t>12月</t>
        </is>
      </c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</row>
    <row r="14">
      <c r="A14" s="869" t="inlineStr">
        <is>
          <t>số pcs hoàn thành</t>
        </is>
      </c>
      <c r="B14" s="1152" t="n">
        <v>34099</v>
      </c>
      <c r="C14" s="1152" t="n">
        <v>19956</v>
      </c>
      <c r="D14" s="1152" t="n">
        <v>35124</v>
      </c>
      <c r="E14" s="871" t="n"/>
      <c r="F14" s="1152" t="n"/>
      <c r="G14" s="1152" t="n"/>
      <c r="H14" s="1152" t="n"/>
      <c r="I14" s="1152" t="n"/>
      <c r="J14" s="1152" t="n"/>
      <c r="K14" s="1152" t="n"/>
      <c r="L14" s="1152" t="n"/>
      <c r="M14" s="1152" t="n"/>
      <c r="N14" s="1153" t="n"/>
    </row>
    <row r="15">
      <c r="E15" s="178" t="inlineStr">
        <is>
          <t>※1ヶ月の完了総数量（図面1枚で製作数量が10個の場合は10と報告の事）</t>
        </is>
      </c>
    </row>
    <row r="16" ht="13.5" customHeight="1" s="1062">
      <c r="E16" s="178" t="n"/>
    </row>
    <row r="17">
      <c r="A17" s="394" t="n">
        <v>4</v>
      </c>
      <c r="B17" s="394" t="inlineStr">
        <is>
          <t>内作受注図面枚数</t>
        </is>
      </c>
    </row>
    <row r="18">
      <c r="A18" s="873" t="inlineStr">
        <is>
          <t>内作受注図面枚数</t>
        </is>
      </c>
      <c r="B18" s="872" t="inlineStr">
        <is>
          <t>1月</t>
        </is>
      </c>
      <c r="C18" s="872" t="inlineStr">
        <is>
          <t>2月</t>
        </is>
      </c>
      <c r="D18" s="872" t="inlineStr">
        <is>
          <t>3月</t>
        </is>
      </c>
      <c r="E18" s="871" t="inlineStr">
        <is>
          <t>4月</t>
        </is>
      </c>
      <c r="F18" s="872" t="inlineStr">
        <is>
          <t>5月</t>
        </is>
      </c>
      <c r="G18" s="872" t="inlineStr">
        <is>
          <t>6月</t>
        </is>
      </c>
      <c r="H18" s="872" t="inlineStr">
        <is>
          <t>7月</t>
        </is>
      </c>
      <c r="I18" s="872" t="inlineStr">
        <is>
          <t>8月</t>
        </is>
      </c>
      <c r="J18" s="872" t="inlineStr">
        <is>
          <t>9月</t>
        </is>
      </c>
      <c r="K18" s="872" t="inlineStr">
        <is>
          <t>10月</t>
        </is>
      </c>
      <c r="L18" s="872" t="inlineStr">
        <is>
          <t>11月</t>
        </is>
      </c>
      <c r="M18" s="872" t="inlineStr">
        <is>
          <t>12月</t>
        </is>
      </c>
      <c r="N18" s="292" t="n"/>
      <c r="O18" s="292" t="n"/>
      <c r="P18" s="292" t="n"/>
      <c r="Q18" s="292" t="n"/>
      <c r="R18" s="292" t="n"/>
      <c r="S18" s="292" t="n"/>
      <c r="T18" s="292" t="n"/>
      <c r="U18" s="292" t="n"/>
      <c r="V18" s="292" t="n"/>
      <c r="W18" s="292" t="n"/>
      <c r="X18" s="292" t="n"/>
    </row>
    <row r="19">
      <c r="A19" s="869" t="inlineStr">
        <is>
          <t>bản vẽ nhận</t>
        </is>
      </c>
      <c r="B19" s="1150" t="n">
        <v>2874</v>
      </c>
      <c r="C19" s="1150" t="n">
        <v>1546</v>
      </c>
      <c r="D19" s="1151" t="n">
        <v>2402</v>
      </c>
      <c r="E19" s="871" t="n"/>
      <c r="F19" s="1152" t="n"/>
      <c r="G19" s="1152" t="n"/>
      <c r="H19" s="1152" t="n"/>
      <c r="I19" s="1152" t="n"/>
      <c r="J19" s="1152" t="n"/>
      <c r="K19" s="1152" t="n"/>
      <c r="L19" s="1152" t="n"/>
      <c r="M19" s="1152" t="n"/>
      <c r="N19" s="1153" t="n"/>
    </row>
    <row r="20">
      <c r="E20" s="178" t="inlineStr">
        <is>
          <t>※1ヶ月の受注図面総数</t>
        </is>
      </c>
    </row>
    <row r="21" ht="13.5" customHeight="1" s="1062">
      <c r="E21" s="178" t="n"/>
    </row>
    <row r="22">
      <c r="A22" s="394" t="n">
        <v>5</v>
      </c>
      <c r="B22" s="394" t="inlineStr">
        <is>
          <t>内作仕掛図面枚数</t>
        </is>
      </c>
    </row>
    <row r="23">
      <c r="A23" s="873" t="inlineStr">
        <is>
          <t>内作仕掛図面枚数</t>
        </is>
      </c>
      <c r="B23" s="872" t="inlineStr">
        <is>
          <t>1月</t>
        </is>
      </c>
      <c r="C23" s="872" t="inlineStr">
        <is>
          <t>2月</t>
        </is>
      </c>
      <c r="D23" s="872" t="inlineStr">
        <is>
          <t>3月</t>
        </is>
      </c>
      <c r="E23" s="871" t="inlineStr">
        <is>
          <t>4月</t>
        </is>
      </c>
      <c r="F23" s="872" t="inlineStr">
        <is>
          <t>5月</t>
        </is>
      </c>
      <c r="G23" s="872" t="inlineStr">
        <is>
          <t>6月</t>
        </is>
      </c>
      <c r="H23" s="872" t="inlineStr">
        <is>
          <t>7月</t>
        </is>
      </c>
      <c r="I23" s="872" t="inlineStr">
        <is>
          <t>8月</t>
        </is>
      </c>
      <c r="J23" s="872" t="inlineStr">
        <is>
          <t>9月</t>
        </is>
      </c>
      <c r="K23" s="872" t="inlineStr">
        <is>
          <t>10月</t>
        </is>
      </c>
      <c r="L23" s="872" t="inlineStr">
        <is>
          <t>11月</t>
        </is>
      </c>
      <c r="M23" s="872" t="inlineStr">
        <is>
          <t>12月</t>
        </is>
      </c>
      <c r="N23" s="292" t="n"/>
      <c r="O23" s="292" t="n"/>
      <c r="P23" s="292" t="n"/>
      <c r="Q23" s="292" t="n"/>
      <c r="R23" s="292" t="n"/>
      <c r="S23" s="292" t="n"/>
      <c r="T23" s="292" t="n"/>
      <c r="U23" s="292" t="n"/>
      <c r="V23" s="292" t="n"/>
      <c r="W23" s="292" t="n"/>
      <c r="X23" s="292" t="n"/>
    </row>
    <row r="24">
      <c r="A24" s="869" t="inlineStr">
        <is>
          <t>bản vẽ tồn</t>
        </is>
      </c>
      <c r="B24" s="1150" t="n">
        <v>2586</v>
      </c>
      <c r="C24" s="1152" t="n">
        <v>2542</v>
      </c>
      <c r="D24" s="1155" t="n">
        <v>2571</v>
      </c>
      <c r="E24" s="871" t="n"/>
      <c r="F24" s="1152" t="n"/>
      <c r="G24" s="1152" t="n"/>
      <c r="H24" s="1152" t="n"/>
      <c r="I24" s="1152" t="n"/>
      <c r="J24" s="1152" t="n"/>
      <c r="K24" s="1152" t="n"/>
      <c r="L24" s="1152" t="n"/>
      <c r="M24" s="1152" t="n"/>
      <c r="N24" s="1153" t="n"/>
    </row>
    <row r="25">
      <c r="E25" s="178" t="inlineStr">
        <is>
          <t>※月末時の仕掛り図面枚数</t>
        </is>
      </c>
    </row>
    <row r="26" ht="13.5" customHeight="1" s="1062">
      <c r="E26" s="178" t="n"/>
    </row>
    <row r="27">
      <c r="A27" s="394" t="n">
        <v>6</v>
      </c>
      <c r="B27" s="394" t="inlineStr">
        <is>
          <t>内作完了図面枚数</t>
        </is>
      </c>
    </row>
    <row r="28">
      <c r="A28" s="873" t="inlineStr">
        <is>
          <t>内作完了図面枚数</t>
        </is>
      </c>
      <c r="B28" s="872" t="inlineStr">
        <is>
          <t>1月</t>
        </is>
      </c>
      <c r="C28" s="872" t="inlineStr">
        <is>
          <t>2月</t>
        </is>
      </c>
      <c r="D28" s="872" t="inlineStr">
        <is>
          <t>3月</t>
        </is>
      </c>
      <c r="E28" s="871" t="inlineStr">
        <is>
          <t>4月</t>
        </is>
      </c>
      <c r="F28" s="872" t="inlineStr">
        <is>
          <t>5月</t>
        </is>
      </c>
      <c r="G28" s="872" t="inlineStr">
        <is>
          <t>6月</t>
        </is>
      </c>
      <c r="H28" s="872" t="inlineStr">
        <is>
          <t>7月</t>
        </is>
      </c>
      <c r="I28" s="872" t="inlineStr">
        <is>
          <t>8月</t>
        </is>
      </c>
      <c r="J28" s="872" t="inlineStr">
        <is>
          <t>9月</t>
        </is>
      </c>
      <c r="K28" s="872" t="inlineStr">
        <is>
          <t>10月</t>
        </is>
      </c>
      <c r="L28" s="872" t="inlineStr">
        <is>
          <t>11月</t>
        </is>
      </c>
      <c r="M28" s="872" t="inlineStr">
        <is>
          <t>12月</t>
        </is>
      </c>
      <c r="N28" s="292" t="inlineStr">
        <is>
          <t>VDM</t>
        </is>
      </c>
      <c r="O28" s="292" t="n"/>
      <c r="P28" s="292" t="n"/>
      <c r="Q28" s="292" t="n"/>
      <c r="R28" s="292" t="n"/>
      <c r="S28" s="292" t="n"/>
      <c r="T28" s="292" t="n"/>
      <c r="U28" s="292" t="n"/>
      <c r="V28" s="292" t="n"/>
      <c r="W28" s="292" t="n"/>
      <c r="X28" s="292" t="n"/>
    </row>
    <row r="29">
      <c r="A29" s="869" t="inlineStr">
        <is>
          <t>bản vẽ hoàn thành</t>
        </is>
      </c>
      <c r="B29" s="1152" t="n">
        <v>2412</v>
      </c>
      <c r="C29" s="1156" t="n">
        <v>1563</v>
      </c>
      <c r="D29" s="1156" t="n">
        <v>2232</v>
      </c>
      <c r="E29" s="1156" t="n"/>
      <c r="F29" s="1152" t="n"/>
      <c r="G29" s="1156" t="n"/>
      <c r="H29" s="1156" t="n"/>
      <c r="I29" s="1152" t="n"/>
      <c r="J29" s="1152" t="n"/>
      <c r="K29" s="1156" t="n"/>
      <c r="L29" s="1156" t="n"/>
      <c r="M29" s="1156" t="n"/>
      <c r="N29" s="1157">
        <f>SUM(B29:M29)</f>
        <v/>
      </c>
      <c r="W29" s="873" t="inlineStr">
        <is>
          <t>VDM</t>
        </is>
      </c>
      <c r="X29" s="1157">
        <f>SUM(N29)</f>
        <v/>
      </c>
    </row>
    <row r="30">
      <c r="E30" s="178" t="inlineStr">
        <is>
          <t>※1ヶ月の完了図面総数</t>
        </is>
      </c>
      <c r="W30" s="873" t="inlineStr">
        <is>
          <t>GCN</t>
        </is>
      </c>
      <c r="X30" s="1157">
        <f>SUM(N34)</f>
        <v/>
      </c>
    </row>
    <row r="31" ht="13.5" customHeight="1" s="1062">
      <c r="E31" s="178" t="n"/>
    </row>
    <row r="32">
      <c r="A32" s="394" t="n">
        <v>7</v>
      </c>
      <c r="B32" s="394" t="inlineStr">
        <is>
          <t>外作完了図面枚数</t>
        </is>
      </c>
      <c r="C32" s="394" t="n"/>
    </row>
    <row r="33">
      <c r="A33" s="873" t="inlineStr">
        <is>
          <t>外作完了図面枚数</t>
        </is>
      </c>
      <c r="B33" s="872" t="inlineStr">
        <is>
          <t>1月</t>
        </is>
      </c>
      <c r="C33" s="872" t="inlineStr">
        <is>
          <t>2月</t>
        </is>
      </c>
      <c r="D33" s="872" t="inlineStr">
        <is>
          <t>3月</t>
        </is>
      </c>
      <c r="E33" s="871" t="inlineStr">
        <is>
          <t>4月</t>
        </is>
      </c>
      <c r="F33" s="872" t="inlineStr">
        <is>
          <t>5月</t>
        </is>
      </c>
      <c r="G33" s="872" t="inlineStr">
        <is>
          <t>6月</t>
        </is>
      </c>
      <c r="H33" s="872" t="inlineStr">
        <is>
          <t>7月</t>
        </is>
      </c>
      <c r="I33" s="872" t="inlineStr">
        <is>
          <t>8月</t>
        </is>
      </c>
      <c r="J33" s="872" t="inlineStr">
        <is>
          <t>9月</t>
        </is>
      </c>
      <c r="K33" s="872" t="inlineStr">
        <is>
          <t>10月</t>
        </is>
      </c>
      <c r="L33" s="872" t="inlineStr">
        <is>
          <t>11月</t>
        </is>
      </c>
      <c r="M33" s="872" t="inlineStr">
        <is>
          <t>12月</t>
        </is>
      </c>
      <c r="N33" s="292" t="inlineStr">
        <is>
          <t>GCN</t>
        </is>
      </c>
      <c r="O33" s="292" t="n"/>
      <c r="P33" s="292" t="n"/>
      <c r="Q33" s="292" t="n"/>
      <c r="R33" s="292" t="n"/>
      <c r="S33" s="292" t="n"/>
      <c r="T33" s="292" t="n"/>
      <c r="U33" s="292" t="n"/>
      <c r="V33" s="292" t="n"/>
      <c r="W33" s="292" t="n"/>
      <c r="X33" s="292" t="n"/>
    </row>
    <row r="34">
      <c r="A34" s="869" t="inlineStr">
        <is>
          <t>bản vẽ GCN hoàn thành</t>
        </is>
      </c>
      <c r="B34" s="1152" t="n">
        <v>2076</v>
      </c>
      <c r="C34" s="1158" t="n">
        <v>1771</v>
      </c>
      <c r="D34" s="1155" t="n">
        <v>2440</v>
      </c>
      <c r="E34" s="871" t="n"/>
      <c r="F34" s="1152" t="n"/>
      <c r="G34" s="1152" t="n"/>
      <c r="H34" s="1152" t="n"/>
      <c r="I34" s="1152" t="n"/>
      <c r="J34" s="1152" t="n"/>
      <c r="K34" s="1152" t="n"/>
      <c r="L34" s="1152" t="n"/>
      <c r="M34" s="1152" t="n"/>
      <c r="N34" s="1153">
        <f>SUM(B34:M34)</f>
        <v/>
      </c>
    </row>
    <row r="35">
      <c r="E35" s="178" t="inlineStr">
        <is>
          <t>※1ヶ月の依頼図面総数</t>
        </is>
      </c>
    </row>
    <row r="36" ht="13.5" customHeight="1" s="1062">
      <c r="E36" s="178" t="n"/>
    </row>
    <row r="37">
      <c r="A37" s="394" t="n">
        <v>8</v>
      </c>
      <c r="B37" s="394" t="inlineStr">
        <is>
          <t>納期遵守率（初回納期回答に対する納期遵守率）</t>
        </is>
      </c>
      <c r="E37" s="182" t="n"/>
    </row>
    <row r="38">
      <c r="A38" s="394" t="inlineStr">
        <is>
          <t>納期遵守率</t>
        </is>
      </c>
      <c r="B38" s="872" t="inlineStr">
        <is>
          <t>1月</t>
        </is>
      </c>
      <c r="C38" s="872" t="inlineStr">
        <is>
          <t>2月</t>
        </is>
      </c>
      <c r="D38" s="872" t="inlineStr">
        <is>
          <t>3月</t>
        </is>
      </c>
      <c r="E38" s="871" t="inlineStr">
        <is>
          <t>4月</t>
        </is>
      </c>
      <c r="F38" s="872" t="inlineStr">
        <is>
          <t>5月</t>
        </is>
      </c>
      <c r="G38" s="872" t="inlineStr">
        <is>
          <t>6月</t>
        </is>
      </c>
      <c r="H38" s="872" t="inlineStr">
        <is>
          <t>7月</t>
        </is>
      </c>
      <c r="I38" s="872" t="inlineStr">
        <is>
          <t>8月</t>
        </is>
      </c>
      <c r="J38" s="872" t="inlineStr">
        <is>
          <t>9月</t>
        </is>
      </c>
      <c r="K38" s="872" t="inlineStr">
        <is>
          <t>10月</t>
        </is>
      </c>
      <c r="L38" s="872" t="inlineStr">
        <is>
          <t>11月</t>
        </is>
      </c>
      <c r="M38" s="872" t="inlineStr">
        <is>
          <t>12月</t>
        </is>
      </c>
      <c r="N38" s="292" t="n"/>
      <c r="O38" s="292" t="n"/>
      <c r="P38" s="292" t="n"/>
      <c r="Q38" s="292" t="n"/>
      <c r="R38" s="292" t="n"/>
      <c r="S38" s="292" t="n"/>
      <c r="T38" s="292" t="n"/>
      <c r="U38" s="292" t="n"/>
      <c r="V38" s="292" t="n"/>
      <c r="W38" s="292" t="n"/>
      <c r="X38" s="292" t="n"/>
    </row>
    <row r="39">
      <c r="A39" s="869" t="inlineStr">
        <is>
          <t>Tỷ lệ giao hàng đúng hạn</t>
        </is>
      </c>
      <c r="B39" s="801" t="n">
        <v>1</v>
      </c>
      <c r="C39" s="801" t="n">
        <v>1</v>
      </c>
      <c r="D39" s="545" t="n">
        <v>1</v>
      </c>
      <c r="E39" s="575" t="n"/>
      <c r="F39" s="545" t="n"/>
      <c r="G39" s="577" t="n"/>
      <c r="H39" s="577" t="n"/>
      <c r="I39" s="577" t="n"/>
      <c r="J39" s="577" t="n"/>
      <c r="K39" s="577" t="n"/>
      <c r="L39" s="577" t="n"/>
      <c r="M39" s="577" t="n"/>
      <c r="N39" s="387" t="n"/>
    </row>
    <row r="40">
      <c r="E40" s="178" t="inlineStr">
        <is>
          <t>※納期遵守件数÷完了件数×100（小数点第一位まで報告の事）</t>
        </is>
      </c>
    </row>
    <row r="41" ht="13.5" customHeight="1" s="1062">
      <c r="E41" s="178" t="n"/>
    </row>
    <row r="42">
      <c r="A42" s="395" t="inlineStr">
        <is>
          <t>9-1</t>
        </is>
      </c>
      <c r="B42" s="394" t="inlineStr">
        <is>
          <t>L/T（平均）</t>
        </is>
      </c>
    </row>
    <row r="43">
      <c r="A43" s="869" t="inlineStr">
        <is>
          <t>Bình quân</t>
        </is>
      </c>
      <c r="B43" s="872" t="inlineStr">
        <is>
          <t>1月</t>
        </is>
      </c>
      <c r="C43" s="872" t="inlineStr">
        <is>
          <t>2月</t>
        </is>
      </c>
      <c r="D43" s="872" t="inlineStr">
        <is>
          <t>3月</t>
        </is>
      </c>
      <c r="E43" s="871" t="inlineStr">
        <is>
          <t>4月</t>
        </is>
      </c>
      <c r="F43" s="872" t="inlineStr">
        <is>
          <t>5月</t>
        </is>
      </c>
      <c r="G43" s="872" t="inlineStr">
        <is>
          <t>6月</t>
        </is>
      </c>
      <c r="H43" s="872" t="inlineStr">
        <is>
          <t>7月</t>
        </is>
      </c>
      <c r="I43" s="872" t="inlineStr">
        <is>
          <t>8月</t>
        </is>
      </c>
      <c r="J43" s="872" t="inlineStr">
        <is>
          <t>9月</t>
        </is>
      </c>
      <c r="K43" s="872" t="inlineStr">
        <is>
          <t>10月</t>
        </is>
      </c>
      <c r="L43" s="872" t="inlineStr">
        <is>
          <t>11月</t>
        </is>
      </c>
      <c r="M43" s="872" t="inlineStr">
        <is>
          <t>12月</t>
        </is>
      </c>
      <c r="N43" s="292" t="n"/>
      <c r="O43" s="292" t="n"/>
      <c r="P43" s="292" t="n"/>
      <c r="Q43" s="292" t="n"/>
      <c r="R43" s="292" t="n"/>
      <c r="S43" s="292" t="n"/>
      <c r="T43" s="292" t="n"/>
      <c r="U43" s="292" t="n"/>
      <c r="V43" s="292" t="n"/>
      <c r="W43" s="292" t="n"/>
      <c r="X43" s="292" t="n"/>
    </row>
    <row r="44">
      <c r="A44" s="394" t="inlineStr">
        <is>
          <t>L/T</t>
        </is>
      </c>
      <c r="B44" s="1159" t="n">
        <v>21.7</v>
      </c>
      <c r="C44" s="872" t="n">
        <v>21.2</v>
      </c>
      <c r="D44" s="1159" t="n">
        <v>22.43145161290322</v>
      </c>
      <c r="E44" s="185" t="n"/>
      <c r="F44" s="872" t="n"/>
      <c r="G44" s="872" t="n"/>
      <c r="H44" s="872" t="n"/>
      <c r="I44" s="872" t="n"/>
      <c r="J44" s="872" t="n"/>
      <c r="K44" s="1160" t="n"/>
      <c r="L44" s="1159" t="n"/>
      <c r="M44" s="872" t="n"/>
      <c r="N44" s="292" t="n"/>
    </row>
    <row r="45">
      <c r="E45" s="396" t="inlineStr">
        <is>
          <t>※受付～完了までの平均日数（小数点第一位まで報告の事）</t>
        </is>
      </c>
    </row>
    <row r="46" ht="13.5" customHeight="1" s="1062">
      <c r="E46" s="178" t="n"/>
    </row>
    <row r="47">
      <c r="B47" s="394" t="inlineStr">
        <is>
          <t>L/T（金型）</t>
        </is>
      </c>
      <c r="N47" s="292" t="n"/>
      <c r="O47" s="292" t="n"/>
      <c r="P47" s="292" t="n"/>
      <c r="Q47" s="292" t="n"/>
      <c r="R47" s="292" t="n"/>
      <c r="S47" s="292" t="n"/>
      <c r="T47" s="292" t="n"/>
      <c r="U47" s="292" t="n"/>
      <c r="V47" s="292" t="n"/>
      <c r="W47" s="292" t="n"/>
      <c r="X47" s="292" t="n"/>
    </row>
    <row r="48">
      <c r="A48" s="869" t="inlineStr">
        <is>
          <t>Khuôn</t>
        </is>
      </c>
      <c r="B48" s="872" t="inlineStr">
        <is>
          <t>1月</t>
        </is>
      </c>
      <c r="C48" s="872" t="inlineStr">
        <is>
          <t>2月</t>
        </is>
      </c>
      <c r="D48" s="872" t="inlineStr">
        <is>
          <t>3月</t>
        </is>
      </c>
      <c r="E48" s="871" t="inlineStr">
        <is>
          <t>4月</t>
        </is>
      </c>
      <c r="F48" s="872" t="inlineStr">
        <is>
          <t>5月</t>
        </is>
      </c>
      <c r="G48" s="872" t="inlineStr">
        <is>
          <t>6月</t>
        </is>
      </c>
      <c r="H48" s="872" t="inlineStr">
        <is>
          <t>7月</t>
        </is>
      </c>
      <c r="I48" s="872" t="inlineStr">
        <is>
          <t>8月</t>
        </is>
      </c>
      <c r="J48" s="872" t="inlineStr">
        <is>
          <t>9月</t>
        </is>
      </c>
      <c r="K48" s="872" t="inlineStr">
        <is>
          <t>10月</t>
        </is>
      </c>
      <c r="L48" s="872" t="inlineStr">
        <is>
          <t>11月</t>
        </is>
      </c>
      <c r="M48" s="872" t="inlineStr">
        <is>
          <t>12月</t>
        </is>
      </c>
      <c r="N48" s="188" t="n"/>
      <c r="P48" s="189" t="n"/>
    </row>
    <row r="49">
      <c r="B49" s="1159" t="n">
        <v>43.5</v>
      </c>
      <c r="C49" s="1161" t="n">
        <v>49.7</v>
      </c>
      <c r="D49" s="1159" t="n">
        <v>58.67213114754098</v>
      </c>
      <c r="E49" s="185" t="n"/>
      <c r="F49" s="872" t="n"/>
      <c r="G49" s="872" t="n"/>
      <c r="H49" s="872" t="n"/>
      <c r="I49" s="872" t="n"/>
      <c r="J49" s="1161" t="n"/>
      <c r="K49" s="1160" t="n"/>
      <c r="L49" s="1159" t="n"/>
      <c r="M49" s="872" t="n"/>
    </row>
    <row r="50">
      <c r="E50" s="178" t="inlineStr">
        <is>
          <t>※受付～完了までの平均日数（小数点第一位まで報告の事）</t>
        </is>
      </c>
    </row>
    <row r="51">
      <c r="B51" s="394" t="inlineStr">
        <is>
          <t>L/T（自動機）</t>
        </is>
      </c>
      <c r="N51" s="292" t="n"/>
      <c r="O51" s="292" t="n"/>
      <c r="P51" s="292" t="n"/>
      <c r="Q51" s="292" t="n"/>
      <c r="R51" s="292" t="n"/>
      <c r="S51" s="292" t="n"/>
      <c r="T51" s="292" t="n"/>
      <c r="U51" s="292" t="n"/>
      <c r="V51" s="292" t="n"/>
      <c r="W51" s="292" t="n"/>
      <c r="X51" s="292" t="n"/>
    </row>
    <row r="52">
      <c r="A52" s="869" t="inlineStr">
        <is>
          <t>Máy tự động</t>
        </is>
      </c>
      <c r="B52" s="872" t="inlineStr">
        <is>
          <t>1月</t>
        </is>
      </c>
      <c r="C52" s="872" t="inlineStr">
        <is>
          <t>2月</t>
        </is>
      </c>
      <c r="D52" s="872" t="inlineStr">
        <is>
          <t>3月</t>
        </is>
      </c>
      <c r="E52" s="871" t="inlineStr">
        <is>
          <t>4月</t>
        </is>
      </c>
      <c r="F52" s="872" t="inlineStr">
        <is>
          <t>5月</t>
        </is>
      </c>
      <c r="G52" s="872" t="inlineStr">
        <is>
          <t>6月</t>
        </is>
      </c>
      <c r="H52" s="872" t="inlineStr">
        <is>
          <t>7月</t>
        </is>
      </c>
      <c r="I52" s="872" t="inlineStr">
        <is>
          <t>8月</t>
        </is>
      </c>
      <c r="J52" s="872" t="inlineStr">
        <is>
          <t>9月</t>
        </is>
      </c>
      <c r="K52" s="872" t="inlineStr">
        <is>
          <t>10月</t>
        </is>
      </c>
      <c r="L52" s="872" t="inlineStr">
        <is>
          <t>11月</t>
        </is>
      </c>
      <c r="M52" s="872" t="inlineStr">
        <is>
          <t>12月</t>
        </is>
      </c>
      <c r="N52" s="188" t="n"/>
      <c r="P52" s="189" t="n"/>
    </row>
    <row r="53">
      <c r="B53" s="1159" t="n">
        <v>13.5</v>
      </c>
      <c r="C53" s="872" t="n">
        <v>10.7</v>
      </c>
      <c r="D53" s="1159" t="n">
        <v>27.23529411764706</v>
      </c>
      <c r="E53" s="185" t="n"/>
      <c r="F53" s="872" t="n"/>
      <c r="G53" s="872" t="n"/>
      <c r="H53" s="872" t="n"/>
      <c r="I53" s="1161" t="n"/>
      <c r="J53" s="1161" t="n"/>
      <c r="K53" s="1160" t="n"/>
      <c r="L53" s="1159" t="n"/>
      <c r="M53" s="872" t="n"/>
    </row>
    <row r="54">
      <c r="E54" s="178" t="inlineStr">
        <is>
          <t>※受付～完了までの平均日数（小数点第一位まで報告の事）</t>
        </is>
      </c>
    </row>
    <row r="55">
      <c r="B55" s="394" t="inlineStr">
        <is>
          <t>L/T（その他）</t>
        </is>
      </c>
    </row>
    <row r="56">
      <c r="A56" s="869" t="inlineStr">
        <is>
          <t>Khác</t>
        </is>
      </c>
      <c r="B56" s="872" t="inlineStr">
        <is>
          <t>1月</t>
        </is>
      </c>
      <c r="C56" s="872" t="inlineStr">
        <is>
          <t>2月</t>
        </is>
      </c>
      <c r="D56" s="872" t="inlineStr">
        <is>
          <t>3月</t>
        </is>
      </c>
      <c r="E56" s="871" t="inlineStr">
        <is>
          <t>4月</t>
        </is>
      </c>
      <c r="F56" s="872" t="inlineStr">
        <is>
          <t>5月</t>
        </is>
      </c>
      <c r="G56" s="872" t="inlineStr">
        <is>
          <t>6月</t>
        </is>
      </c>
      <c r="H56" s="872" t="inlineStr">
        <is>
          <t>7月</t>
        </is>
      </c>
      <c r="I56" s="872" t="inlineStr">
        <is>
          <t>8月</t>
        </is>
      </c>
      <c r="J56" s="872" t="inlineStr">
        <is>
          <t>9月</t>
        </is>
      </c>
      <c r="K56" s="872" t="inlineStr">
        <is>
          <t>10月</t>
        </is>
      </c>
      <c r="L56" s="872" t="inlineStr">
        <is>
          <t>11月</t>
        </is>
      </c>
      <c r="M56" s="872" t="inlineStr">
        <is>
          <t>12月</t>
        </is>
      </c>
    </row>
    <row r="57">
      <c r="B57" s="1159" t="n">
        <v>19.9</v>
      </c>
      <c r="C57" s="1161" t="n">
        <v>20</v>
      </c>
      <c r="D57" s="1159" t="n">
        <v>19.12746062992126</v>
      </c>
      <c r="E57" s="185" t="n"/>
      <c r="F57" s="872" t="n"/>
      <c r="G57" s="872" t="n"/>
      <c r="H57" s="872" t="n"/>
      <c r="I57" s="872" t="n"/>
      <c r="J57" s="872" t="n"/>
      <c r="K57" s="1160" t="n"/>
      <c r="L57" s="1159" t="n"/>
      <c r="M57" s="872" t="n"/>
    </row>
    <row r="58">
      <c r="B58" s="1162" t="n"/>
      <c r="C58" s="292" t="n"/>
      <c r="D58" s="1162" t="n"/>
      <c r="E58" s="178" t="inlineStr">
        <is>
          <t>※受付～完了までの平均日数（小数点第一位まで報告の事）</t>
        </is>
      </c>
      <c r="F58" s="292" t="n"/>
      <c r="G58" s="292" t="n"/>
      <c r="H58" s="292" t="n"/>
      <c r="I58" s="292" t="n"/>
      <c r="J58" s="292" t="n"/>
      <c r="K58" s="1163" t="n"/>
      <c r="L58" s="1162" t="n"/>
      <c r="M58" s="292" t="n"/>
      <c r="N58" s="292" t="n"/>
      <c r="O58" s="292" t="n"/>
      <c r="P58" s="292" t="n"/>
      <c r="Q58" s="292" t="n"/>
      <c r="R58" s="292" t="n"/>
      <c r="S58" s="292" t="n"/>
      <c r="T58" s="292" t="n"/>
      <c r="U58" s="292" t="n"/>
      <c r="V58" s="292" t="n"/>
      <c r="W58" s="292" t="n"/>
      <c r="X58" s="292" t="n"/>
    </row>
    <row r="59">
      <c r="A59" s="395" t="inlineStr">
        <is>
          <t>9-2</t>
        </is>
      </c>
      <c r="B59" s="394" t="inlineStr">
        <is>
          <t>L/T（平均）</t>
        </is>
      </c>
      <c r="N59" s="292" t="n"/>
    </row>
    <row r="60">
      <c r="A60" s="869" t="inlineStr">
        <is>
          <t>Bình quân</t>
        </is>
      </c>
      <c r="B60" s="872" t="inlineStr">
        <is>
          <t>1月</t>
        </is>
      </c>
      <c r="C60" s="872" t="inlineStr">
        <is>
          <t>2月</t>
        </is>
      </c>
      <c r="D60" s="872" t="inlineStr">
        <is>
          <t>3月</t>
        </is>
      </c>
      <c r="E60" s="871" t="inlineStr">
        <is>
          <t>4月</t>
        </is>
      </c>
      <c r="F60" s="872" t="inlineStr">
        <is>
          <t>5月</t>
        </is>
      </c>
      <c r="G60" s="872" t="inlineStr">
        <is>
          <t>6月</t>
        </is>
      </c>
      <c r="H60" s="872" t="inlineStr">
        <is>
          <t>7月</t>
        </is>
      </c>
      <c r="I60" s="872" t="inlineStr">
        <is>
          <t>8月</t>
        </is>
      </c>
      <c r="J60" s="872" t="inlineStr">
        <is>
          <t>9月</t>
        </is>
      </c>
      <c r="K60" s="872" t="inlineStr">
        <is>
          <t>10月</t>
        </is>
      </c>
      <c r="L60" s="872" t="inlineStr">
        <is>
          <t>11月</t>
        </is>
      </c>
      <c r="M60" s="872" t="inlineStr">
        <is>
          <t>12月</t>
        </is>
      </c>
    </row>
    <row r="61">
      <c r="A61" s="394" t="inlineStr">
        <is>
          <t>L/T</t>
        </is>
      </c>
      <c r="B61" s="1159" t="n">
        <v>14.9</v>
      </c>
      <c r="C61" s="1161" t="n">
        <v>14.1</v>
      </c>
      <c r="D61" s="1159" t="n">
        <v>15.2755376344086</v>
      </c>
      <c r="E61" s="185" t="n"/>
      <c r="F61" s="872" t="n"/>
      <c r="G61" s="872" t="n"/>
      <c r="H61" s="872" t="n"/>
      <c r="I61" s="872" t="n"/>
      <c r="J61" s="872" t="n"/>
      <c r="K61" s="1160" t="n"/>
      <c r="L61" s="1159" t="n"/>
      <c r="M61" s="872" t="n"/>
    </row>
    <row r="62">
      <c r="A62" s="873" t="n"/>
      <c r="E62" s="193" t="inlineStr">
        <is>
          <t>※加工開始～完了までの平均日数（小数点第一位まで報告の事）</t>
        </is>
      </c>
    </row>
    <row r="63" ht="13.5" customHeight="1" s="1062">
      <c r="A63" s="873" t="n"/>
      <c r="E63" s="178" t="n"/>
    </row>
    <row r="64">
      <c r="A64" s="873" t="n"/>
      <c r="B64" s="394" t="inlineStr">
        <is>
          <t>L/T（金型）</t>
        </is>
      </c>
    </row>
    <row r="65">
      <c r="A65" s="869" t="inlineStr">
        <is>
          <t>Khuôn</t>
        </is>
      </c>
      <c r="B65" s="872" t="inlineStr">
        <is>
          <t>1月</t>
        </is>
      </c>
      <c r="C65" s="872" t="inlineStr">
        <is>
          <t>2月</t>
        </is>
      </c>
      <c r="D65" s="872" t="inlineStr">
        <is>
          <t>3月</t>
        </is>
      </c>
      <c r="E65" s="871" t="inlineStr">
        <is>
          <t>4月</t>
        </is>
      </c>
      <c r="F65" s="872" t="inlineStr">
        <is>
          <t>5月</t>
        </is>
      </c>
      <c r="G65" s="872" t="inlineStr">
        <is>
          <t>6月</t>
        </is>
      </c>
      <c r="H65" s="872" t="inlineStr">
        <is>
          <t>7月</t>
        </is>
      </c>
      <c r="I65" s="872" t="inlineStr">
        <is>
          <t>8月</t>
        </is>
      </c>
      <c r="J65" s="872" t="inlineStr">
        <is>
          <t>9月</t>
        </is>
      </c>
      <c r="K65" s="872" t="inlineStr">
        <is>
          <t>10月</t>
        </is>
      </c>
      <c r="L65" s="872" t="inlineStr">
        <is>
          <t>11月</t>
        </is>
      </c>
      <c r="M65" s="872" t="inlineStr">
        <is>
          <t>12月</t>
        </is>
      </c>
    </row>
    <row r="66">
      <c r="B66" s="1159" t="n">
        <v>31</v>
      </c>
      <c r="C66" s="872" t="n">
        <v>33.5</v>
      </c>
      <c r="D66" s="1159" t="n">
        <v>44.48633879781421</v>
      </c>
      <c r="E66" s="185" t="n"/>
      <c r="F66" s="872" t="n"/>
      <c r="G66" s="1161" t="n"/>
      <c r="H66" s="872" t="n"/>
      <c r="I66" s="1161" t="n"/>
      <c r="J66" s="872" t="n"/>
      <c r="K66" s="1160" t="n"/>
      <c r="L66" s="1159" t="n"/>
      <c r="M66" s="872" t="n"/>
    </row>
    <row r="67">
      <c r="E67" s="178" t="inlineStr">
        <is>
          <t>※加工開始～完了までの平均日数（小数点第一位まで報告の事）</t>
        </is>
      </c>
    </row>
    <row r="68">
      <c r="B68" s="394" t="inlineStr">
        <is>
          <t>L/T（自動機）</t>
        </is>
      </c>
    </row>
    <row r="69">
      <c r="A69" s="869" t="inlineStr">
        <is>
          <t>Máy tự động</t>
        </is>
      </c>
      <c r="B69" s="872" t="inlineStr">
        <is>
          <t>1月</t>
        </is>
      </c>
      <c r="C69" s="872" t="inlineStr">
        <is>
          <t>2月</t>
        </is>
      </c>
      <c r="D69" s="872" t="inlineStr">
        <is>
          <t>3月</t>
        </is>
      </c>
      <c r="E69" s="871" t="inlineStr">
        <is>
          <t>4月</t>
        </is>
      </c>
      <c r="F69" s="872" t="inlineStr">
        <is>
          <t>5月</t>
        </is>
      </c>
      <c r="G69" s="872" t="inlineStr">
        <is>
          <t>6月</t>
        </is>
      </c>
      <c r="H69" s="872" t="inlineStr">
        <is>
          <t>7月</t>
        </is>
      </c>
      <c r="I69" s="872" t="inlineStr">
        <is>
          <t>8月</t>
        </is>
      </c>
      <c r="J69" s="872" t="inlineStr">
        <is>
          <t>9月</t>
        </is>
      </c>
      <c r="K69" s="872" t="inlineStr">
        <is>
          <t>10月</t>
        </is>
      </c>
      <c r="L69" s="872" t="inlineStr">
        <is>
          <t>11月</t>
        </is>
      </c>
      <c r="M69" s="872" t="inlineStr">
        <is>
          <t>12月</t>
        </is>
      </c>
    </row>
    <row r="70">
      <c r="A70" s="873" t="n"/>
      <c r="B70" s="1159" t="n">
        <v>11</v>
      </c>
      <c r="C70" s="872" t="n">
        <v>6.4</v>
      </c>
      <c r="D70" s="1159" t="n">
        <v>21.76470588235294</v>
      </c>
      <c r="E70" s="185" t="n"/>
      <c r="F70" s="872" t="n"/>
      <c r="G70" s="872" t="n"/>
      <c r="H70" s="872" t="n"/>
      <c r="I70" s="872" t="n"/>
      <c r="J70" s="872" t="n"/>
      <c r="K70" s="1160" t="n"/>
      <c r="L70" s="1159" t="n"/>
      <c r="M70" s="872" t="n"/>
    </row>
    <row r="71">
      <c r="A71" s="873" t="n"/>
      <c r="E71" s="178" t="inlineStr">
        <is>
          <t>※加工開始～完了までの平均日数（小数点第一位まで報告の事）</t>
        </is>
      </c>
    </row>
    <row r="72">
      <c r="A72" s="873" t="n"/>
      <c r="B72" s="394" t="inlineStr">
        <is>
          <t>L/T（その他）</t>
        </is>
      </c>
    </row>
    <row r="73">
      <c r="A73" s="869" t="inlineStr">
        <is>
          <t>Khác</t>
        </is>
      </c>
      <c r="B73" s="872" t="inlineStr">
        <is>
          <t>1月</t>
        </is>
      </c>
      <c r="C73" s="872" t="inlineStr">
        <is>
          <t>2月</t>
        </is>
      </c>
      <c r="D73" s="872" t="inlineStr">
        <is>
          <t>3月</t>
        </is>
      </c>
      <c r="E73" s="871" t="inlineStr">
        <is>
          <t>4月</t>
        </is>
      </c>
      <c r="F73" s="872" t="inlineStr">
        <is>
          <t>5月</t>
        </is>
      </c>
      <c r="G73" s="872" t="inlineStr">
        <is>
          <t>6月</t>
        </is>
      </c>
      <c r="H73" s="872" t="inlineStr">
        <is>
          <t>7月</t>
        </is>
      </c>
      <c r="I73" s="872" t="inlineStr">
        <is>
          <t>8月</t>
        </is>
      </c>
      <c r="J73" s="872" t="inlineStr">
        <is>
          <t>9月</t>
        </is>
      </c>
      <c r="K73" s="872" t="inlineStr">
        <is>
          <t>10月</t>
        </is>
      </c>
      <c r="L73" s="872" t="inlineStr">
        <is>
          <t>11月</t>
        </is>
      </c>
      <c r="M73" s="872" t="inlineStr">
        <is>
          <t>12月</t>
        </is>
      </c>
    </row>
    <row r="74">
      <c r="B74" s="1159" t="n">
        <v>13.6</v>
      </c>
      <c r="C74" s="872" t="n">
        <v>13.3</v>
      </c>
      <c r="D74" s="1159" t="n">
        <v>12.59055118110236</v>
      </c>
      <c r="E74" s="185" t="n"/>
      <c r="F74" s="872" t="n"/>
      <c r="G74" s="1161" t="n"/>
      <c r="H74" s="872" t="n"/>
      <c r="I74" s="872" t="n"/>
      <c r="J74" s="872" t="n"/>
      <c r="K74" s="1160" t="n"/>
      <c r="L74" s="1159" t="n"/>
      <c r="M74" s="872" t="n"/>
    </row>
    <row r="75">
      <c r="E75" s="178" t="inlineStr">
        <is>
          <t>※加工開始～完了までの平均日数（小数点第一位まで報告の事）</t>
        </is>
      </c>
    </row>
    <row r="76" ht="13.5" customHeight="1" s="1062">
      <c r="E76" s="193" t="n"/>
    </row>
    <row r="77">
      <c r="A77" s="394" t="n">
        <v>10</v>
      </c>
      <c r="B77" s="394" t="inlineStr">
        <is>
          <t>最終検査合格率（ﾚﾝｼﾞ0.02mm以内：高精度）</t>
        </is>
      </c>
    </row>
    <row r="78">
      <c r="A78" s="394" t="inlineStr">
        <is>
          <t>高精度（0～0.02）</t>
        </is>
      </c>
      <c r="B78" s="872" t="inlineStr">
        <is>
          <t>1月</t>
        </is>
      </c>
      <c r="C78" s="872" t="inlineStr">
        <is>
          <t>2月</t>
        </is>
      </c>
      <c r="D78" s="872" t="inlineStr">
        <is>
          <t>3月</t>
        </is>
      </c>
      <c r="E78" s="871" t="inlineStr">
        <is>
          <t>4月</t>
        </is>
      </c>
      <c r="F78" s="872" t="inlineStr">
        <is>
          <t>5月</t>
        </is>
      </c>
      <c r="G78" s="872" t="inlineStr">
        <is>
          <t>6月</t>
        </is>
      </c>
      <c r="H78" s="872" t="inlineStr">
        <is>
          <t>7月</t>
        </is>
      </c>
      <c r="I78" s="872" t="inlineStr">
        <is>
          <t>8月</t>
        </is>
      </c>
      <c r="J78" s="872" t="inlineStr">
        <is>
          <t>9月</t>
        </is>
      </c>
      <c r="K78" s="872" t="inlineStr">
        <is>
          <t>10月</t>
        </is>
      </c>
      <c r="L78" s="872" t="inlineStr">
        <is>
          <t>11月</t>
        </is>
      </c>
      <c r="M78" s="872" t="inlineStr">
        <is>
          <t>12月</t>
        </is>
      </c>
    </row>
    <row r="79">
      <c r="A79" s="869" t="inlineStr">
        <is>
          <t>Độ chính xác cao</t>
        </is>
      </c>
      <c r="B79" s="802" t="n">
        <v>1</v>
      </c>
      <c r="C79" s="802" t="n">
        <v>1</v>
      </c>
      <c r="D79" s="802" t="n">
        <v>0</v>
      </c>
      <c r="E79" s="802" t="n"/>
      <c r="F79" s="802" t="n"/>
      <c r="G79" s="803" t="n"/>
      <c r="H79" s="802" t="n"/>
      <c r="I79" s="802" t="n"/>
      <c r="J79" s="571" t="n"/>
      <c r="K79" s="802" t="n"/>
      <c r="L79" s="802" t="n"/>
      <c r="M79" s="802" t="n"/>
    </row>
    <row r="80">
      <c r="E80" s="178" t="inlineStr">
        <is>
          <t>※検査合格図面枚数÷検査図面枚数×100（小数点第一位まで報告の事）</t>
        </is>
      </c>
    </row>
    <row r="81" ht="13.5" customHeight="1" s="1062">
      <c r="E81" s="178" t="n"/>
    </row>
    <row r="82">
      <c r="A82" s="394" t="n">
        <v>11</v>
      </c>
      <c r="B82" s="394" t="inlineStr">
        <is>
          <t>最終検査合格率（ﾚﾝｼﾞ0.02mm以上）</t>
        </is>
      </c>
    </row>
    <row r="83">
      <c r="A83" s="292" t="n"/>
      <c r="B83" s="872" t="inlineStr">
        <is>
          <t>1月</t>
        </is>
      </c>
      <c r="C83" s="872" t="inlineStr">
        <is>
          <t>2月</t>
        </is>
      </c>
      <c r="D83" s="872" t="inlineStr">
        <is>
          <t>3月</t>
        </is>
      </c>
      <c r="E83" s="871" t="inlineStr">
        <is>
          <t>4月</t>
        </is>
      </c>
      <c r="F83" s="872" t="inlineStr">
        <is>
          <t>5月</t>
        </is>
      </c>
      <c r="G83" s="872" t="inlineStr">
        <is>
          <t>6月</t>
        </is>
      </c>
      <c r="H83" s="872" t="inlineStr">
        <is>
          <t>7月</t>
        </is>
      </c>
      <c r="I83" s="872" t="inlineStr">
        <is>
          <t>8月</t>
        </is>
      </c>
      <c r="J83" s="872" t="inlineStr">
        <is>
          <t>9月</t>
        </is>
      </c>
      <c r="K83" s="872" t="inlineStr">
        <is>
          <t>10月</t>
        </is>
      </c>
      <c r="L83" s="872" t="inlineStr">
        <is>
          <t>11月</t>
        </is>
      </c>
      <c r="M83" s="872" t="inlineStr">
        <is>
          <t>12月</t>
        </is>
      </c>
    </row>
    <row r="84">
      <c r="A84" s="187" t="inlineStr">
        <is>
          <t>0.02㎜～</t>
        </is>
      </c>
      <c r="B84" s="804" t="n">
        <v>1</v>
      </c>
      <c r="C84" s="804" t="n">
        <v>1</v>
      </c>
      <c r="D84" s="804" t="n">
        <v>1</v>
      </c>
      <c r="E84" s="804" t="n"/>
      <c r="F84" s="804" t="n"/>
      <c r="G84" s="802" t="n"/>
      <c r="H84" s="802" t="n"/>
      <c r="I84" s="802" t="n"/>
      <c r="J84" s="802" t="n"/>
      <c r="K84" s="802" t="n"/>
      <c r="L84" s="802" t="n"/>
      <c r="M84" s="802" t="n"/>
    </row>
    <row r="85">
      <c r="E85" s="178" t="inlineStr">
        <is>
          <t>※検査合格図面枚数÷検査図面枚数×100（小数点第一位まで報告の事）</t>
        </is>
      </c>
    </row>
    <row r="86" ht="13.5" customHeight="1" s="1062">
      <c r="E86" s="178" t="n"/>
    </row>
    <row r="87">
      <c r="A87" s="394" t="n">
        <v>12</v>
      </c>
      <c r="B87" s="394" t="inlineStr">
        <is>
          <t>顧客ｸﾚｰﾑ件数（ｸﾚｰﾑ図面枚数）</t>
        </is>
      </c>
    </row>
    <row r="88">
      <c r="A88" s="394" t="inlineStr">
        <is>
          <t>顧客ｸﾚｰﾑ件数</t>
        </is>
      </c>
      <c r="B88" s="872" t="inlineStr">
        <is>
          <t>1月</t>
        </is>
      </c>
      <c r="C88" s="872" t="inlineStr">
        <is>
          <t>2月</t>
        </is>
      </c>
      <c r="D88" s="872" t="inlineStr">
        <is>
          <t>3月</t>
        </is>
      </c>
      <c r="E88" s="871" t="inlineStr">
        <is>
          <t>4月</t>
        </is>
      </c>
      <c r="F88" s="872" t="inlineStr">
        <is>
          <t>5月</t>
        </is>
      </c>
      <c r="G88" s="872" t="inlineStr">
        <is>
          <t>6月</t>
        </is>
      </c>
      <c r="H88" s="872" t="inlineStr">
        <is>
          <t>7月</t>
        </is>
      </c>
      <c r="I88" s="872" t="inlineStr">
        <is>
          <t>8月</t>
        </is>
      </c>
      <c r="J88" s="872" t="inlineStr">
        <is>
          <t>9月</t>
        </is>
      </c>
      <c r="K88" s="872" t="inlineStr">
        <is>
          <t>10月</t>
        </is>
      </c>
      <c r="L88" s="872" t="inlineStr">
        <is>
          <t>11月</t>
        </is>
      </c>
      <c r="M88" s="872" t="inlineStr">
        <is>
          <t>12月</t>
        </is>
      </c>
    </row>
    <row r="89" ht="16.8" customFormat="1" customHeight="1" s="875">
      <c r="A89" s="869" t="inlineStr">
        <is>
          <t>Số Khiếu nại</t>
        </is>
      </c>
      <c r="B89" s="870" t="n">
        <v>0</v>
      </c>
      <c r="C89" s="870" t="n">
        <v>0</v>
      </c>
      <c r="D89" s="1151" t="n">
        <v>1</v>
      </c>
      <c r="E89" s="871" t="n"/>
      <c r="F89" s="872" t="n"/>
      <c r="G89" s="872" t="n"/>
      <c r="H89" s="872" t="n"/>
      <c r="I89" s="872" t="n"/>
      <c r="J89" s="872" t="n"/>
      <c r="K89" s="872" t="n"/>
      <c r="L89" s="872" t="n"/>
      <c r="M89" s="872" t="n"/>
      <c r="N89" s="873" t="n"/>
      <c r="O89" s="873" t="n"/>
      <c r="P89" s="873" t="n"/>
      <c r="Q89" s="873" t="n"/>
      <c r="R89" s="873" t="n"/>
      <c r="S89" s="873" t="n"/>
      <c r="T89" s="873" t="n"/>
      <c r="U89" s="874" t="n"/>
      <c r="V89" s="873" t="n"/>
      <c r="W89" s="873" t="n"/>
      <c r="X89" s="873" t="n"/>
    </row>
    <row r="90">
      <c r="E90" s="178" t="inlineStr">
        <is>
          <t>※ｸﾚｰﾑ件数（同拠点内のメールや口頭で受けたものも計上する事）</t>
        </is>
      </c>
    </row>
    <row r="91">
      <c r="E91" s="178" t="n"/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T115"/>
  <sheetViews>
    <sheetView tabSelected="1" zoomScaleNormal="100" workbookViewId="0">
      <pane xSplit="1" ySplit="11" topLeftCell="I12" activePane="bottomRight" state="frozen"/>
      <selection pane="topRight" activeCell="B1" sqref="B1"/>
      <selection pane="bottomLeft" activeCell="A12" sqref="A12"/>
      <selection pane="bottomRight" activeCell="O9" sqref="O9"/>
    </sheetView>
  </sheetViews>
  <sheetFormatPr baseColWidth="8" defaultColWidth="9" defaultRowHeight="14.4"/>
  <cols>
    <col width="17" customWidth="1" style="873" min="1" max="1"/>
    <col width="13.44140625" customWidth="1" style="873" min="2" max="2"/>
    <col width="10.109375" bestFit="1" customWidth="1" style="292" min="3" max="3"/>
    <col width="10.109375" bestFit="1" customWidth="1" style="887" min="4" max="4"/>
    <col width="10.109375" bestFit="1" customWidth="1" style="292" min="5" max="10"/>
    <col width="11" bestFit="1" customWidth="1" style="292" min="11" max="11"/>
    <col width="10.109375" bestFit="1" customWidth="1" style="292" min="12" max="14"/>
    <col width="9" customWidth="1" style="873" min="15" max="20"/>
    <col width="9" customWidth="1" style="875" min="21" max="16384"/>
  </cols>
  <sheetData>
    <row r="1" ht="19.2" customHeight="1" s="1062">
      <c r="C1" s="195" t="inlineStr">
        <is>
          <t>①工程別不良件数グラフの追加・・・可視化</t>
        </is>
      </c>
      <c r="L1" s="194" t="n"/>
      <c r="M1" s="859" t="n"/>
    </row>
    <row r="2" ht="16.2" customHeight="1" s="1062">
      <c r="C2" s="195" t="inlineStr">
        <is>
          <t>②工程別不良率グラフの追加・・・可視化</t>
        </is>
      </c>
      <c r="L2" s="873" t="n"/>
      <c r="M2" s="859" t="n"/>
    </row>
    <row r="3" ht="16.2" customHeight="1" s="1062">
      <c r="C3" s="195" t="inlineStr">
        <is>
          <t>③不良件数が１以上だと、赤色（自動）になります・・・見やすくする為</t>
        </is>
      </c>
      <c r="L3" s="873" t="n"/>
      <c r="M3" s="859" t="n"/>
    </row>
    <row r="4" ht="16.2" customHeight="1" s="1062">
      <c r="C4" s="195" t="inlineStr">
        <is>
          <t>④工程不良報告書の提出（日文）</t>
        </is>
      </c>
      <c r="L4" s="873" t="n"/>
      <c r="M4" s="859" t="n"/>
    </row>
    <row r="5" ht="16.8" customHeight="1" s="1062" thickBot="1">
      <c r="C5" s="195" t="n"/>
      <c r="L5" s="873" t="n"/>
      <c r="M5" s="859" t="n"/>
    </row>
    <row r="6" ht="16.8" customHeight="1" s="1062" thickBot="1">
      <c r="A6" s="187" t="inlineStr">
        <is>
          <t>【内作】</t>
        </is>
      </c>
      <c r="C6" s="293" t="inlineStr">
        <is>
          <t>自動計算</t>
        </is>
      </c>
      <c r="E6" s="294" t="inlineStr">
        <is>
          <t>自動</t>
        </is>
      </c>
      <c r="F6" s="197" t="n"/>
    </row>
    <row r="7">
      <c r="B7" s="873" t="inlineStr">
        <is>
          <t>工程不良件数、工程不良率</t>
        </is>
      </c>
    </row>
    <row r="8" ht="15" customHeight="1" s="1062" thickBot="1">
      <c r="C8" s="200" t="inlineStr">
        <is>
          <t>1月</t>
        </is>
      </c>
      <c r="D8" s="888" t="inlineStr">
        <is>
          <t>2月</t>
        </is>
      </c>
      <c r="E8" s="200" t="inlineStr">
        <is>
          <t>3月</t>
        </is>
      </c>
      <c r="F8" s="200" t="inlineStr">
        <is>
          <t>4月</t>
        </is>
      </c>
      <c r="G8" s="200" t="inlineStr">
        <is>
          <t>5月</t>
        </is>
      </c>
      <c r="H8" s="200" t="inlineStr">
        <is>
          <t>6月</t>
        </is>
      </c>
      <c r="I8" s="200" t="inlineStr">
        <is>
          <t>7月</t>
        </is>
      </c>
      <c r="J8" s="200" t="inlineStr">
        <is>
          <t>8月</t>
        </is>
      </c>
      <c r="K8" s="200" t="inlineStr">
        <is>
          <t>9月</t>
        </is>
      </c>
      <c r="L8" s="200" t="inlineStr">
        <is>
          <t>10月</t>
        </is>
      </c>
      <c r="M8" s="200" t="inlineStr">
        <is>
          <t>11月</t>
        </is>
      </c>
      <c r="N8" s="200" t="inlineStr">
        <is>
          <t>12月</t>
        </is>
      </c>
      <c r="O8" s="201" t="inlineStr">
        <is>
          <t>Lũy kế</t>
        </is>
      </c>
    </row>
    <row r="9" ht="15" customHeight="1" s="1062" thickTop="1">
      <c r="A9" s="972" t="inlineStr">
        <is>
          <t>ALL</t>
        </is>
      </c>
      <c r="B9" s="418" t="inlineStr">
        <is>
          <t>Số bản vẽ</t>
        </is>
      </c>
      <c r="C9" s="1164">
        <f>C12+C15+C18+C21+C24+C27+C30+C33+C39+C42+C45+C48+C54+C36+C51</f>
        <v/>
      </c>
      <c r="D9" s="1164">
        <f>D12+D15+D18+D21+D24+D27+D30+D33+D39+D42+D45+D48+D54+D36+D51</f>
        <v/>
      </c>
      <c r="E9" s="1165" t="n">
        <v>6625</v>
      </c>
      <c r="F9" s="1164" t="n"/>
      <c r="G9" s="1164" t="n"/>
      <c r="H9" s="1164" t="n"/>
      <c r="I9" s="1164" t="n"/>
      <c r="J9" s="1164" t="n"/>
      <c r="K9" s="1164" t="n"/>
      <c r="L9" s="1164" t="n"/>
      <c r="M9" s="1164" t="n"/>
      <c r="N9" s="1164" t="n"/>
      <c r="O9" s="202">
        <f>SUM(C9:N9)</f>
        <v/>
      </c>
      <c r="P9" s="297" t="n"/>
      <c r="Q9" s="204" t="n"/>
      <c r="R9" s="204" t="n"/>
      <c r="S9" s="204" t="n"/>
      <c r="T9" s="204" t="n"/>
    </row>
    <row r="10">
      <c r="A10" s="1166" t="n"/>
      <c r="B10" s="421" t="inlineStr">
        <is>
          <t>Số phế phẩm</t>
        </is>
      </c>
      <c r="C10" s="422">
        <f>C13+C16+C19+C22+C25+C28+C31+C34+C40+C43+C46+C49+C55+C37+C52</f>
        <v/>
      </c>
      <c r="D10" s="422">
        <f>D13+D16+D19+D22+D25+D28+D31+D34+D40+D43+D46+D49+D55+D37+D52</f>
        <v/>
      </c>
      <c r="E10" s="1167" t="n">
        <v>1</v>
      </c>
      <c r="F10" s="422" t="n"/>
      <c r="G10" s="422" t="n"/>
      <c r="H10" s="422" t="n"/>
      <c r="I10" s="422" t="n"/>
      <c r="J10" s="422" t="n"/>
      <c r="K10" s="422" t="n"/>
      <c r="L10" s="422" t="n"/>
      <c r="M10" s="422" t="n"/>
      <c r="N10" s="422" t="n"/>
      <c r="O10" s="423">
        <f>SUM(C10:N10)</f>
        <v/>
      </c>
      <c r="P10" s="207" t="n"/>
    </row>
    <row r="11" ht="15" customHeight="1" s="1062" thickBot="1">
      <c r="A11" s="1168" t="n"/>
      <c r="B11" s="208" t="inlineStr">
        <is>
          <t>Tỷ lệ phế phẩm</t>
        </is>
      </c>
      <c r="C11" s="298">
        <f>C10/C9</f>
        <v/>
      </c>
      <c r="D11" s="889">
        <f>D10/D9</f>
        <v/>
      </c>
      <c r="E11" s="298">
        <f>E10/E9</f>
        <v/>
      </c>
      <c r="F11" s="298">
        <f>F10/F9</f>
        <v/>
      </c>
      <c r="G11" s="298">
        <f>G10/G9</f>
        <v/>
      </c>
      <c r="H11" s="298">
        <f>H10/H9</f>
        <v/>
      </c>
      <c r="I11" s="298">
        <f>I10/I9</f>
        <v/>
      </c>
      <c r="J11" s="298">
        <f>J10/J9</f>
        <v/>
      </c>
      <c r="K11" s="298">
        <f>K10/K9</f>
        <v/>
      </c>
      <c r="L11" s="298">
        <f>L10/L9</f>
        <v/>
      </c>
      <c r="M11" s="298">
        <f>M10/M9</f>
        <v/>
      </c>
      <c r="N11" s="299">
        <f>N10/N9</f>
        <v/>
      </c>
      <c r="O11" s="300">
        <f>O10/O9</f>
        <v/>
      </c>
      <c r="P11" s="387" t="n"/>
    </row>
    <row r="12" ht="18.75" customHeight="1" s="1062">
      <c r="A12" s="975" t="inlineStr">
        <is>
          <t>LA （旋盤）
MÁY TiỆN</t>
        </is>
      </c>
      <c r="B12" s="494" t="inlineStr">
        <is>
          <t>Số bản vẽ</t>
        </is>
      </c>
      <c r="C12" s="805" t="n">
        <v>453</v>
      </c>
      <c r="D12" s="890" t="n">
        <v>275</v>
      </c>
      <c r="E12" s="1169" t="n">
        <v>425</v>
      </c>
      <c r="F12" s="302" t="n"/>
      <c r="G12" s="302" t="n"/>
      <c r="H12" s="302" t="n"/>
      <c r="I12" s="302" t="n"/>
      <c r="J12" s="302" t="n"/>
      <c r="K12" s="302" t="n"/>
      <c r="L12" s="302" t="n"/>
      <c r="M12" s="302" t="n"/>
      <c r="N12" s="304" t="n"/>
      <c r="O12" s="215">
        <f>SUM(C12:N12)</f>
        <v/>
      </c>
    </row>
    <row r="13">
      <c r="A13" s="1170" t="n"/>
      <c r="B13" s="205" t="inlineStr">
        <is>
          <t>Số phế phẩm</t>
        </is>
      </c>
      <c r="C13" s="806" t="n">
        <v>0</v>
      </c>
      <c r="D13" s="891" t="n">
        <v>0</v>
      </c>
      <c r="E13" s="1171" t="n">
        <v>0</v>
      </c>
      <c r="F13" s="614" t="n"/>
      <c r="G13" s="614" t="n"/>
      <c r="H13" s="614" t="n"/>
      <c r="I13" s="614" t="n"/>
      <c r="J13" s="614" t="n"/>
      <c r="K13" s="614" t="n"/>
      <c r="L13" s="614" t="n"/>
      <c r="M13" s="614" t="n"/>
      <c r="N13" s="307" t="n"/>
      <c r="O13" s="218">
        <f>SUM(C13:N13)</f>
        <v/>
      </c>
    </row>
    <row r="14" ht="15" customHeight="1" s="1062" thickBot="1">
      <c r="A14" s="1170" t="n"/>
      <c r="B14" s="219" t="inlineStr">
        <is>
          <t>Tỷ lệ phế phẩm</t>
        </is>
      </c>
      <c r="C14" s="807">
        <f>C13/C12</f>
        <v/>
      </c>
      <c r="D14" s="892">
        <f>D13/D12</f>
        <v/>
      </c>
      <c r="E14" s="308">
        <f>E13/E12</f>
        <v/>
      </c>
      <c r="F14" s="308">
        <f>F13/F12</f>
        <v/>
      </c>
      <c r="G14" s="308">
        <f>G13/G12</f>
        <v/>
      </c>
      <c r="H14" s="308">
        <f>H13/H12</f>
        <v/>
      </c>
      <c r="I14" s="308">
        <f>I13/I12</f>
        <v/>
      </c>
      <c r="J14" s="308">
        <f>J13/J12</f>
        <v/>
      </c>
      <c r="K14" s="308">
        <f>K13/K12</f>
        <v/>
      </c>
      <c r="L14" s="308">
        <f>L13/L12</f>
        <v/>
      </c>
      <c r="M14" s="308">
        <f>M13/M12</f>
        <v/>
      </c>
      <c r="N14" s="309">
        <f>N13/N12</f>
        <v/>
      </c>
      <c r="O14" s="310">
        <f>O13/O12</f>
        <v/>
      </c>
    </row>
    <row r="15" ht="18.75" customHeight="1" s="1062">
      <c r="A15" s="1172" t="inlineStr">
        <is>
          <t>LN （NC旋盤）
MÁY TIỆN CNC</t>
        </is>
      </c>
      <c r="B15" s="494" t="inlineStr">
        <is>
          <t>Số bản vẽ</t>
        </is>
      </c>
      <c r="C15" s="808" t="n">
        <v>78</v>
      </c>
      <c r="D15" s="893" t="n">
        <v>36</v>
      </c>
      <c r="E15" s="1173" t="n">
        <v>100</v>
      </c>
      <c r="F15" s="576" t="n"/>
      <c r="G15" s="576" t="n"/>
      <c r="H15" s="576" t="n"/>
      <c r="I15" s="576" t="n"/>
      <c r="J15" s="576" t="n"/>
      <c r="K15" s="576" t="n"/>
      <c r="L15" s="576" t="n"/>
      <c r="M15" s="576" t="n"/>
      <c r="N15" s="319" t="n"/>
      <c r="O15" s="223">
        <f>SUM(C15:N15)</f>
        <v/>
      </c>
    </row>
    <row r="16">
      <c r="A16" s="1170" t="n"/>
      <c r="B16" s="205" t="inlineStr">
        <is>
          <t>Số phế phẩm</t>
        </is>
      </c>
      <c r="C16" s="806" t="n">
        <v>0</v>
      </c>
      <c r="D16" s="894" t="n">
        <v>0</v>
      </c>
      <c r="E16" s="1171" t="n">
        <v>0</v>
      </c>
      <c r="F16" s="614" t="n"/>
      <c r="G16" s="614" t="n"/>
      <c r="H16" s="614" t="n"/>
      <c r="I16" s="614" t="n"/>
      <c r="J16" s="614" t="n"/>
      <c r="K16" s="614" t="n"/>
      <c r="L16" s="614" t="n"/>
      <c r="M16" s="614" t="n"/>
      <c r="N16" s="307" t="n"/>
      <c r="O16" s="218">
        <f>SUM(C16:N16)</f>
        <v/>
      </c>
    </row>
    <row r="17" ht="15" customHeight="1" s="1062" thickBot="1">
      <c r="A17" s="1174" t="n"/>
      <c r="B17" s="219" t="inlineStr">
        <is>
          <t>Tỷ lệ phế phẩm</t>
        </is>
      </c>
      <c r="C17" s="807">
        <f>C16/C15</f>
        <v/>
      </c>
      <c r="D17" s="892">
        <f>D16/D15</f>
        <v/>
      </c>
      <c r="E17" s="308">
        <f>E16/E15</f>
        <v/>
      </c>
      <c r="F17" s="308">
        <f>F16/F15</f>
        <v/>
      </c>
      <c r="G17" s="308">
        <f>G16/G15</f>
        <v/>
      </c>
      <c r="H17" s="308">
        <f>H16/H15</f>
        <v/>
      </c>
      <c r="I17" s="308">
        <f>I16/I15</f>
        <v/>
      </c>
      <c r="J17" s="308">
        <f>J16/J15</f>
        <v/>
      </c>
      <c r="K17" s="308">
        <f>K16/K15</f>
        <v/>
      </c>
      <c r="L17" s="308">
        <f>L16/L15</f>
        <v/>
      </c>
      <c r="M17" s="308">
        <f>M16/M15</f>
        <v/>
      </c>
      <c r="N17" s="309">
        <f>N16/N15</f>
        <v/>
      </c>
      <c r="O17" s="310">
        <f>O16/O15</f>
        <v/>
      </c>
    </row>
    <row r="18" ht="18.75" customHeight="1" s="1062">
      <c r="A18" s="975" t="inlineStr">
        <is>
          <t>MA （ﾌﾗｲｽ盤）
MÁY PHAY</t>
        </is>
      </c>
      <c r="B18" s="494" t="inlineStr">
        <is>
          <t>Số bản vẽ</t>
        </is>
      </c>
      <c r="C18" s="1175" t="n">
        <v>1081</v>
      </c>
      <c r="D18" s="1176" t="n">
        <v>670</v>
      </c>
      <c r="E18" s="1173" t="n">
        <v>1079</v>
      </c>
      <c r="F18" s="1177" t="n"/>
      <c r="G18" s="1177" t="n"/>
      <c r="H18" s="1177" t="n"/>
      <c r="I18" s="1177" t="n"/>
      <c r="J18" s="1177" t="n"/>
      <c r="K18" s="1177" t="n"/>
      <c r="L18" s="1177" t="n"/>
      <c r="M18" s="1177" t="n"/>
      <c r="N18" s="1178" t="n"/>
      <c r="O18" s="223">
        <f>SUM(C18:N18)</f>
        <v/>
      </c>
    </row>
    <row r="19">
      <c r="A19" s="1170" t="n"/>
      <c r="B19" s="205" t="inlineStr">
        <is>
          <t>Số phế phẩm</t>
        </is>
      </c>
      <c r="C19" s="806" t="n">
        <v>0</v>
      </c>
      <c r="D19" s="891" t="n">
        <v>0</v>
      </c>
      <c r="E19" s="1171" t="n">
        <v>0</v>
      </c>
      <c r="F19" s="614" t="n"/>
      <c r="G19" s="614" t="n"/>
      <c r="H19" s="614" t="n"/>
      <c r="I19" s="614" t="n"/>
      <c r="J19" s="614" t="n"/>
      <c r="K19" s="614" t="n"/>
      <c r="L19" s="614" t="n"/>
      <c r="M19" s="614" t="n"/>
      <c r="N19" s="307" t="n"/>
      <c r="O19" s="218">
        <f>SUM(C19:N19)</f>
        <v/>
      </c>
    </row>
    <row r="20" ht="15" customHeight="1" s="1062" thickBot="1">
      <c r="A20" s="1170" t="n"/>
      <c r="B20" s="219" t="inlineStr">
        <is>
          <t>Tỷ lệ phế phẩm</t>
        </is>
      </c>
      <c r="C20" s="807">
        <f>C19/C18</f>
        <v/>
      </c>
      <c r="D20" s="892">
        <f>D19/D18</f>
        <v/>
      </c>
      <c r="E20" s="308">
        <f>E19/E18</f>
        <v/>
      </c>
      <c r="F20" s="308">
        <f>F19/F18</f>
        <v/>
      </c>
      <c r="G20" s="308">
        <f>G19/G18</f>
        <v/>
      </c>
      <c r="H20" s="308">
        <f>H19/H18</f>
        <v/>
      </c>
      <c r="I20" s="308">
        <f>I19/I18</f>
        <v/>
      </c>
      <c r="J20" s="308">
        <f>J19/J18</f>
        <v/>
      </c>
      <c r="K20" s="308">
        <f>K19/K18</f>
        <v/>
      </c>
      <c r="L20" s="308">
        <f>L19/L18</f>
        <v/>
      </c>
      <c r="M20" s="308">
        <f>M19/M18</f>
        <v/>
      </c>
      <c r="N20" s="309">
        <f>N19/N18</f>
        <v/>
      </c>
      <c r="O20" s="321">
        <f>O19/O18</f>
        <v/>
      </c>
    </row>
    <row r="21" ht="18.75" customHeight="1" s="1062">
      <c r="A21" s="1172" t="inlineStr">
        <is>
          <t>DA （ﾎﾞｰﾙ盤）
MÁY KHOAN</t>
        </is>
      </c>
      <c r="B21" s="494" t="inlineStr">
        <is>
          <t>Số bản vẽ</t>
        </is>
      </c>
      <c r="C21" s="808" t="n">
        <v>469</v>
      </c>
      <c r="D21" s="893" t="n">
        <v>355</v>
      </c>
      <c r="E21" s="1173" t="n">
        <v>523</v>
      </c>
      <c r="F21" s="576" t="n"/>
      <c r="G21" s="576" t="n"/>
      <c r="H21" s="576" t="n"/>
      <c r="I21" s="576" t="n"/>
      <c r="J21" s="576" t="n"/>
      <c r="K21" s="576" t="n"/>
      <c r="L21" s="576" t="n"/>
      <c r="M21" s="576" t="n"/>
      <c r="N21" s="319" t="n"/>
      <c r="O21" s="228">
        <f>SUM(C21:N21)</f>
        <v/>
      </c>
    </row>
    <row r="22">
      <c r="A22" s="1170" t="n"/>
      <c r="B22" s="205" t="inlineStr">
        <is>
          <t>Số phế phẩm</t>
        </is>
      </c>
      <c r="C22" s="806" t="n">
        <v>0</v>
      </c>
      <c r="D22" s="894" t="n">
        <v>0</v>
      </c>
      <c r="E22" s="1171" t="n">
        <v>0</v>
      </c>
      <c r="F22" s="614" t="n"/>
      <c r="G22" s="614" t="n"/>
      <c r="H22" s="614" t="n"/>
      <c r="I22" s="614" t="n"/>
      <c r="J22" s="614" t="n"/>
      <c r="K22" s="614" t="n"/>
      <c r="L22" s="614" t="n"/>
      <c r="M22" s="614" t="n"/>
      <c r="N22" s="307" t="n"/>
      <c r="O22" s="218">
        <f>SUM(C22:N22)</f>
        <v/>
      </c>
    </row>
    <row r="23" ht="15" customHeight="1" s="1062" thickBot="1">
      <c r="A23" s="1174" t="n"/>
      <c r="B23" s="219" t="inlineStr">
        <is>
          <t>Tỷ lệ phế phẩm</t>
        </is>
      </c>
      <c r="C23" s="807">
        <f>C22/C21</f>
        <v/>
      </c>
      <c r="D23" s="892">
        <f>D22/D21</f>
        <v/>
      </c>
      <c r="E23" s="308">
        <f>E22/E21</f>
        <v/>
      </c>
      <c r="F23" s="308">
        <f>F22/F21</f>
        <v/>
      </c>
      <c r="G23" s="308">
        <f>G22/G21</f>
        <v/>
      </c>
      <c r="H23" s="308">
        <f>H22/H21</f>
        <v/>
      </c>
      <c r="I23" s="308">
        <f>I22/I21</f>
        <v/>
      </c>
      <c r="J23" s="308">
        <f>J22/J21</f>
        <v/>
      </c>
      <c r="K23" s="308">
        <f>K22/K21</f>
        <v/>
      </c>
      <c r="L23" s="308">
        <f>L22/L21</f>
        <v/>
      </c>
      <c r="M23" s="308">
        <f>M22/M21</f>
        <v/>
      </c>
      <c r="N23" s="309">
        <f>N22/N21</f>
        <v/>
      </c>
      <c r="O23" s="310">
        <f>O22/O21</f>
        <v/>
      </c>
    </row>
    <row r="24" ht="18.75" customHeight="1" s="1062">
      <c r="A24" s="970" t="inlineStr">
        <is>
          <t>BJ （精密ﾌﾗｲｽ盤）
MÁY PHAY CHÍNH XÁC</t>
        </is>
      </c>
      <c r="B24" s="494" t="inlineStr">
        <is>
          <t>Số bản vẽ</t>
        </is>
      </c>
      <c r="C24" s="1175" t="n">
        <v>1295</v>
      </c>
      <c r="D24" s="1176" t="n">
        <v>899</v>
      </c>
      <c r="E24" s="1179" t="n">
        <v>1309</v>
      </c>
      <c r="F24" s="1180" t="n"/>
      <c r="G24" s="1177" t="n"/>
      <c r="H24" s="1180" t="n"/>
      <c r="I24" s="1180" t="n"/>
      <c r="J24" s="1180" t="n"/>
      <c r="K24" s="1180" t="n"/>
      <c r="L24" s="1180" t="n"/>
      <c r="M24" s="1177" t="n"/>
      <c r="N24" s="1178" t="n"/>
      <c r="O24" s="223">
        <f>SUM(C24:N24)</f>
        <v/>
      </c>
    </row>
    <row r="25">
      <c r="A25" s="1170" t="n"/>
      <c r="B25" s="205" t="inlineStr">
        <is>
          <t>Số phế phẩm</t>
        </is>
      </c>
      <c r="C25" s="806" t="n">
        <v>0</v>
      </c>
      <c r="D25" s="891" t="n">
        <v>0</v>
      </c>
      <c r="E25" s="1171" t="n">
        <v>0</v>
      </c>
      <c r="F25" s="614" t="n"/>
      <c r="G25" s="614" t="n"/>
      <c r="H25" s="614" t="n"/>
      <c r="I25" s="614" t="n"/>
      <c r="J25" s="614" t="n"/>
      <c r="K25" s="614" t="n"/>
      <c r="L25" s="614" t="n"/>
      <c r="M25" s="614" t="n"/>
      <c r="N25" s="307" t="n"/>
      <c r="O25" s="218">
        <f>SUM(C25:N25)</f>
        <v/>
      </c>
    </row>
    <row r="26" ht="15" customHeight="1" s="1062" thickBot="1">
      <c r="A26" s="1170" t="n"/>
      <c r="B26" s="219" t="inlineStr">
        <is>
          <t>Tỷ lệ phế phẩm</t>
        </is>
      </c>
      <c r="C26" s="807">
        <f>C25/C24</f>
        <v/>
      </c>
      <c r="D26" s="892">
        <f>D25/D24</f>
        <v/>
      </c>
      <c r="E26" s="308">
        <f>E25/E24</f>
        <v/>
      </c>
      <c r="F26" s="308">
        <f>F25/F24</f>
        <v/>
      </c>
      <c r="G26" s="308">
        <f>G25/G24</f>
        <v/>
      </c>
      <c r="H26" s="308">
        <f>H25/H24</f>
        <v/>
      </c>
      <c r="I26" s="308">
        <f>I25/I24</f>
        <v/>
      </c>
      <c r="J26" s="308">
        <f>J25/J24</f>
        <v/>
      </c>
      <c r="K26" s="308">
        <f>K25/K24</f>
        <v/>
      </c>
      <c r="L26" s="308">
        <f>L25/L24</f>
        <v/>
      </c>
      <c r="M26" s="308">
        <f>M25/M24</f>
        <v/>
      </c>
      <c r="N26" s="309">
        <f>N25/N24</f>
        <v/>
      </c>
      <c r="O26" s="321">
        <f>O25/O24</f>
        <v/>
      </c>
    </row>
    <row r="27" ht="18.75" customHeight="1" s="1062">
      <c r="A27" s="1181" t="inlineStr">
        <is>
          <t>MC （ﾏｼﾆﾝｸﾞｾﾝﾀ）
MÁY PHAY CNC
MÁY PHAY TRUNG TÂM</t>
        </is>
      </c>
      <c r="B27" s="494" t="inlineStr">
        <is>
          <t>Số bản vẽ</t>
        </is>
      </c>
      <c r="C27" s="808" t="n">
        <v>258</v>
      </c>
      <c r="D27" s="893" t="n">
        <v>173</v>
      </c>
      <c r="E27" s="1173" t="n">
        <v>316</v>
      </c>
      <c r="F27" s="576" t="n"/>
      <c r="G27" s="576" t="n"/>
      <c r="H27" s="576" t="n"/>
      <c r="I27" s="576" t="n"/>
      <c r="J27" s="576" t="n"/>
      <c r="K27" s="576" t="n"/>
      <c r="L27" s="576" t="n"/>
      <c r="M27" s="576" t="n"/>
      <c r="N27" s="319" t="n"/>
      <c r="O27" s="228">
        <f>SUM(C27:N27)</f>
        <v/>
      </c>
    </row>
    <row r="28">
      <c r="A28" s="1170" t="n"/>
      <c r="B28" s="205" t="inlineStr">
        <is>
          <t>Số phế phẩm</t>
        </is>
      </c>
      <c r="C28" s="806" t="n">
        <v>0</v>
      </c>
      <c r="D28" s="894" t="n">
        <v>0</v>
      </c>
      <c r="E28" s="1171" t="n">
        <v>0</v>
      </c>
      <c r="F28" s="614" t="n"/>
      <c r="G28" s="614" t="n"/>
      <c r="H28" s="614" t="n"/>
      <c r="I28" s="614" t="n"/>
      <c r="J28" s="614" t="n"/>
      <c r="K28" s="614" t="n"/>
      <c r="L28" s="614" t="n"/>
      <c r="M28" s="614" t="n"/>
      <c r="N28" s="307" t="n"/>
      <c r="O28" s="218">
        <f>SUM(C28:N28)</f>
        <v/>
      </c>
    </row>
    <row r="29" ht="15" customHeight="1" s="1062" thickBot="1">
      <c r="A29" s="1174" t="n"/>
      <c r="B29" s="219" t="inlineStr">
        <is>
          <t>Tỷ lệ phế phẩm</t>
        </is>
      </c>
      <c r="C29" s="807">
        <f>C28/C27</f>
        <v/>
      </c>
      <c r="D29" s="892">
        <f>D28/D27</f>
        <v/>
      </c>
      <c r="E29" s="308">
        <f>E28/E27</f>
        <v/>
      </c>
      <c r="F29" s="308">
        <f>F28/F27</f>
        <v/>
      </c>
      <c r="G29" s="308">
        <f>G28/G27</f>
        <v/>
      </c>
      <c r="H29" s="308">
        <f>H28/H27</f>
        <v/>
      </c>
      <c r="I29" s="308">
        <f>I28/I27</f>
        <v/>
      </c>
      <c r="J29" s="308">
        <f>J28/J27</f>
        <v/>
      </c>
      <c r="K29" s="308">
        <f>K28/K27</f>
        <v/>
      </c>
      <c r="L29" s="308">
        <f>L28/L27</f>
        <v/>
      </c>
      <c r="M29" s="308">
        <f>M28/M27</f>
        <v/>
      </c>
      <c r="N29" s="309">
        <f>N28/N27</f>
        <v/>
      </c>
      <c r="O29" s="321">
        <f>O28/O27</f>
        <v/>
      </c>
    </row>
    <row r="30" ht="18.75" customHeight="1" s="1062">
      <c r="A30" s="975" t="inlineStr">
        <is>
          <t>GS （成形研削盤）
MÁY MÀI TẠO HÌNH</t>
        </is>
      </c>
      <c r="B30" s="494" t="inlineStr">
        <is>
          <t>Số bản vẽ</t>
        </is>
      </c>
      <c r="C30" s="1175" t="n">
        <v>1356</v>
      </c>
      <c r="D30" s="1176" t="n">
        <v>878</v>
      </c>
      <c r="E30" s="1179" t="n">
        <v>1275</v>
      </c>
      <c r="F30" s="1177" t="n"/>
      <c r="G30" s="1175" t="n"/>
      <c r="H30" s="1177" t="n"/>
      <c r="I30" s="1177" t="n"/>
      <c r="J30" s="1177" t="n"/>
      <c r="K30" s="1177" t="n"/>
      <c r="L30" s="1177" t="n"/>
      <c r="M30" s="1177" t="n"/>
      <c r="N30" s="1178" t="n"/>
      <c r="O30" s="228">
        <f>SUM(C30:N30)</f>
        <v/>
      </c>
    </row>
    <row r="31">
      <c r="A31" s="1170" t="n"/>
      <c r="B31" s="205" t="inlineStr">
        <is>
          <t>Số phế phẩm</t>
        </is>
      </c>
      <c r="C31" s="806" t="n">
        <v>0</v>
      </c>
      <c r="D31" s="891" t="n">
        <v>0</v>
      </c>
      <c r="E31" s="1171" t="n">
        <v>0</v>
      </c>
      <c r="F31" s="614" t="n"/>
      <c r="G31" s="614" t="n"/>
      <c r="H31" s="614" t="n"/>
      <c r="I31" s="614" t="n"/>
      <c r="J31" s="614" t="n"/>
      <c r="K31" s="614" t="n"/>
      <c r="L31" s="614" t="n"/>
      <c r="M31" s="614" t="n"/>
      <c r="N31" s="307" t="n"/>
      <c r="O31" s="218">
        <f>SUM(C31:N31)</f>
        <v/>
      </c>
    </row>
    <row r="32" ht="15" customHeight="1" s="1062" thickBot="1">
      <c r="A32" s="1170" t="n"/>
      <c r="B32" s="219" t="inlineStr">
        <is>
          <t>Tỷ lệ phế phẩm</t>
        </is>
      </c>
      <c r="C32" s="807">
        <f>C31/C30</f>
        <v/>
      </c>
      <c r="D32" s="892">
        <f>D31/D30</f>
        <v/>
      </c>
      <c r="E32" s="308">
        <f>E31/E30</f>
        <v/>
      </c>
      <c r="F32" s="308">
        <f>F31/F30</f>
        <v/>
      </c>
      <c r="G32" s="308">
        <f>G31/G30</f>
        <v/>
      </c>
      <c r="H32" s="308">
        <f>H31/H30</f>
        <v/>
      </c>
      <c r="I32" s="308">
        <f>I31/I30</f>
        <v/>
      </c>
      <c r="J32" s="308">
        <f>J31/J30</f>
        <v/>
      </c>
      <c r="K32" s="308">
        <f>K31/K30</f>
        <v/>
      </c>
      <c r="L32" s="308">
        <f>L31/L30</f>
        <v/>
      </c>
      <c r="M32" s="308">
        <f>M31/M30</f>
        <v/>
      </c>
      <c r="N32" s="309">
        <f>N31/N30</f>
        <v/>
      </c>
      <c r="O32" s="321">
        <f>O31/O30</f>
        <v/>
      </c>
    </row>
    <row r="33" ht="18.75" customHeight="1" s="1062">
      <c r="A33" s="1172" t="inlineStr">
        <is>
          <t>GR （円筒研削盤）
MÁY MÀI TRÒN CÓ TÂM</t>
        </is>
      </c>
      <c r="B33" s="494" t="inlineStr">
        <is>
          <t>Số bản vẽ</t>
        </is>
      </c>
      <c r="C33" s="808" t="n">
        <v>348</v>
      </c>
      <c r="D33" s="896" t="n">
        <v>224</v>
      </c>
      <c r="E33" s="1173" t="n">
        <v>247</v>
      </c>
      <c r="F33" s="576" t="n"/>
      <c r="G33" s="576" t="n"/>
      <c r="H33" s="576" t="n"/>
      <c r="I33" s="576" t="n"/>
      <c r="J33" s="576" t="n"/>
      <c r="K33" s="576" t="n"/>
      <c r="L33" s="576" t="n"/>
      <c r="M33" s="576" t="n"/>
      <c r="N33" s="319" t="n"/>
      <c r="O33" s="228">
        <f>SUM(C33:N33)</f>
        <v/>
      </c>
    </row>
    <row r="34">
      <c r="A34" s="1170" t="n"/>
      <c r="B34" s="205" t="inlineStr">
        <is>
          <t>Số phế phẩm</t>
        </is>
      </c>
      <c r="C34" s="806" t="n">
        <v>0</v>
      </c>
      <c r="D34" s="891" t="n">
        <v>0</v>
      </c>
      <c r="E34" s="1171" t="n">
        <v>0</v>
      </c>
      <c r="F34" s="614" t="n"/>
      <c r="G34" s="614" t="n"/>
      <c r="H34" s="614" t="n"/>
      <c r="I34" s="614" t="n"/>
      <c r="J34" s="614" t="n"/>
      <c r="K34" s="614" t="n"/>
      <c r="L34" s="614" t="n"/>
      <c r="M34" s="614" t="n"/>
      <c r="N34" s="307" t="n"/>
      <c r="O34" s="218">
        <f>SUM(C34:N34)</f>
        <v/>
      </c>
    </row>
    <row r="35" ht="15" customHeight="1" s="1062" thickBot="1">
      <c r="A35" s="1174" t="n"/>
      <c r="B35" s="219" t="inlineStr">
        <is>
          <t>Tỷ lệ phế phẩm</t>
        </is>
      </c>
      <c r="C35" s="807">
        <f>C34/C33</f>
        <v/>
      </c>
      <c r="D35" s="892">
        <f>D34/D33</f>
        <v/>
      </c>
      <c r="E35" s="308">
        <f>E34/E33</f>
        <v/>
      </c>
      <c r="F35" s="308">
        <f>F34/F33</f>
        <v/>
      </c>
      <c r="G35" s="308">
        <f>G34/G33</f>
        <v/>
      </c>
      <c r="H35" s="308">
        <f>H34/H33</f>
        <v/>
      </c>
      <c r="I35" s="308">
        <f>I34/I33</f>
        <v/>
      </c>
      <c r="J35" s="308">
        <f>J34/J33</f>
        <v/>
      </c>
      <c r="K35" s="308">
        <f>K34/K33</f>
        <v/>
      </c>
      <c r="L35" s="308">
        <f>L34/L33</f>
        <v/>
      </c>
      <c r="M35" s="308">
        <f>M34/M33</f>
        <v/>
      </c>
      <c r="N35" s="309">
        <f>N34/N33</f>
        <v/>
      </c>
      <c r="O35" s="321">
        <f>O34/O33</f>
        <v/>
      </c>
    </row>
    <row r="36">
      <c r="A36" s="1182" t="inlineStr">
        <is>
          <t>GX （内径研削盤）</t>
        </is>
      </c>
      <c r="B36" s="468" t="inlineStr">
        <is>
          <t>図面総数</t>
        </is>
      </c>
      <c r="C36" s="810" t="n"/>
      <c r="D36" s="897" t="n"/>
      <c r="E36" s="1183" t="n">
        <v>0</v>
      </c>
      <c r="F36" s="469" t="n"/>
      <c r="G36" s="469" t="n"/>
      <c r="H36" s="469" t="n"/>
      <c r="I36" s="469" t="n"/>
      <c r="J36" s="469" t="n"/>
      <c r="K36" s="469" t="n"/>
      <c r="L36" s="469" t="n"/>
      <c r="M36" s="469" t="n"/>
      <c r="N36" s="470" t="n"/>
      <c r="O36" s="471">
        <f>SUM(C36:N36)</f>
        <v/>
      </c>
    </row>
    <row r="37">
      <c r="A37" s="1170" t="n"/>
      <c r="B37" s="472" t="inlineStr">
        <is>
          <t>不良件数</t>
        </is>
      </c>
      <c r="C37" s="811" t="n"/>
      <c r="D37" s="898" t="n"/>
      <c r="E37" s="1184" t="n">
        <v>0</v>
      </c>
      <c r="F37" s="473" t="n"/>
      <c r="G37" s="473" t="n"/>
      <c r="H37" s="473" t="n"/>
      <c r="I37" s="473" t="n"/>
      <c r="J37" s="473" t="n"/>
      <c r="K37" s="473" t="n"/>
      <c r="L37" s="473" t="n"/>
      <c r="M37" s="473" t="n"/>
      <c r="N37" s="474" t="n"/>
      <c r="O37" s="475">
        <f>SUM(C37:N37)</f>
        <v/>
      </c>
    </row>
    <row r="38" ht="15" customHeight="1" s="1062" thickBot="1">
      <c r="A38" s="1174" t="n"/>
      <c r="B38" s="476" t="inlineStr">
        <is>
          <t>不良率</t>
        </is>
      </c>
      <c r="C38" s="812">
        <f>C37/C36</f>
        <v/>
      </c>
      <c r="D38" s="899">
        <f>D37/D36</f>
        <v/>
      </c>
      <c r="E38" s="477">
        <f>E37/E36</f>
        <v/>
      </c>
      <c r="F38" s="477">
        <f>F37/F36</f>
        <v/>
      </c>
      <c r="G38" s="477">
        <f>G37/G36</f>
        <v/>
      </c>
      <c r="H38" s="477">
        <f>H37/H36</f>
        <v/>
      </c>
      <c r="I38" s="477">
        <f>I37/I36</f>
        <v/>
      </c>
      <c r="J38" s="477">
        <f>J37/J36</f>
        <v/>
      </c>
      <c r="K38" s="477">
        <f>K37/K36</f>
        <v/>
      </c>
      <c r="L38" s="477">
        <f>L37/L36</f>
        <v/>
      </c>
      <c r="M38" s="477">
        <f>M37/M36</f>
        <v/>
      </c>
      <c r="N38" s="478">
        <f>N37/N36</f>
        <v/>
      </c>
      <c r="O38" s="479">
        <f>O37/O36</f>
        <v/>
      </c>
    </row>
    <row r="39" ht="18.75" customHeight="1" s="1062">
      <c r="A39" s="1172" t="inlineStr">
        <is>
          <t>GC （ｾﾝﾀｰﾚｽ）
MÁY MÀI TRÒN VÔ TÂM</t>
        </is>
      </c>
      <c r="B39" s="494" t="inlineStr">
        <is>
          <t>Số bản vẽ</t>
        </is>
      </c>
      <c r="C39" s="808" t="n">
        <v>190</v>
      </c>
      <c r="D39" s="893" t="n">
        <v>112</v>
      </c>
      <c r="E39" s="1173" t="n">
        <v>165</v>
      </c>
      <c r="F39" s="576" t="n"/>
      <c r="G39" s="576" t="n"/>
      <c r="H39" s="576" t="n"/>
      <c r="I39" s="576" t="n"/>
      <c r="J39" s="576" t="n"/>
      <c r="K39" s="576" t="n"/>
      <c r="L39" s="576" t="n"/>
      <c r="M39" s="576" t="n"/>
      <c r="N39" s="319" t="n"/>
      <c r="O39" s="228">
        <f>SUM(C39:N39)</f>
        <v/>
      </c>
    </row>
    <row r="40">
      <c r="A40" s="1170" t="n"/>
      <c r="B40" s="205" t="inlineStr">
        <is>
          <t>Số phế phẩm</t>
        </is>
      </c>
      <c r="C40" s="806" t="n">
        <v>0</v>
      </c>
      <c r="D40" s="894" t="n">
        <v>0</v>
      </c>
      <c r="E40" s="1171" t="n">
        <v>0</v>
      </c>
      <c r="F40" s="614" t="n"/>
      <c r="G40" s="614" t="n"/>
      <c r="H40" s="614" t="n"/>
      <c r="I40" s="614" t="n"/>
      <c r="J40" s="614" t="n"/>
      <c r="K40" s="614" t="n"/>
      <c r="L40" s="614" t="n"/>
      <c r="M40" s="614" t="n"/>
      <c r="N40" s="307" t="n"/>
      <c r="O40" s="218">
        <f>SUM(C40:N40)</f>
        <v/>
      </c>
    </row>
    <row r="41" ht="15" customHeight="1" s="1062" thickBot="1">
      <c r="A41" s="1174" t="n"/>
      <c r="B41" s="219" t="inlineStr">
        <is>
          <t>Tỷ lệ phế phẩm</t>
        </is>
      </c>
      <c r="C41" s="807">
        <f>C40/C39</f>
        <v/>
      </c>
      <c r="D41" s="892">
        <f>D40/D39</f>
        <v/>
      </c>
      <c r="E41" s="308">
        <f>E40/E39</f>
        <v/>
      </c>
      <c r="F41" s="308">
        <f>F40/F39</f>
        <v/>
      </c>
      <c r="G41" s="308">
        <f>G40/G39</f>
        <v/>
      </c>
      <c r="H41" s="308">
        <f>H40/H39</f>
        <v/>
      </c>
      <c r="I41" s="308">
        <f>I40/I39</f>
        <v/>
      </c>
      <c r="J41" s="308">
        <f>J40/J39</f>
        <v/>
      </c>
      <c r="K41" s="308">
        <f>K40/K39</f>
        <v/>
      </c>
      <c r="L41" s="308">
        <f>L40/L39</f>
        <v/>
      </c>
      <c r="M41" s="308">
        <f>M40/M39</f>
        <v/>
      </c>
      <c r="N41" s="309">
        <f>N40/N39</f>
        <v/>
      </c>
      <c r="O41" s="321">
        <f>O40/O39</f>
        <v/>
      </c>
    </row>
    <row r="42" ht="18.75" customHeight="1" s="1062">
      <c r="A42" s="975" t="inlineStr">
        <is>
          <t>GJ （ｼﾞｸﾞ研削盤）
MÁY MÀI DỤNG CỤ</t>
        </is>
      </c>
      <c r="B42" s="494" t="inlineStr">
        <is>
          <t>Số bản vẽ</t>
        </is>
      </c>
      <c r="C42" s="808" t="n">
        <v>165</v>
      </c>
      <c r="D42" s="893" t="n">
        <v>93</v>
      </c>
      <c r="E42" s="1173" t="n">
        <v>111</v>
      </c>
      <c r="F42" s="576" t="n"/>
      <c r="G42" s="576" t="n"/>
      <c r="H42" s="576" t="n"/>
      <c r="I42" s="576" t="n"/>
      <c r="J42" s="576" t="n"/>
      <c r="K42" s="576" t="n"/>
      <c r="L42" s="576" t="n"/>
      <c r="M42" s="576" t="n"/>
      <c r="N42" s="319" t="n"/>
      <c r="O42" s="228">
        <f>SUM(C42:N42)</f>
        <v/>
      </c>
    </row>
    <row r="43">
      <c r="A43" s="1170" t="n"/>
      <c r="B43" s="205" t="inlineStr">
        <is>
          <t>Số phế phẩm</t>
        </is>
      </c>
      <c r="C43" s="806" t="n">
        <v>0</v>
      </c>
      <c r="D43" s="894" t="n">
        <v>0</v>
      </c>
      <c r="E43" s="1171" t="n">
        <v>0</v>
      </c>
      <c r="F43" s="614" t="n"/>
      <c r="G43" s="614" t="n"/>
      <c r="H43" s="614" t="n"/>
      <c r="I43" s="614" t="n"/>
      <c r="J43" s="614" t="n"/>
      <c r="K43" s="614" t="n"/>
      <c r="L43" s="614" t="n"/>
      <c r="M43" s="614" t="n"/>
      <c r="N43" s="307" t="n"/>
      <c r="O43" s="218">
        <f>SUM(C43:N43)</f>
        <v/>
      </c>
    </row>
    <row r="44" ht="15" customHeight="1" s="1062" thickBot="1">
      <c r="A44" s="1170" t="n"/>
      <c r="B44" s="219" t="inlineStr">
        <is>
          <t>Tỷ lệ phế phẩm</t>
        </is>
      </c>
      <c r="C44" s="807">
        <f>C43/C42</f>
        <v/>
      </c>
      <c r="D44" s="892">
        <f>D43/D42</f>
        <v/>
      </c>
      <c r="E44" s="308">
        <f>E43/E42</f>
        <v/>
      </c>
      <c r="F44" s="308">
        <f>F43/F42</f>
        <v/>
      </c>
      <c r="G44" s="308">
        <f>G43/G42</f>
        <v/>
      </c>
      <c r="H44" s="308">
        <f>H43/H42</f>
        <v/>
      </c>
      <c r="I44" s="308">
        <f>I43/I42</f>
        <v/>
      </c>
      <c r="J44" s="308">
        <f>J43/J42</f>
        <v/>
      </c>
      <c r="K44" s="308">
        <f>K43/K42</f>
        <v/>
      </c>
      <c r="L44" s="308">
        <f>L43/L42</f>
        <v/>
      </c>
      <c r="M44" s="308">
        <f>M43/M42</f>
        <v/>
      </c>
      <c r="N44" s="309">
        <f>N43/N42</f>
        <v/>
      </c>
      <c r="O44" s="321">
        <f>O43/O42</f>
        <v/>
      </c>
    </row>
    <row r="45" ht="18.75" customHeight="1" s="1062">
      <c r="A45" s="1172" t="inlineStr">
        <is>
          <t>GP （ﾌﾟﾛﾌｧｲﾙ）
MÁY MÀI MÔ PHỎNG</t>
        </is>
      </c>
      <c r="B45" s="494" t="inlineStr">
        <is>
          <t>Số bản vẽ</t>
        </is>
      </c>
      <c r="C45" s="808" t="n">
        <v>245</v>
      </c>
      <c r="D45" s="893" t="n">
        <v>160</v>
      </c>
      <c r="E45" s="1173" t="n">
        <v>259</v>
      </c>
      <c r="F45" s="576" t="n"/>
      <c r="G45" s="576" t="n"/>
      <c r="H45" s="576" t="n"/>
      <c r="I45" s="576" t="n"/>
      <c r="J45" s="576" t="n"/>
      <c r="K45" s="576" t="n"/>
      <c r="L45" s="576" t="n"/>
      <c r="M45" s="576" t="n"/>
      <c r="N45" s="319" t="n"/>
      <c r="O45" s="228">
        <f>SUM(C45:N45)</f>
        <v/>
      </c>
    </row>
    <row r="46">
      <c r="A46" s="1170" t="n"/>
      <c r="B46" s="205" t="inlineStr">
        <is>
          <t>Số phế phẩm</t>
        </is>
      </c>
      <c r="C46" s="806" t="n">
        <v>0</v>
      </c>
      <c r="D46" s="894" t="n">
        <v>0</v>
      </c>
      <c r="E46" s="1171" t="n">
        <v>0</v>
      </c>
      <c r="F46" s="614" t="n"/>
      <c r="G46" s="614" t="n"/>
      <c r="H46" s="614" t="n"/>
      <c r="I46" s="614" t="n"/>
      <c r="J46" s="614" t="n"/>
      <c r="K46" s="614" t="n"/>
      <c r="L46" s="614" t="n"/>
      <c r="M46" s="614" t="n"/>
      <c r="N46" s="307" t="n"/>
      <c r="O46" s="218">
        <f>SUM(C46:N46)</f>
        <v/>
      </c>
    </row>
    <row r="47" ht="15" customHeight="1" s="1062" thickBot="1">
      <c r="A47" s="1174" t="n"/>
      <c r="B47" s="219" t="inlineStr">
        <is>
          <t>Tỷ lệ phế phẩm</t>
        </is>
      </c>
      <c r="C47" s="807">
        <f>C46/C45</f>
        <v/>
      </c>
      <c r="D47" s="892">
        <f>D46/D45</f>
        <v/>
      </c>
      <c r="E47" s="308">
        <f>E46/E45</f>
        <v/>
      </c>
      <c r="F47" s="308">
        <f>F46/F45</f>
        <v/>
      </c>
      <c r="G47" s="308">
        <f>G46/G45</f>
        <v/>
      </c>
      <c r="H47" s="308">
        <f>H46/H45</f>
        <v/>
      </c>
      <c r="I47" s="308">
        <f>I46/I45</f>
        <v/>
      </c>
      <c r="J47" s="308">
        <f>J46/J45</f>
        <v/>
      </c>
      <c r="K47" s="308">
        <f>K46/K45</f>
        <v/>
      </c>
      <c r="L47" s="308">
        <f>L46/L45</f>
        <v/>
      </c>
      <c r="M47" s="308">
        <f>M46/M45</f>
        <v/>
      </c>
      <c r="N47" s="309">
        <f>N46/N45</f>
        <v/>
      </c>
      <c r="O47" s="321">
        <f>O46/O45</f>
        <v/>
      </c>
    </row>
    <row r="48" ht="18.75" customHeight="1" s="1062">
      <c r="A48" s="975" t="inlineStr">
        <is>
          <t>EN （NC放電）
MÁY PHÓNG ĐiỆN</t>
        </is>
      </c>
      <c r="B48" s="494" t="inlineStr">
        <is>
          <t>Số bản vẽ</t>
        </is>
      </c>
      <c r="C48" s="808" t="n">
        <v>296</v>
      </c>
      <c r="D48" s="893" t="n">
        <v>183</v>
      </c>
      <c r="E48" s="1173" t="n">
        <v>279</v>
      </c>
      <c r="F48" s="576" t="n"/>
      <c r="G48" s="576" t="n"/>
      <c r="H48" s="576" t="n"/>
      <c r="I48" s="576" t="n"/>
      <c r="J48" s="576" t="n"/>
      <c r="K48" s="576" t="n"/>
      <c r="L48" s="576" t="n"/>
      <c r="M48" s="576" t="n"/>
      <c r="N48" s="319" t="n"/>
      <c r="O48" s="228">
        <f>SUM(C48:N48)</f>
        <v/>
      </c>
    </row>
    <row r="49">
      <c r="A49" s="1170" t="n"/>
      <c r="B49" s="205" t="inlineStr">
        <is>
          <t>Số phế phẩm</t>
        </is>
      </c>
      <c r="C49" s="806" t="n">
        <v>0</v>
      </c>
      <c r="D49" s="894" t="n">
        <v>0</v>
      </c>
      <c r="E49" s="1171" t="n">
        <v>0</v>
      </c>
      <c r="F49" s="614" t="n"/>
      <c r="G49" s="614" t="n"/>
      <c r="H49" s="614" t="n"/>
      <c r="I49" s="614" t="n"/>
      <c r="J49" s="614" t="n"/>
      <c r="K49" s="614" t="n"/>
      <c r="L49" s="614" t="n"/>
      <c r="M49" s="614" t="n"/>
      <c r="N49" s="307" t="n"/>
      <c r="O49" s="218">
        <f>SUM(C49:N49)</f>
        <v/>
      </c>
    </row>
    <row r="50" ht="15" customHeight="1" s="1062" thickBot="1">
      <c r="A50" s="1170" t="n"/>
      <c r="B50" s="219" t="inlineStr">
        <is>
          <t>Tỷ lệ phế phẩm</t>
        </is>
      </c>
      <c r="C50" s="807">
        <f>C49/C48</f>
        <v/>
      </c>
      <c r="D50" s="892">
        <f>D49/D48</f>
        <v/>
      </c>
      <c r="E50" s="308">
        <f>E49/E48</f>
        <v/>
      </c>
      <c r="F50" s="308">
        <f>F49/F48</f>
        <v/>
      </c>
      <c r="G50" s="308">
        <f>G49/G48</f>
        <v/>
      </c>
      <c r="H50" s="308">
        <f>H49/H48</f>
        <v/>
      </c>
      <c r="I50" s="308">
        <f>I49/I48</f>
        <v/>
      </c>
      <c r="J50" s="308">
        <f>J49/J48</f>
        <v/>
      </c>
      <c r="K50" s="308">
        <f>K49/K48</f>
        <v/>
      </c>
      <c r="L50" s="308">
        <f>L49/L48</f>
        <v/>
      </c>
      <c r="M50" s="308">
        <f>M49/M48</f>
        <v/>
      </c>
      <c r="N50" s="309">
        <f>N49/N48</f>
        <v/>
      </c>
      <c r="O50" s="321">
        <f>O49/O48</f>
        <v/>
      </c>
    </row>
    <row r="51">
      <c r="A51" s="1182" t="inlineStr">
        <is>
          <t>ES （汎用放電）</t>
        </is>
      </c>
      <c r="B51" s="468" t="inlineStr">
        <is>
          <t>図面総数</t>
        </is>
      </c>
      <c r="C51" s="810" t="n"/>
      <c r="D51" s="897" t="n"/>
      <c r="E51" s="1183" t="n">
        <v>0</v>
      </c>
      <c r="F51" s="469" t="n"/>
      <c r="G51" s="469" t="n"/>
      <c r="H51" s="469" t="n"/>
      <c r="I51" s="469" t="n"/>
      <c r="J51" s="469" t="n"/>
      <c r="K51" s="469" t="n"/>
      <c r="L51" s="469" t="n"/>
      <c r="M51" s="469" t="n"/>
      <c r="N51" s="470" t="n"/>
      <c r="O51" s="471">
        <f>SUM(C51:N51)</f>
        <v/>
      </c>
    </row>
    <row r="52">
      <c r="A52" s="1170" t="n"/>
      <c r="B52" s="472" t="inlineStr">
        <is>
          <t>不良件数</t>
        </is>
      </c>
      <c r="C52" s="811" t="n"/>
      <c r="D52" s="898" t="n"/>
      <c r="E52" s="1184" t="n">
        <v>0</v>
      </c>
      <c r="F52" s="473" t="n"/>
      <c r="G52" s="473" t="n"/>
      <c r="H52" s="473" t="n"/>
      <c r="I52" s="473" t="n"/>
      <c r="J52" s="473" t="n"/>
      <c r="K52" s="473" t="n"/>
      <c r="L52" s="473" t="n"/>
      <c r="M52" s="473" t="n"/>
      <c r="N52" s="474" t="n"/>
      <c r="O52" s="475">
        <f>SUM(C52:N52)</f>
        <v/>
      </c>
    </row>
    <row r="53" ht="15" customHeight="1" s="1062" thickBot="1">
      <c r="A53" s="1174" t="n"/>
      <c r="B53" s="476" t="inlineStr">
        <is>
          <t>不良率</t>
        </is>
      </c>
      <c r="C53" s="813">
        <f>C52/C51</f>
        <v/>
      </c>
      <c r="D53" s="900">
        <f>D52/D51</f>
        <v/>
      </c>
      <c r="E53" s="480">
        <f>E52/E51</f>
        <v/>
      </c>
      <c r="F53" s="480">
        <f>F52/F51</f>
        <v/>
      </c>
      <c r="G53" s="480">
        <f>G52/G51</f>
        <v/>
      </c>
      <c r="H53" s="480">
        <f>H52/H51</f>
        <v/>
      </c>
      <c r="I53" s="480">
        <f>I52/I51</f>
        <v/>
      </c>
      <c r="J53" s="480">
        <f>J52/J51</f>
        <v/>
      </c>
      <c r="K53" s="480">
        <f>K52/K51</f>
        <v/>
      </c>
      <c r="L53" s="480">
        <f>L52/L51</f>
        <v/>
      </c>
      <c r="M53" s="480">
        <f>M52/M51</f>
        <v/>
      </c>
      <c r="N53" s="481">
        <f>N52/N51</f>
        <v/>
      </c>
      <c r="O53" s="479">
        <f>O52/O51</f>
        <v/>
      </c>
    </row>
    <row r="54" ht="18.75" customHeight="1" s="1062">
      <c r="A54" s="1172" t="inlineStr">
        <is>
          <t>EW （ﾜｲﾔｰｶｯﾄ）
MÁY CẮT DÂY</t>
        </is>
      </c>
      <c r="B54" s="494" t="inlineStr">
        <is>
          <t>Số bản vẽ</t>
        </is>
      </c>
      <c r="C54" s="808" t="n">
        <v>509</v>
      </c>
      <c r="D54" s="893" t="n">
        <v>299</v>
      </c>
      <c r="E54" s="1173" t="n">
        <v>537</v>
      </c>
      <c r="F54" s="576" t="n"/>
      <c r="G54" s="576" t="n"/>
      <c r="H54" s="576" t="n"/>
      <c r="I54" s="576" t="n"/>
      <c r="J54" s="576" t="n"/>
      <c r="K54" s="576" t="n"/>
      <c r="L54" s="576" t="n"/>
      <c r="M54" s="576" t="n"/>
      <c r="N54" s="319" t="n"/>
      <c r="O54" s="228">
        <f>SUM(C54:N54)</f>
        <v/>
      </c>
    </row>
    <row r="55">
      <c r="A55" s="1170" t="n"/>
      <c r="B55" s="205" t="inlineStr">
        <is>
          <t>Số phế phẩm</t>
        </is>
      </c>
      <c r="C55" s="806" t="n">
        <v>0</v>
      </c>
      <c r="D55" s="894" t="n">
        <v>0</v>
      </c>
      <c r="E55" s="1171" t="n">
        <v>0</v>
      </c>
      <c r="F55" s="614" t="n"/>
      <c r="G55" s="614" t="n"/>
      <c r="H55" s="614" t="n"/>
      <c r="I55" s="614" t="n"/>
      <c r="J55" s="614" t="n"/>
      <c r="K55" s="614" t="n"/>
      <c r="L55" s="614" t="n"/>
      <c r="M55" s="614" t="n"/>
      <c r="N55" s="307" t="n"/>
      <c r="O55" s="218">
        <f>SUM(C55:N55)</f>
        <v/>
      </c>
    </row>
    <row r="56" ht="15" customHeight="1" s="1062" thickBot="1">
      <c r="A56" s="1174" t="n"/>
      <c r="B56" s="219" t="inlineStr">
        <is>
          <t>Tỷ lệ phế phẩm</t>
        </is>
      </c>
      <c r="C56" s="807">
        <f>C55/C54</f>
        <v/>
      </c>
      <c r="D56" s="892">
        <f>D55/D54</f>
        <v/>
      </c>
      <c r="E56" s="308">
        <f>E55/E54</f>
        <v/>
      </c>
      <c r="F56" s="308">
        <f>F55/F54</f>
        <v/>
      </c>
      <c r="G56" s="308">
        <f>G55/G54</f>
        <v/>
      </c>
      <c r="H56" s="308">
        <f>H55/H54</f>
        <v/>
      </c>
      <c r="I56" s="308">
        <f>I55/I54</f>
        <v/>
      </c>
      <c r="J56" s="308">
        <f>J55/J54</f>
        <v/>
      </c>
      <c r="K56" s="308">
        <f>K55/K54</f>
        <v/>
      </c>
      <c r="L56" s="308">
        <f>L55/L54</f>
        <v/>
      </c>
      <c r="M56" s="308">
        <f>M55/M54</f>
        <v/>
      </c>
      <c r="N56" s="309">
        <f>N55/N54</f>
        <v/>
      </c>
      <c r="O56" s="321">
        <f>O55/O54</f>
        <v/>
      </c>
    </row>
    <row r="57">
      <c r="A57" s="710" t="inlineStr">
        <is>
          <t>その他</t>
        </is>
      </c>
      <c r="B57" s="229" t="inlineStr">
        <is>
          <t>Số phế phẩm</t>
        </is>
      </c>
      <c r="C57" s="814" t="n">
        <v>0</v>
      </c>
      <c r="D57" s="901" t="n">
        <v>0</v>
      </c>
      <c r="E57" s="1185" t="n">
        <v>1</v>
      </c>
      <c r="F57" s="230" t="n"/>
      <c r="G57" s="230" t="n"/>
      <c r="H57" s="230" t="n"/>
      <c r="I57" s="230" t="n"/>
      <c r="J57" s="231" t="n"/>
      <c r="K57" s="231" t="n"/>
      <c r="L57" s="231" t="n"/>
      <c r="M57" s="231" t="n"/>
      <c r="N57" s="718" t="n"/>
      <c r="O57" s="716">
        <f>SUM(C57:N57)</f>
        <v/>
      </c>
    </row>
    <row r="58">
      <c r="D58" s="887" t="inlineStr">
        <is>
          <t>※不良件数=工程不良図面枚数</t>
        </is>
      </c>
      <c r="E58" s="1186" t="n">
        <v>0</v>
      </c>
    </row>
    <row r="59">
      <c r="D59" s="887" t="inlineStr">
        <is>
          <t>※不良率=工程不良図面枚数÷工程完了図面枚数×100</t>
        </is>
      </c>
      <c r="J59" s="417" t="n"/>
    </row>
    <row r="60"/>
    <row r="61" ht="17.4" customHeight="1" s="1062">
      <c r="B61" s="24" t="inlineStr">
        <is>
          <t>※以下为自动计算，所以不需要输入</t>
        </is>
      </c>
    </row>
    <row r="63">
      <c r="B63" s="192" t="inlineStr">
        <is>
          <t>※自動入力</t>
        </is>
      </c>
    </row>
    <row r="64" ht="15" customHeight="1" s="1062" thickBot="1">
      <c r="C64" s="328" t="inlineStr">
        <is>
          <t>1月</t>
        </is>
      </c>
      <c r="D64" s="902" t="inlineStr">
        <is>
          <t>2月</t>
        </is>
      </c>
      <c r="E64" s="328" t="inlineStr">
        <is>
          <t>3月</t>
        </is>
      </c>
      <c r="F64" s="328" t="inlineStr">
        <is>
          <t>4月</t>
        </is>
      </c>
      <c r="G64" s="328" t="inlineStr">
        <is>
          <t>5月</t>
        </is>
      </c>
      <c r="H64" s="328" t="inlineStr">
        <is>
          <t>6月</t>
        </is>
      </c>
      <c r="I64" s="328" t="inlineStr">
        <is>
          <t>7月</t>
        </is>
      </c>
      <c r="J64" s="328" t="inlineStr">
        <is>
          <t>8月</t>
        </is>
      </c>
      <c r="K64" s="328" t="inlineStr">
        <is>
          <t>9月</t>
        </is>
      </c>
      <c r="L64" s="328" t="inlineStr">
        <is>
          <t>10月</t>
        </is>
      </c>
      <c r="M64" s="328" t="inlineStr">
        <is>
          <t>11月</t>
        </is>
      </c>
      <c r="N64" s="328" t="inlineStr">
        <is>
          <t>12月</t>
        </is>
      </c>
      <c r="O64" s="328" t="inlineStr">
        <is>
          <t>Lũy kế</t>
        </is>
      </c>
    </row>
    <row r="65" ht="15" customHeight="1" s="1062" thickTop="1">
      <c r="A65" s="330" t="inlineStr">
        <is>
          <t>LA（旋盤）</t>
        </is>
      </c>
      <c r="B65" s="872">
        <f>B13</f>
        <v/>
      </c>
      <c r="C65" s="498">
        <f>C13</f>
        <v/>
      </c>
      <c r="D65" s="903">
        <f>D13</f>
        <v/>
      </c>
      <c r="E65" s="498">
        <f>E13</f>
        <v/>
      </c>
      <c r="F65" s="498">
        <f>F13</f>
        <v/>
      </c>
      <c r="G65" s="498">
        <f>G13</f>
        <v/>
      </c>
      <c r="H65" s="498">
        <f>H13</f>
        <v/>
      </c>
      <c r="I65" s="498">
        <f>I13</f>
        <v/>
      </c>
      <c r="J65" s="498">
        <f>J13</f>
        <v/>
      </c>
      <c r="K65" s="498">
        <f>K13</f>
        <v/>
      </c>
      <c r="L65" s="498">
        <f>L13</f>
        <v/>
      </c>
      <c r="M65" s="498">
        <f>M13</f>
        <v/>
      </c>
      <c r="N65" s="498">
        <f>N13</f>
        <v/>
      </c>
      <c r="O65" s="498">
        <f>O13</f>
        <v/>
      </c>
    </row>
    <row r="66">
      <c r="A66" s="330" t="inlineStr">
        <is>
          <t>LN（NC旋盤）</t>
        </is>
      </c>
      <c r="B66" s="498">
        <f>B16</f>
        <v/>
      </c>
      <c r="C66" s="498">
        <f>C16</f>
        <v/>
      </c>
      <c r="D66" s="903">
        <f>D16</f>
        <v/>
      </c>
      <c r="E66" s="1187" t="n">
        <v>0</v>
      </c>
      <c r="F66" s="498">
        <f>F16</f>
        <v/>
      </c>
      <c r="G66" s="498">
        <f>G16</f>
        <v/>
      </c>
      <c r="H66" s="498">
        <f>H16</f>
        <v/>
      </c>
      <c r="I66" s="498">
        <f>I16</f>
        <v/>
      </c>
      <c r="J66" s="498">
        <f>J16</f>
        <v/>
      </c>
      <c r="K66" s="498">
        <f>K16</f>
        <v/>
      </c>
      <c r="L66" s="498">
        <f>L16</f>
        <v/>
      </c>
      <c r="M66" s="498">
        <f>M16</f>
        <v/>
      </c>
      <c r="N66" s="498">
        <f>N16</f>
        <v/>
      </c>
      <c r="O66" s="498">
        <f>O16</f>
        <v/>
      </c>
    </row>
    <row r="67">
      <c r="A67" s="386" t="inlineStr">
        <is>
          <t>MA（ﾌﾗｲｽ盤）</t>
        </is>
      </c>
      <c r="B67" s="498">
        <f>B19</f>
        <v/>
      </c>
      <c r="C67" s="498">
        <f>C19</f>
        <v/>
      </c>
      <c r="D67" s="903">
        <f>D19</f>
        <v/>
      </c>
      <c r="E67" s="1187" t="n">
        <v>0</v>
      </c>
      <c r="F67" s="498">
        <f>F19</f>
        <v/>
      </c>
      <c r="G67" s="498">
        <f>G19</f>
        <v/>
      </c>
      <c r="H67" s="498">
        <f>H19</f>
        <v/>
      </c>
      <c r="I67" s="498">
        <f>I19</f>
        <v/>
      </c>
      <c r="J67" s="498">
        <f>J19</f>
        <v/>
      </c>
      <c r="K67" s="498">
        <f>K19</f>
        <v/>
      </c>
      <c r="L67" s="498">
        <f>L19</f>
        <v/>
      </c>
      <c r="M67" s="498">
        <f>M19</f>
        <v/>
      </c>
      <c r="N67" s="498">
        <f>N19</f>
        <v/>
      </c>
      <c r="O67" s="498">
        <f>O19</f>
        <v/>
      </c>
    </row>
    <row r="68">
      <c r="A68" s="386" t="inlineStr">
        <is>
          <t>DA（ﾎﾞｰﾙ盤）</t>
        </is>
      </c>
      <c r="B68" s="498">
        <f>B22</f>
        <v/>
      </c>
      <c r="C68" s="498">
        <f>C22</f>
        <v/>
      </c>
      <c r="D68" s="903">
        <f>D22</f>
        <v/>
      </c>
      <c r="E68" s="498">
        <f>E22</f>
        <v/>
      </c>
      <c r="F68" s="498">
        <f>F22</f>
        <v/>
      </c>
      <c r="G68" s="498">
        <f>G22</f>
        <v/>
      </c>
      <c r="H68" s="498">
        <f>H22</f>
        <v/>
      </c>
      <c r="I68" s="498">
        <f>I22</f>
        <v/>
      </c>
      <c r="J68" s="498">
        <f>J22</f>
        <v/>
      </c>
      <c r="K68" s="498">
        <f>K22</f>
        <v/>
      </c>
      <c r="L68" s="498">
        <f>L22</f>
        <v/>
      </c>
      <c r="M68" s="498">
        <f>M22</f>
        <v/>
      </c>
      <c r="N68" s="498">
        <f>N22</f>
        <v/>
      </c>
      <c r="O68" s="498">
        <f>O22</f>
        <v/>
      </c>
    </row>
    <row r="69">
      <c r="A69" s="386" t="inlineStr">
        <is>
          <t>BJ（精密ﾌﾗｲｽ盤）</t>
        </is>
      </c>
      <c r="B69" s="498">
        <f>B25</f>
        <v/>
      </c>
      <c r="C69" s="498">
        <f>C25</f>
        <v/>
      </c>
      <c r="D69" s="903">
        <f>D25</f>
        <v/>
      </c>
      <c r="E69" s="1187" t="n">
        <v>0</v>
      </c>
      <c r="F69" s="498">
        <f>F25</f>
        <v/>
      </c>
      <c r="G69" s="498">
        <f>G25</f>
        <v/>
      </c>
      <c r="H69" s="498">
        <f>H25</f>
        <v/>
      </c>
      <c r="I69" s="498">
        <f>I25</f>
        <v/>
      </c>
      <c r="J69" s="498">
        <f>J25</f>
        <v/>
      </c>
      <c r="K69" s="498">
        <f>K25</f>
        <v/>
      </c>
      <c r="L69" s="498">
        <f>L25</f>
        <v/>
      </c>
      <c r="M69" s="498">
        <f>M25</f>
        <v/>
      </c>
      <c r="N69" s="498">
        <f>N25</f>
        <v/>
      </c>
      <c r="O69" s="498">
        <f>O25</f>
        <v/>
      </c>
    </row>
    <row r="70">
      <c r="A70" s="386" t="inlineStr">
        <is>
          <t>MC（ﾏｼﾆﾝｸﾞｾﾝﾀ）</t>
        </is>
      </c>
      <c r="B70" s="498">
        <f>B28</f>
        <v/>
      </c>
      <c r="C70" s="498">
        <f>C28</f>
        <v/>
      </c>
      <c r="D70" s="903">
        <f>D28</f>
        <v/>
      </c>
      <c r="E70" s="1187" t="n">
        <v>0</v>
      </c>
      <c r="F70" s="498">
        <f>F28</f>
        <v/>
      </c>
      <c r="G70" s="498">
        <f>G28</f>
        <v/>
      </c>
      <c r="H70" s="498">
        <f>H28</f>
        <v/>
      </c>
      <c r="I70" s="498">
        <f>I28</f>
        <v/>
      </c>
      <c r="J70" s="498">
        <f>J28</f>
        <v/>
      </c>
      <c r="K70" s="498">
        <f>K28</f>
        <v/>
      </c>
      <c r="L70" s="498">
        <f>L28</f>
        <v/>
      </c>
      <c r="M70" s="498">
        <f>M28</f>
        <v/>
      </c>
      <c r="N70" s="498">
        <f>N28</f>
        <v/>
      </c>
      <c r="O70" s="498">
        <f>O28</f>
        <v/>
      </c>
    </row>
    <row r="71">
      <c r="A71" s="386" t="inlineStr">
        <is>
          <t>GS（成形研削盤）</t>
        </is>
      </c>
      <c r="B71" s="498">
        <f>B31</f>
        <v/>
      </c>
      <c r="C71" s="498">
        <f>C31</f>
        <v/>
      </c>
      <c r="D71" s="903">
        <f>D31</f>
        <v/>
      </c>
      <c r="E71" s="498">
        <f>E31</f>
        <v/>
      </c>
      <c r="F71" s="498">
        <f>F31</f>
        <v/>
      </c>
      <c r="G71" s="498">
        <f>G31</f>
        <v/>
      </c>
      <c r="H71" s="498">
        <f>H31</f>
        <v/>
      </c>
      <c r="I71" s="498">
        <f>I31</f>
        <v/>
      </c>
      <c r="J71" s="498">
        <f>J31</f>
        <v/>
      </c>
      <c r="K71" s="498">
        <f>K31</f>
        <v/>
      </c>
      <c r="L71" s="498">
        <f>L31</f>
        <v/>
      </c>
      <c r="M71" s="498">
        <f>M31</f>
        <v/>
      </c>
      <c r="N71" s="498">
        <f>N31</f>
        <v/>
      </c>
      <c r="O71" s="498">
        <f>O31</f>
        <v/>
      </c>
    </row>
    <row r="72">
      <c r="A72" s="386" t="inlineStr">
        <is>
          <t>GR（円筒研削盤）</t>
        </is>
      </c>
      <c r="B72" s="498">
        <f>B34</f>
        <v/>
      </c>
      <c r="C72" s="498">
        <f>C34</f>
        <v/>
      </c>
      <c r="D72" s="903">
        <f>D34</f>
        <v/>
      </c>
      <c r="E72" s="1187" t="n">
        <v>0</v>
      </c>
      <c r="F72" s="498">
        <f>F34</f>
        <v/>
      </c>
      <c r="G72" s="498">
        <f>G34</f>
        <v/>
      </c>
      <c r="H72" s="498">
        <f>H34</f>
        <v/>
      </c>
      <c r="I72" s="498">
        <f>I34</f>
        <v/>
      </c>
      <c r="J72" s="498">
        <f>J34</f>
        <v/>
      </c>
      <c r="K72" s="498">
        <f>K34</f>
        <v/>
      </c>
      <c r="L72" s="498">
        <f>L34</f>
        <v/>
      </c>
      <c r="M72" s="498">
        <f>M34</f>
        <v/>
      </c>
      <c r="N72" s="498">
        <f>N34</f>
        <v/>
      </c>
      <c r="O72" s="498">
        <f>O34</f>
        <v/>
      </c>
    </row>
    <row r="73">
      <c r="A73" s="482" t="inlineStr">
        <is>
          <t>GX（内径研削盤）</t>
        </is>
      </c>
      <c r="B73" s="497">
        <f>B37</f>
        <v/>
      </c>
      <c r="C73" s="497">
        <f>C37</f>
        <v/>
      </c>
      <c r="D73" s="904">
        <f>D37</f>
        <v/>
      </c>
      <c r="E73" s="1188" t="n">
        <v>0</v>
      </c>
      <c r="F73" s="497">
        <f>F37</f>
        <v/>
      </c>
      <c r="G73" s="497">
        <f>G37</f>
        <v/>
      </c>
      <c r="H73" s="497">
        <f>H37</f>
        <v/>
      </c>
      <c r="I73" s="497">
        <f>I37</f>
        <v/>
      </c>
      <c r="J73" s="497">
        <f>J37</f>
        <v/>
      </c>
      <c r="K73" s="497">
        <f>K37</f>
        <v/>
      </c>
      <c r="L73" s="497">
        <f>L37</f>
        <v/>
      </c>
      <c r="M73" s="497">
        <f>M37</f>
        <v/>
      </c>
      <c r="N73" s="497">
        <f>N37</f>
        <v/>
      </c>
      <c r="O73" s="497">
        <f>O37</f>
        <v/>
      </c>
    </row>
    <row r="74">
      <c r="A74" s="386" t="inlineStr">
        <is>
          <t>GC（ｾﾝﾀｰﾚｽ）</t>
        </is>
      </c>
      <c r="B74" s="498">
        <f>B40</f>
        <v/>
      </c>
      <c r="C74" s="498">
        <f>C40</f>
        <v/>
      </c>
      <c r="D74" s="903">
        <f>D40</f>
        <v/>
      </c>
      <c r="E74" s="498">
        <f>E40</f>
        <v/>
      </c>
      <c r="F74" s="498">
        <f>F40</f>
        <v/>
      </c>
      <c r="G74" s="498">
        <f>G40</f>
        <v/>
      </c>
      <c r="H74" s="498">
        <f>H40</f>
        <v/>
      </c>
      <c r="I74" s="498">
        <f>I40</f>
        <v/>
      </c>
      <c r="J74" s="498">
        <f>J40</f>
        <v/>
      </c>
      <c r="K74" s="498">
        <f>K40</f>
        <v/>
      </c>
      <c r="L74" s="498">
        <f>L40</f>
        <v/>
      </c>
      <c r="M74" s="498">
        <f>M40</f>
        <v/>
      </c>
      <c r="N74" s="498">
        <f>N40</f>
        <v/>
      </c>
      <c r="O74" s="498">
        <f>O40</f>
        <v/>
      </c>
    </row>
    <row r="75">
      <c r="A75" s="386" t="inlineStr">
        <is>
          <t>GJ（ｼﾞｸﾞ研削盤）</t>
        </is>
      </c>
      <c r="B75" s="498">
        <f>B43</f>
        <v/>
      </c>
      <c r="C75" s="498">
        <f>C43</f>
        <v/>
      </c>
      <c r="D75" s="903">
        <f>D43</f>
        <v/>
      </c>
      <c r="E75" s="1187" t="n">
        <v>0</v>
      </c>
      <c r="F75" s="498">
        <f>F43</f>
        <v/>
      </c>
      <c r="G75" s="498">
        <f>G43</f>
        <v/>
      </c>
      <c r="H75" s="498">
        <f>H43</f>
        <v/>
      </c>
      <c r="I75" s="498">
        <f>I43</f>
        <v/>
      </c>
      <c r="J75" s="498">
        <f>J43</f>
        <v/>
      </c>
      <c r="K75" s="498">
        <f>K43</f>
        <v/>
      </c>
      <c r="L75" s="498">
        <f>L43</f>
        <v/>
      </c>
      <c r="M75" s="498">
        <f>M43</f>
        <v/>
      </c>
      <c r="N75" s="498">
        <f>N43</f>
        <v/>
      </c>
      <c r="O75" s="498">
        <f>O43</f>
        <v/>
      </c>
    </row>
    <row r="76">
      <c r="A76" s="386" t="inlineStr">
        <is>
          <t>GP（ﾌﾟﾛﾌｧｲﾙ）</t>
        </is>
      </c>
      <c r="B76" s="498">
        <f>B46</f>
        <v/>
      </c>
      <c r="C76" s="498">
        <f>C46</f>
        <v/>
      </c>
      <c r="D76" s="903">
        <f>D46</f>
        <v/>
      </c>
      <c r="E76" s="1187" t="n">
        <v>0</v>
      </c>
      <c r="F76" s="498">
        <f>F46</f>
        <v/>
      </c>
      <c r="G76" s="498">
        <f>G46</f>
        <v/>
      </c>
      <c r="H76" s="498">
        <f>H46</f>
        <v/>
      </c>
      <c r="I76" s="498">
        <f>I46</f>
        <v/>
      </c>
      <c r="J76" s="498">
        <f>J46</f>
        <v/>
      </c>
      <c r="K76" s="498">
        <f>K46</f>
        <v/>
      </c>
      <c r="L76" s="498">
        <f>L46</f>
        <v/>
      </c>
      <c r="M76" s="498">
        <f>M46</f>
        <v/>
      </c>
      <c r="N76" s="498">
        <f>N46</f>
        <v/>
      </c>
      <c r="O76" s="498">
        <f>O46</f>
        <v/>
      </c>
    </row>
    <row r="77">
      <c r="A77" s="386" t="inlineStr">
        <is>
          <t>EN（NC放電）</t>
        </is>
      </c>
      <c r="B77" s="498">
        <f>B49</f>
        <v/>
      </c>
      <c r="C77" s="498">
        <f>C49</f>
        <v/>
      </c>
      <c r="D77" s="903">
        <f>D49</f>
        <v/>
      </c>
      <c r="E77" s="498">
        <f>E49</f>
        <v/>
      </c>
      <c r="F77" s="498">
        <f>F49</f>
        <v/>
      </c>
      <c r="G77" s="498">
        <f>G49</f>
        <v/>
      </c>
      <c r="H77" s="498">
        <f>H49</f>
        <v/>
      </c>
      <c r="I77" s="498">
        <f>I49</f>
        <v/>
      </c>
      <c r="J77" s="498">
        <f>J49</f>
        <v/>
      </c>
      <c r="K77" s="498">
        <f>K49</f>
        <v/>
      </c>
      <c r="L77" s="498">
        <f>L49</f>
        <v/>
      </c>
      <c r="M77" s="498">
        <f>M49</f>
        <v/>
      </c>
      <c r="N77" s="498">
        <f>N49</f>
        <v/>
      </c>
      <c r="O77" s="498">
        <f>O49</f>
        <v/>
      </c>
    </row>
    <row r="78">
      <c r="A78" s="482" t="inlineStr">
        <is>
          <t>ES（汎用放電）</t>
        </is>
      </c>
      <c r="B78" s="497">
        <f>B52</f>
        <v/>
      </c>
      <c r="C78" s="497">
        <f>C52</f>
        <v/>
      </c>
      <c r="D78" s="904">
        <f>D52</f>
        <v/>
      </c>
      <c r="E78" s="1188" t="n">
        <v>0</v>
      </c>
      <c r="F78" s="497">
        <f>F52</f>
        <v/>
      </c>
      <c r="G78" s="497">
        <f>G52</f>
        <v/>
      </c>
      <c r="H78" s="497">
        <f>H52</f>
        <v/>
      </c>
      <c r="I78" s="497">
        <f>I52</f>
        <v/>
      </c>
      <c r="J78" s="497">
        <f>J52</f>
        <v/>
      </c>
      <c r="K78" s="497">
        <f>K52</f>
        <v/>
      </c>
      <c r="L78" s="497">
        <f>L52</f>
        <v/>
      </c>
      <c r="M78" s="497">
        <f>M52</f>
        <v/>
      </c>
      <c r="N78" s="497">
        <f>N52</f>
        <v/>
      </c>
      <c r="O78" s="497">
        <f>O52</f>
        <v/>
      </c>
    </row>
    <row r="79">
      <c r="A79" s="386" t="inlineStr">
        <is>
          <t>EW（ﾜｲﾔｰｶｯﾄ）</t>
        </is>
      </c>
      <c r="B79" s="498">
        <f>B55</f>
        <v/>
      </c>
      <c r="C79" s="498">
        <f>C55</f>
        <v/>
      </c>
      <c r="D79" s="903">
        <f>D55</f>
        <v/>
      </c>
      <c r="E79" s="1187" t="n">
        <v>0</v>
      </c>
      <c r="F79" s="498">
        <f>F55</f>
        <v/>
      </c>
      <c r="G79" s="498">
        <f>G55</f>
        <v/>
      </c>
      <c r="H79" s="498">
        <f>H55</f>
        <v/>
      </c>
      <c r="I79" s="498">
        <f>I55</f>
        <v/>
      </c>
      <c r="J79" s="498">
        <f>J55</f>
        <v/>
      </c>
      <c r="K79" s="498">
        <f>K55</f>
        <v/>
      </c>
      <c r="L79" s="498">
        <f>L55</f>
        <v/>
      </c>
      <c r="M79" s="498">
        <f>M55</f>
        <v/>
      </c>
      <c r="N79" s="498">
        <f>N55</f>
        <v/>
      </c>
      <c r="O79" s="498">
        <f>O55</f>
        <v/>
      </c>
    </row>
    <row r="80">
      <c r="A80" s="386" t="inlineStr">
        <is>
          <t>その他</t>
        </is>
      </c>
      <c r="B80" s="498">
        <f>B58</f>
        <v/>
      </c>
      <c r="C80" s="495">
        <f>C57</f>
        <v/>
      </c>
      <c r="D80" s="905">
        <f>D57</f>
        <v/>
      </c>
      <c r="E80" s="495">
        <f>E57</f>
        <v/>
      </c>
      <c r="F80" s="495">
        <f>F57</f>
        <v/>
      </c>
      <c r="G80" s="495">
        <f>G57</f>
        <v/>
      </c>
      <c r="H80" s="495">
        <f>H57</f>
        <v/>
      </c>
      <c r="I80" s="495">
        <f>I57</f>
        <v/>
      </c>
      <c r="J80" s="495">
        <f>J57</f>
        <v/>
      </c>
      <c r="K80" s="495">
        <f>K57</f>
        <v/>
      </c>
      <c r="L80" s="495">
        <f>L57</f>
        <v/>
      </c>
      <c r="M80" s="495">
        <f>M57</f>
        <v/>
      </c>
      <c r="N80" s="495">
        <f>N57</f>
        <v/>
      </c>
      <c r="O80" s="495">
        <f>O57</f>
        <v/>
      </c>
    </row>
    <row r="81"/>
    <row r="84"/>
    <row r="87"/>
    <row r="90"/>
    <row r="93"/>
    <row r="96"/>
    <row r="98">
      <c r="B98" s="192" t="inlineStr">
        <is>
          <t>※自動入力</t>
        </is>
      </c>
    </row>
    <row r="99" ht="15" customHeight="1" s="1062" thickBot="1">
      <c r="C99" s="328" t="inlineStr">
        <is>
          <t>1月</t>
        </is>
      </c>
      <c r="D99" s="902" t="inlineStr">
        <is>
          <t>2月</t>
        </is>
      </c>
      <c r="E99" s="328" t="inlineStr">
        <is>
          <t>3月</t>
        </is>
      </c>
      <c r="F99" s="328" t="inlineStr">
        <is>
          <t>4月</t>
        </is>
      </c>
      <c r="G99" s="328" t="inlineStr">
        <is>
          <t>5月</t>
        </is>
      </c>
      <c r="H99" s="328" t="inlineStr">
        <is>
          <t>6月</t>
        </is>
      </c>
      <c r="I99" s="328" t="inlineStr">
        <is>
          <t>7月</t>
        </is>
      </c>
      <c r="J99" s="328" t="inlineStr">
        <is>
          <t>8月</t>
        </is>
      </c>
      <c r="K99" s="328" t="inlineStr">
        <is>
          <t>9月</t>
        </is>
      </c>
      <c r="L99" s="328" t="inlineStr">
        <is>
          <t>10月</t>
        </is>
      </c>
      <c r="M99" s="328" t="inlineStr">
        <is>
          <t>11月</t>
        </is>
      </c>
      <c r="N99" s="328" t="inlineStr">
        <is>
          <t>12月</t>
        </is>
      </c>
      <c r="O99" s="328" t="inlineStr">
        <is>
          <t>Lũy kế</t>
        </is>
      </c>
    </row>
    <row r="100" ht="15" customHeight="1" s="1062" thickTop="1">
      <c r="A100" s="386" t="inlineStr">
        <is>
          <t>LA（旋盤）</t>
        </is>
      </c>
      <c r="B100" s="331">
        <f>B14</f>
        <v/>
      </c>
      <c r="C100" s="331">
        <f>C14</f>
        <v/>
      </c>
      <c r="D100" s="906">
        <f>D14</f>
        <v/>
      </c>
      <c r="E100" s="331">
        <f>E14</f>
        <v/>
      </c>
      <c r="F100" s="331">
        <f>F14</f>
        <v/>
      </c>
      <c r="G100" s="331">
        <f>G14</f>
        <v/>
      </c>
      <c r="H100" s="331">
        <f>H14</f>
        <v/>
      </c>
      <c r="I100" s="331">
        <f>I14</f>
        <v/>
      </c>
      <c r="J100" s="331">
        <f>J14</f>
        <v/>
      </c>
      <c r="K100" s="331">
        <f>K14</f>
        <v/>
      </c>
      <c r="L100" s="331">
        <f>L14</f>
        <v/>
      </c>
      <c r="M100" s="331">
        <f>M14</f>
        <v/>
      </c>
      <c r="N100" s="331">
        <f>N14</f>
        <v/>
      </c>
      <c r="O100" s="331">
        <f>O14</f>
        <v/>
      </c>
    </row>
    <row r="101">
      <c r="A101" s="386" t="inlineStr">
        <is>
          <t>LN（NC旋盤）</t>
        </is>
      </c>
      <c r="B101" s="331">
        <f>B17</f>
        <v/>
      </c>
      <c r="C101" s="331">
        <f>C17</f>
        <v/>
      </c>
      <c r="D101" s="906">
        <f>D17</f>
        <v/>
      </c>
      <c r="E101" s="331">
        <f>E17</f>
        <v/>
      </c>
      <c r="F101" s="331">
        <f>F17</f>
        <v/>
      </c>
      <c r="G101" s="331">
        <f>G17</f>
        <v/>
      </c>
      <c r="H101" s="331">
        <f>H17</f>
        <v/>
      </c>
      <c r="I101" s="331">
        <f>I17</f>
        <v/>
      </c>
      <c r="J101" s="331">
        <f>J17</f>
        <v/>
      </c>
      <c r="K101" s="331">
        <f>K17</f>
        <v/>
      </c>
      <c r="L101" s="331">
        <f>L17</f>
        <v/>
      </c>
      <c r="M101" s="331">
        <f>M17</f>
        <v/>
      </c>
      <c r="N101" s="331">
        <f>N17</f>
        <v/>
      </c>
      <c r="O101" s="331">
        <f>O17</f>
        <v/>
      </c>
    </row>
    <row r="102">
      <c r="A102" s="386" t="inlineStr">
        <is>
          <t>MA（ﾌﾗｲｽ盤）</t>
        </is>
      </c>
      <c r="B102" s="331">
        <f>B20</f>
        <v/>
      </c>
      <c r="C102" s="331">
        <f>C20</f>
        <v/>
      </c>
      <c r="D102" s="906">
        <f>D20</f>
        <v/>
      </c>
      <c r="E102" s="1187" t="n">
        <v>0</v>
      </c>
      <c r="F102" s="331">
        <f>F20</f>
        <v/>
      </c>
      <c r="G102" s="331">
        <f>G20</f>
        <v/>
      </c>
      <c r="H102" s="331">
        <f>H20</f>
        <v/>
      </c>
      <c r="I102" s="331">
        <f>I20</f>
        <v/>
      </c>
      <c r="J102" s="331">
        <f>J20</f>
        <v/>
      </c>
      <c r="K102" s="331">
        <f>K20</f>
        <v/>
      </c>
      <c r="L102" s="331">
        <f>L20</f>
        <v/>
      </c>
      <c r="M102" s="331">
        <f>M20</f>
        <v/>
      </c>
      <c r="N102" s="331">
        <f>N20</f>
        <v/>
      </c>
      <c r="O102" s="331">
        <f>O20</f>
        <v/>
      </c>
    </row>
    <row r="103">
      <c r="A103" s="386" t="inlineStr">
        <is>
          <t>DA（ﾎﾞｰﾙ盤）</t>
        </is>
      </c>
      <c r="B103" s="331">
        <f>B23</f>
        <v/>
      </c>
      <c r="C103" s="331">
        <f>C23</f>
        <v/>
      </c>
      <c r="D103" s="906">
        <f>D23</f>
        <v/>
      </c>
      <c r="E103" s="1187" t="n">
        <v>0</v>
      </c>
      <c r="F103" s="331">
        <f>F23</f>
        <v/>
      </c>
      <c r="G103" s="331">
        <f>G23</f>
        <v/>
      </c>
      <c r="H103" s="331">
        <f>H23</f>
        <v/>
      </c>
      <c r="I103" s="331">
        <f>I23</f>
        <v/>
      </c>
      <c r="J103" s="331">
        <f>J23</f>
        <v/>
      </c>
      <c r="K103" s="331">
        <f>K23</f>
        <v/>
      </c>
      <c r="L103" s="331">
        <f>L23</f>
        <v/>
      </c>
      <c r="M103" s="331">
        <f>M23</f>
        <v/>
      </c>
      <c r="N103" s="331">
        <f>N23</f>
        <v/>
      </c>
      <c r="O103" s="331">
        <f>O23</f>
        <v/>
      </c>
    </row>
    <row r="104">
      <c r="A104" s="386" t="inlineStr">
        <is>
          <t>BJ（精密ﾌﾗｲｽ盤）</t>
        </is>
      </c>
      <c r="B104" s="331">
        <f>B26</f>
        <v/>
      </c>
      <c r="C104" s="331">
        <f>C26</f>
        <v/>
      </c>
      <c r="D104" s="906">
        <f>D26</f>
        <v/>
      </c>
      <c r="E104" s="331">
        <f>E26</f>
        <v/>
      </c>
      <c r="F104" s="331">
        <f>F26</f>
        <v/>
      </c>
      <c r="G104" s="331">
        <f>G26</f>
        <v/>
      </c>
      <c r="H104" s="331">
        <f>H26</f>
        <v/>
      </c>
      <c r="I104" s="331">
        <f>I26</f>
        <v/>
      </c>
      <c r="J104" s="331">
        <f>J26</f>
        <v/>
      </c>
      <c r="K104" s="331">
        <f>K26</f>
        <v/>
      </c>
      <c r="L104" s="331">
        <f>L26</f>
        <v/>
      </c>
      <c r="M104" s="331">
        <f>M26</f>
        <v/>
      </c>
      <c r="N104" s="331">
        <f>N26</f>
        <v/>
      </c>
      <c r="O104" s="331">
        <f>O26</f>
        <v/>
      </c>
    </row>
    <row r="105">
      <c r="A105" s="386" t="inlineStr">
        <is>
          <t>MC（ﾏｼﾆﾝｸﾞｾﾝﾀ）</t>
        </is>
      </c>
      <c r="B105" s="331">
        <f>B29</f>
        <v/>
      </c>
      <c r="C105" s="331">
        <f>C29</f>
        <v/>
      </c>
      <c r="D105" s="906">
        <f>D29</f>
        <v/>
      </c>
      <c r="E105" s="1187" t="n">
        <v>0</v>
      </c>
      <c r="F105" s="331">
        <f>F29</f>
        <v/>
      </c>
      <c r="G105" s="331">
        <f>G29</f>
        <v/>
      </c>
      <c r="H105" s="331">
        <f>H29</f>
        <v/>
      </c>
      <c r="I105" s="331">
        <f>I29</f>
        <v/>
      </c>
      <c r="J105" s="331">
        <f>J29</f>
        <v/>
      </c>
      <c r="K105" s="331">
        <f>K29</f>
        <v/>
      </c>
      <c r="L105" s="331">
        <f>L29</f>
        <v/>
      </c>
      <c r="M105" s="331">
        <f>M29</f>
        <v/>
      </c>
      <c r="N105" s="331">
        <f>N29</f>
        <v/>
      </c>
      <c r="O105" s="331">
        <f>O29</f>
        <v/>
      </c>
    </row>
    <row r="106">
      <c r="A106" s="386" t="inlineStr">
        <is>
          <t>GS（成形研削盤）</t>
        </is>
      </c>
      <c r="B106" s="331">
        <f>B32</f>
        <v/>
      </c>
      <c r="C106" s="331">
        <f>C32</f>
        <v/>
      </c>
      <c r="D106" s="906">
        <f>D32</f>
        <v/>
      </c>
      <c r="E106" s="1187" t="n">
        <v>0</v>
      </c>
      <c r="F106" s="331">
        <f>F32</f>
        <v/>
      </c>
      <c r="G106" s="331">
        <f>G32</f>
        <v/>
      </c>
      <c r="H106" s="331">
        <f>H32</f>
        <v/>
      </c>
      <c r="I106" s="331">
        <f>I32</f>
        <v/>
      </c>
      <c r="J106" s="331">
        <f>J32</f>
        <v/>
      </c>
      <c r="K106" s="331">
        <f>K32</f>
        <v/>
      </c>
      <c r="L106" s="331">
        <f>L32</f>
        <v/>
      </c>
      <c r="M106" s="331">
        <f>M32</f>
        <v/>
      </c>
      <c r="N106" s="331">
        <f>N32</f>
        <v/>
      </c>
      <c r="O106" s="331">
        <f>O32</f>
        <v/>
      </c>
    </row>
    <row r="107">
      <c r="A107" s="386" t="inlineStr">
        <is>
          <t>GR（円筒研削盤）</t>
        </is>
      </c>
      <c r="B107" s="331">
        <f>B35</f>
        <v/>
      </c>
      <c r="C107" s="331">
        <f>C35</f>
        <v/>
      </c>
      <c r="D107" s="906">
        <f>D35</f>
        <v/>
      </c>
      <c r="E107" s="331">
        <f>E35</f>
        <v/>
      </c>
      <c r="F107" s="331">
        <f>F35</f>
        <v/>
      </c>
      <c r="G107" s="331">
        <f>G35</f>
        <v/>
      </c>
      <c r="H107" s="331">
        <f>H35</f>
        <v/>
      </c>
      <c r="I107" s="331">
        <f>I35</f>
        <v/>
      </c>
      <c r="J107" s="331">
        <f>J35</f>
        <v/>
      </c>
      <c r="K107" s="331">
        <f>K35</f>
        <v/>
      </c>
      <c r="L107" s="331">
        <f>L35</f>
        <v/>
      </c>
      <c r="M107" s="331">
        <f>M35</f>
        <v/>
      </c>
      <c r="N107" s="331">
        <f>N35</f>
        <v/>
      </c>
      <c r="O107" s="331">
        <f>O35</f>
        <v/>
      </c>
    </row>
    <row r="108">
      <c r="A108" s="482" t="inlineStr">
        <is>
          <t>GX（内径研削盤）</t>
        </is>
      </c>
      <c r="B108" s="496">
        <f>B38</f>
        <v/>
      </c>
      <c r="C108" s="496">
        <f>C38</f>
        <v/>
      </c>
      <c r="D108" s="907">
        <f>D38</f>
        <v/>
      </c>
      <c r="E108" s="1188" t="n">
        <v>0</v>
      </c>
      <c r="F108" s="496">
        <f>F38</f>
        <v/>
      </c>
      <c r="G108" s="496">
        <f>G38</f>
        <v/>
      </c>
      <c r="H108" s="496">
        <f>H38</f>
        <v/>
      </c>
      <c r="I108" s="496">
        <f>I38</f>
        <v/>
      </c>
      <c r="J108" s="496">
        <f>J38</f>
        <v/>
      </c>
      <c r="K108" s="496">
        <f>K38</f>
        <v/>
      </c>
      <c r="L108" s="496">
        <f>L38</f>
        <v/>
      </c>
      <c r="M108" s="496">
        <f>M38</f>
        <v/>
      </c>
      <c r="N108" s="496">
        <f>N38</f>
        <v/>
      </c>
      <c r="O108" s="496">
        <f>O38</f>
        <v/>
      </c>
    </row>
    <row r="109">
      <c r="A109" s="386" t="inlineStr">
        <is>
          <t>GC（ｾﾝﾀｰﾚｽ）</t>
        </is>
      </c>
      <c r="B109" s="331">
        <f>B41</f>
        <v/>
      </c>
      <c r="C109" s="331">
        <f>C41</f>
        <v/>
      </c>
      <c r="D109" s="906">
        <f>D41</f>
        <v/>
      </c>
      <c r="E109" s="1187" t="n">
        <v>0</v>
      </c>
      <c r="F109" s="331">
        <f>F41</f>
        <v/>
      </c>
      <c r="G109" s="331">
        <f>G41</f>
        <v/>
      </c>
      <c r="H109" s="331">
        <f>H41</f>
        <v/>
      </c>
      <c r="I109" s="331">
        <f>I41</f>
        <v/>
      </c>
      <c r="J109" s="331">
        <f>J41</f>
        <v/>
      </c>
      <c r="K109" s="331">
        <f>K41</f>
        <v/>
      </c>
      <c r="L109" s="331">
        <f>L41</f>
        <v/>
      </c>
      <c r="M109" s="331">
        <f>M41</f>
        <v/>
      </c>
      <c r="N109" s="331">
        <f>N41</f>
        <v/>
      </c>
      <c r="O109" s="331">
        <f>O41</f>
        <v/>
      </c>
    </row>
    <row r="110">
      <c r="A110" s="386" t="inlineStr">
        <is>
          <t>GJ（ｼﾞｸﾞ研削盤）</t>
        </is>
      </c>
      <c r="B110" s="331">
        <f>B44</f>
        <v/>
      </c>
      <c r="C110" s="331">
        <f>C44</f>
        <v/>
      </c>
      <c r="D110" s="906">
        <f>D44</f>
        <v/>
      </c>
      <c r="E110" s="331">
        <f>E44</f>
        <v/>
      </c>
      <c r="F110" s="331">
        <f>F44</f>
        <v/>
      </c>
      <c r="G110" s="331">
        <f>G44</f>
        <v/>
      </c>
      <c r="H110" s="331">
        <f>H44</f>
        <v/>
      </c>
      <c r="I110" s="331">
        <f>I44</f>
        <v/>
      </c>
      <c r="J110" s="331">
        <f>J44</f>
        <v/>
      </c>
      <c r="K110" s="331">
        <f>K44</f>
        <v/>
      </c>
      <c r="L110" s="331">
        <f>L44</f>
        <v/>
      </c>
      <c r="M110" s="331">
        <f>M44</f>
        <v/>
      </c>
      <c r="N110" s="331">
        <f>N44</f>
        <v/>
      </c>
      <c r="O110" s="331">
        <f>O44</f>
        <v/>
      </c>
    </row>
    <row r="111">
      <c r="A111" s="386" t="inlineStr">
        <is>
          <t>GP（ﾌﾟﾛﾌｧｲﾙ）</t>
        </is>
      </c>
      <c r="B111" s="331">
        <f>B47</f>
        <v/>
      </c>
      <c r="C111" s="331">
        <f>C47</f>
        <v/>
      </c>
      <c r="D111" s="906">
        <f>D47</f>
        <v/>
      </c>
      <c r="E111" s="1187" t="n">
        <v>0</v>
      </c>
      <c r="F111" s="331">
        <f>F47</f>
        <v/>
      </c>
      <c r="G111" s="331">
        <f>G47</f>
        <v/>
      </c>
      <c r="H111" s="331">
        <f>H47</f>
        <v/>
      </c>
      <c r="I111" s="331">
        <f>I47</f>
        <v/>
      </c>
      <c r="J111" s="331">
        <f>J47</f>
        <v/>
      </c>
      <c r="K111" s="331">
        <f>K47</f>
        <v/>
      </c>
      <c r="L111" s="331">
        <f>L47</f>
        <v/>
      </c>
      <c r="M111" s="331">
        <f>M47</f>
        <v/>
      </c>
      <c r="N111" s="331">
        <f>N47</f>
        <v/>
      </c>
      <c r="O111" s="331">
        <f>O47</f>
        <v/>
      </c>
    </row>
    <row r="112">
      <c r="A112" s="386" t="inlineStr">
        <is>
          <t>EN（NC放電）</t>
        </is>
      </c>
      <c r="B112" s="331">
        <f>B50</f>
        <v/>
      </c>
      <c r="C112" s="331">
        <f>C50</f>
        <v/>
      </c>
      <c r="D112" s="906">
        <f>D50</f>
        <v/>
      </c>
      <c r="E112" s="1187" t="n">
        <v>0</v>
      </c>
      <c r="F112" s="331">
        <f>F50</f>
        <v/>
      </c>
      <c r="G112" s="331">
        <f>G50</f>
        <v/>
      </c>
      <c r="H112" s="331">
        <f>H50</f>
        <v/>
      </c>
      <c r="I112" s="331">
        <f>I50</f>
        <v/>
      </c>
      <c r="J112" s="331">
        <f>J50</f>
        <v/>
      </c>
      <c r="K112" s="331">
        <f>K50</f>
        <v/>
      </c>
      <c r="L112" s="331">
        <f>L50</f>
        <v/>
      </c>
      <c r="M112" s="331">
        <f>M50</f>
        <v/>
      </c>
      <c r="N112" s="331">
        <f>N50</f>
        <v/>
      </c>
      <c r="O112" s="331">
        <f>O50</f>
        <v/>
      </c>
    </row>
    <row r="113">
      <c r="A113" s="482" t="inlineStr">
        <is>
          <t>ES（汎用放電）</t>
        </is>
      </c>
      <c r="B113" s="496">
        <f>B53</f>
        <v/>
      </c>
      <c r="C113" s="496">
        <f>C53</f>
        <v/>
      </c>
      <c r="D113" s="907">
        <f>D53</f>
        <v/>
      </c>
      <c r="E113" s="496">
        <f>E53</f>
        <v/>
      </c>
      <c r="F113" s="496">
        <f>F53</f>
        <v/>
      </c>
      <c r="G113" s="496">
        <f>G53</f>
        <v/>
      </c>
      <c r="H113" s="496">
        <f>H53</f>
        <v/>
      </c>
      <c r="I113" s="496">
        <f>I53</f>
        <v/>
      </c>
      <c r="J113" s="496">
        <f>J53</f>
        <v/>
      </c>
      <c r="K113" s="496">
        <f>K53</f>
        <v/>
      </c>
      <c r="L113" s="496">
        <f>L53</f>
        <v/>
      </c>
      <c r="M113" s="496">
        <f>M53</f>
        <v/>
      </c>
      <c r="N113" s="496">
        <f>N53</f>
        <v/>
      </c>
      <c r="O113" s="496">
        <f>O53</f>
        <v/>
      </c>
    </row>
    <row r="114">
      <c r="A114" s="386" t="inlineStr">
        <is>
          <t>EW（ﾜｲﾔｰｶｯﾄ）</t>
        </is>
      </c>
      <c r="B114" s="331">
        <f>B56</f>
        <v/>
      </c>
      <c r="C114" s="331">
        <f>C56</f>
        <v/>
      </c>
      <c r="D114" s="906">
        <f>D56</f>
        <v/>
      </c>
      <c r="E114" s="1187" t="n">
        <v>0</v>
      </c>
      <c r="F114" s="331">
        <f>F56</f>
        <v/>
      </c>
      <c r="G114" s="331">
        <f>G56</f>
        <v/>
      </c>
      <c r="H114" s="331">
        <f>H56</f>
        <v/>
      </c>
      <c r="I114" s="331">
        <f>I56</f>
        <v/>
      </c>
      <c r="J114" s="331">
        <f>J56</f>
        <v/>
      </c>
      <c r="K114" s="331">
        <f>K56</f>
        <v/>
      </c>
      <c r="L114" s="331">
        <f>L56</f>
        <v/>
      </c>
      <c r="M114" s="331">
        <f>M56</f>
        <v/>
      </c>
      <c r="N114" s="331">
        <f>N56</f>
        <v/>
      </c>
      <c r="O114" s="331">
        <f>O56</f>
        <v/>
      </c>
    </row>
    <row r="115">
      <c r="E115" s="1186" t="n">
        <v>0</v>
      </c>
    </row>
  </sheetData>
  <mergeCells count="16">
    <mergeCell ref="A30:A32"/>
    <mergeCell ref="A39:A41"/>
    <mergeCell ref="A45:A47"/>
    <mergeCell ref="A12:A14"/>
    <mergeCell ref="A21:A23"/>
    <mergeCell ref="A48:A50"/>
    <mergeCell ref="A51:A53"/>
    <mergeCell ref="A9:A11"/>
    <mergeCell ref="A33:A35"/>
    <mergeCell ref="A15:A17"/>
    <mergeCell ref="A27:A29"/>
    <mergeCell ref="A24:A26"/>
    <mergeCell ref="A54:A56"/>
    <mergeCell ref="A42:A44"/>
    <mergeCell ref="A18:A20"/>
    <mergeCell ref="A36:A38"/>
  </mergeCells>
  <conditionalFormatting sqref="C13:N13 C16:N16 C19:N19 C22:N22 C25:N25 C28:N28 C31:N31 C34:N34 C37:N37 C40:N40 C43:N43 C46:N46 C49:N49 C52:N52 C55:N55 C57:N57">
    <cfRule type="cellIs" priority="1" operator="greaterThan" dxfId="0">
      <formula>0</formula>
    </cfRule>
  </conditionalFormatting>
  <conditionalFormatting sqref="C65:O80">
    <cfRule type="cellIs" priority="3" operator="greaterThan" dxfId="0">
      <formula>0</formula>
    </cfRule>
  </conditionalFormatting>
  <conditionalFormatting sqref="C100:O114">
    <cfRule type="cellIs" priority="2" operator="greaterThan" dxfId="0">
      <formula>0</formula>
    </cfRule>
  </conditionalFormatting>
  <conditionalFormatting sqref="C9:D10 E9:N9 E10:O10">
    <cfRule type="cellIs" priority="4" operator="greaterThan" dxfId="0">
      <formula>0</formula>
    </cfRule>
  </conditionalFormatting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T232"/>
  <sheetViews>
    <sheetView zoomScaleNormal="100" workbookViewId="0">
      <pane xSplit="2" ySplit="11" topLeftCell="C91" activePane="bottomRight" state="frozen"/>
      <selection pane="topRight" activeCell="C1" sqref="C1"/>
      <selection pane="bottomLeft" activeCell="A12" sqref="A12"/>
      <selection pane="bottomRight" activeCell="E103" sqref="E103"/>
    </sheetView>
  </sheetViews>
  <sheetFormatPr baseColWidth="8" defaultRowHeight="14.4"/>
  <cols>
    <col width="19.6640625" customWidth="1" style="1062" min="2" max="2"/>
    <col width="14.5546875" customWidth="1" style="1062" min="3" max="3"/>
    <col width="10.109375" bestFit="1" customWidth="1" style="540" min="12" max="12"/>
    <col width="12.5546875" customWidth="1" style="540" min="16" max="16"/>
    <col width="13" customWidth="1" style="1062" min="19" max="19"/>
  </cols>
  <sheetData>
    <row r="1" ht="19.2" customHeight="1" s="1062">
      <c r="A1" s="873" t="n"/>
      <c r="B1" s="873" t="n"/>
      <c r="C1" s="873" t="n"/>
      <c r="D1" s="195" t="inlineStr">
        <is>
          <t>①工程別不良件数グラフの追加・・・可視化</t>
        </is>
      </c>
      <c r="E1" s="292" t="n"/>
      <c r="F1" s="292" t="n"/>
      <c r="G1" s="292" t="n"/>
      <c r="H1" s="292" t="n"/>
      <c r="I1" s="292" t="n"/>
      <c r="J1" s="292" t="n"/>
      <c r="K1" s="292" t="n"/>
      <c r="L1" s="292" t="n"/>
      <c r="M1" s="194" t="n"/>
      <c r="N1" s="196" t="n"/>
      <c r="O1" s="292" t="n"/>
      <c r="P1" s="292" t="n"/>
      <c r="Q1" s="873" t="n"/>
      <c r="R1" s="873" t="n"/>
      <c r="S1" s="873" t="n"/>
      <c r="T1" s="873" t="n"/>
    </row>
    <row r="2" ht="16.2" customHeight="1" s="1062">
      <c r="A2" s="873" t="n"/>
      <c r="B2" s="873" t="n"/>
      <c r="C2" s="873" t="n"/>
      <c r="D2" s="195" t="inlineStr">
        <is>
          <t>②工程別不良率グラフの追加・・・可視化</t>
        </is>
      </c>
      <c r="E2" s="292" t="n"/>
      <c r="F2" s="292" t="n"/>
      <c r="G2" s="292" t="n"/>
      <c r="H2" s="292" t="n"/>
      <c r="I2" s="292" t="n"/>
      <c r="J2" s="292" t="n"/>
      <c r="K2" s="292" t="n"/>
      <c r="L2" s="292" t="n"/>
      <c r="M2" s="873" t="n"/>
      <c r="N2" s="197" t="n"/>
      <c r="O2" s="292" t="n"/>
      <c r="P2" s="292" t="n"/>
      <c r="Q2" s="873" t="n"/>
      <c r="R2" s="873" t="n"/>
      <c r="S2" s="873" t="n"/>
      <c r="T2" s="873" t="n"/>
    </row>
    <row r="3" ht="16.2" customHeight="1" s="1062">
      <c r="A3" s="873" t="n"/>
      <c r="B3" s="873" t="n"/>
      <c r="C3" s="873" t="n"/>
      <c r="D3" s="195" t="inlineStr">
        <is>
          <t>③不良件数が１以上だと、赤色（自動）になります・・・見やすくする為</t>
        </is>
      </c>
      <c r="E3" s="292" t="n"/>
      <c r="F3" s="292" t="n"/>
      <c r="G3" s="292" t="n"/>
      <c r="H3" s="292" t="n"/>
      <c r="I3" s="292" t="n"/>
      <c r="J3" s="292" t="n"/>
      <c r="K3" s="292" t="n"/>
      <c r="L3" s="292" t="n"/>
      <c r="M3" s="873" t="n"/>
      <c r="N3" s="197" t="n"/>
      <c r="O3" s="292" t="n"/>
      <c r="P3" s="292" t="n"/>
      <c r="Q3" s="873" t="n"/>
      <c r="R3" s="873" t="n"/>
      <c r="S3" s="873" t="n"/>
      <c r="T3" s="873" t="n"/>
    </row>
    <row r="4" ht="16.2" customHeight="1" s="1062">
      <c r="A4" s="873" t="n"/>
      <c r="B4" s="873" t="n"/>
      <c r="C4" s="873" t="n"/>
      <c r="D4" s="195" t="n"/>
      <c r="E4" s="292" t="n"/>
      <c r="F4" s="292" t="n"/>
      <c r="G4" s="292" t="n"/>
      <c r="H4" s="292" t="n"/>
      <c r="I4" s="292" t="n"/>
      <c r="J4" s="292" t="n"/>
      <c r="K4" s="292" t="n"/>
      <c r="L4" s="292" t="n"/>
      <c r="M4" s="873" t="n"/>
      <c r="N4" s="197" t="n"/>
      <c r="O4" s="292" t="n"/>
      <c r="P4" s="292" t="n"/>
      <c r="Q4" s="873" t="n"/>
      <c r="R4" s="873" t="n"/>
      <c r="S4" s="873" t="n"/>
      <c r="T4" s="873" t="n"/>
    </row>
    <row r="5" ht="16.8" customHeight="1" s="1062" thickBot="1">
      <c r="A5" s="873" t="n"/>
      <c r="B5" s="873" t="n"/>
      <c r="C5" s="873" t="n"/>
      <c r="D5" s="195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873" t="n"/>
      <c r="N5" s="197" t="n"/>
      <c r="O5" s="292" t="n"/>
      <c r="P5" s="292" t="n"/>
      <c r="Q5" s="873" t="n"/>
      <c r="R5" s="873" t="n"/>
      <c r="S5" s="873" t="n"/>
      <c r="T5" s="873" t="n"/>
    </row>
    <row r="6" ht="16.8" customHeight="1" s="1062" thickBot="1">
      <c r="A6" s="873" t="n"/>
      <c r="B6" s="187" t="inlineStr">
        <is>
          <t>【外作】</t>
        </is>
      </c>
      <c r="C6" s="873" t="n"/>
      <c r="D6" s="293" t="inlineStr">
        <is>
          <t>自動計算</t>
        </is>
      </c>
      <c r="E6" s="292" t="n"/>
      <c r="F6" s="294" t="inlineStr">
        <is>
          <t>自動</t>
        </is>
      </c>
      <c r="G6" s="197" t="n"/>
      <c r="H6" s="292" t="n"/>
      <c r="I6" s="292" t="n"/>
      <c r="J6" s="292" t="n"/>
      <c r="K6" s="292" t="n"/>
      <c r="L6" s="292" t="n"/>
      <c r="M6" s="292" t="n"/>
      <c r="N6" s="292" t="n"/>
      <c r="O6" s="292" t="n"/>
      <c r="P6" s="292" t="n"/>
      <c r="Q6" s="873" t="n"/>
      <c r="R6" s="873" t="n"/>
      <c r="S6" s="873" t="n"/>
      <c r="T6" s="873" t="n"/>
    </row>
    <row r="7">
      <c r="A7" s="873" t="n"/>
      <c r="B7" s="873" t="n"/>
      <c r="C7" s="873" t="inlineStr">
        <is>
          <t>工程不良件数、工程不良率</t>
        </is>
      </c>
      <c r="D7" s="292" t="n"/>
      <c r="E7" s="292" t="n"/>
      <c r="F7" s="292" t="n"/>
      <c r="G7" s="292" t="n"/>
      <c r="H7" s="292" t="n"/>
      <c r="I7" s="292" t="n"/>
      <c r="J7" s="292" t="n"/>
      <c r="K7" s="292" t="n"/>
      <c r="L7" s="292" t="n"/>
      <c r="M7" s="292" t="n"/>
      <c r="N7" s="292" t="n"/>
      <c r="O7" s="292" t="n"/>
      <c r="P7" s="292" t="n"/>
      <c r="Q7" s="873" t="n"/>
      <c r="R7" s="873" t="n"/>
      <c r="S7" s="873" t="n"/>
      <c r="T7" s="873" t="n"/>
    </row>
    <row r="8" ht="15" customHeight="1" s="1062" thickBot="1">
      <c r="A8" s="292" t="inlineStr">
        <is>
          <t>業者No</t>
        </is>
      </c>
      <c r="B8" s="292" t="inlineStr">
        <is>
          <t>業者名</t>
        </is>
      </c>
      <c r="C8" s="873" t="n"/>
      <c r="D8" s="295" t="inlineStr">
        <is>
          <t>1月</t>
        </is>
      </c>
      <c r="E8" s="296" t="inlineStr">
        <is>
          <t>2月</t>
        </is>
      </c>
      <c r="F8" s="295" t="inlineStr">
        <is>
          <t>3月</t>
        </is>
      </c>
      <c r="G8" s="295" t="inlineStr">
        <is>
          <t>4月</t>
        </is>
      </c>
      <c r="H8" s="295" t="inlineStr">
        <is>
          <t>5月</t>
        </is>
      </c>
      <c r="I8" s="295" t="inlineStr">
        <is>
          <t>6月</t>
        </is>
      </c>
      <c r="J8" s="295" t="inlineStr">
        <is>
          <t>7月</t>
        </is>
      </c>
      <c r="K8" s="295" t="inlineStr">
        <is>
          <t>8月</t>
        </is>
      </c>
      <c r="L8" s="295" t="inlineStr">
        <is>
          <t>9月</t>
        </is>
      </c>
      <c r="M8" s="295" t="inlineStr">
        <is>
          <t>10月</t>
        </is>
      </c>
      <c r="N8" s="295" t="inlineStr">
        <is>
          <t>11月</t>
        </is>
      </c>
      <c r="O8" s="295" t="inlineStr">
        <is>
          <t>12月</t>
        </is>
      </c>
      <c r="P8" s="201" t="inlineStr">
        <is>
          <t>Lũy kế</t>
        </is>
      </c>
      <c r="Q8" s="873" t="n"/>
      <c r="R8" s="873" t="n"/>
      <c r="S8" s="873" t="n"/>
      <c r="T8" s="873" t="n"/>
    </row>
    <row r="9" ht="15" customHeight="1" s="1062" thickTop="1">
      <c r="A9" s="985" t="n"/>
      <c r="B9" s="988" t="inlineStr">
        <is>
          <t>ALL</t>
        </is>
      </c>
      <c r="C9" s="418" t="inlineStr">
        <is>
          <t>Số bản vẽ</t>
        </is>
      </c>
      <c r="D9" s="419">
        <f>SUM(D12,D15,D18,D21,D24,D27,D30,D33,D36,D39,D42,D45,D48,D51,D54,D57,D60,D63,D66,D69,D72,D75,D78,D81,D84,D87,D90,D93,D96,D99,D102)</f>
        <v/>
      </c>
      <c r="E9" s="419">
        <f>SUM(E12,E15,E18,E21,E24,E27,E30,E33,E36,E39,E42,E45,E48,E51,E54,E57,E60,E63,E66,E69,E72,E75,E78,E81,E84,E87,E90,E93,E96,E99,E102)</f>
        <v/>
      </c>
      <c r="F9" s="419">
        <f>SUM(F12,F15,F18,F21,F24,F27,F30,F33,F36,F39,F42,F45,F48,F51,F54,F57,F60,F63,F66,F69,F72,F75,F78,F81,F84,F87,F90,F93,F96,F99,F102)</f>
        <v/>
      </c>
      <c r="G9" s="419">
        <f>SUM(G12,G15,G18,G21,G24,G27,G30,G33,G36,G39,G42,G45,G48,G51,G54,G57,G60,G63,G66,G69,G72,G75,G78,G81,G84,G87,G90,G93,G96,G99,G102)</f>
        <v/>
      </c>
      <c r="H9" s="419">
        <f>SUM(H12,H15,H18,H21,H24,H27,H30,H33,H36,H39,H42,H45,H48,H51,H54,H57,H60,H63,H66,H69,H72,H75,H78,H81,H84,H87,H90,H93,H96,H99,H102)</f>
        <v/>
      </c>
      <c r="I9" s="419">
        <f>SUM(I12,I15,I18,I21,I24,I27,I30,I33,I36,I39,I42,I45,I48,I51,I54,I57,I60,I63,I66,I69,I72,I75,I78,I81,I84,I87,I90,I93,I96,I99,I102)</f>
        <v/>
      </c>
      <c r="J9" s="419">
        <f>SUM(J12,J15,J18,J21,J24,J27,J30,J33,J36,J39,J42,J45,J48,J51,J54,J57,J60,J63,J66,J69,J72,J75,J78,J81,J84,J87,J90,J93,J96,J99,J102)</f>
        <v/>
      </c>
      <c r="K9" s="419">
        <f>SUM(K12,K15,K18,K21,K24,K27,K30,K33,K36,K39,K42,K45,K48,K51,K54,K57,K60,K63,K66,K69,K72,K75,K78,K81,K84,K87,K90,K93,K96,K99,K102)</f>
        <v/>
      </c>
      <c r="L9" s="419">
        <f>SUM(L12,L15,L18,L21,L24,L27,L30,L33,L36,L39,L42,L45,L48,L51,L54,L57,L60,L63,L66,L69,L72,L75,L78,L81,L84,L87,L90,L93,L96,L99,L102)</f>
        <v/>
      </c>
      <c r="M9" s="419">
        <f>SUM(M12,M15,M18,M21,M24,M27,M30,M33,M36,M39,M42,M45,M48,M51,M54,M57,M60,M63,M66,M69,M72,M75,M78,M81,M84,M87,M90,M93,M96,M99,M102)</f>
        <v/>
      </c>
      <c r="N9" s="419">
        <f>SUM(N12,N15,N18,N21,N24,N27,N30,N33,N36,N39,N42,N45,N48,N51,N54,N57,N60,N63,N66,N69,N72,N75,N78,N81,N84,N87,N90,N93,N96,N99,N102)</f>
        <v/>
      </c>
      <c r="O9" s="419">
        <f>SUM(O12,O15,O18,O21,O24,O27,O30,O33,O36,O39,O42,O45,O48,O51,O54,O57,O60,O63,O66,O69,O72,O75,O78,O81,O84,O87,O90,O93,O96,O99,O102)</f>
        <v/>
      </c>
      <c r="P9" s="538">
        <f>SUM(D9:O9)</f>
        <v/>
      </c>
      <c r="Q9" s="297" t="n"/>
      <c r="R9" s="204" t="n"/>
      <c r="S9" s="204" t="n"/>
      <c r="T9" s="204" t="n"/>
    </row>
    <row r="10">
      <c r="A10" s="1189" t="n"/>
      <c r="B10" s="1166" t="n"/>
      <c r="C10" s="421" t="inlineStr">
        <is>
          <t>Số phế phẩm</t>
        </is>
      </c>
      <c r="D10" s="420">
        <f>SUM(D13,D16,D19,D22,D25,D28,D31,D34,D37,D40,D43,D46,D49,D52,D55,D58,D61,D64,D67,D70,D73,D76,D79,D82,D85,D88,D91,D94,D97,D100,D103)</f>
        <v/>
      </c>
      <c r="E10" s="420">
        <f>SUM(E13,E16,E19,E22,E25,E28,E31,E34,E37,E40,E43,E46,E49,E52,E55,E58,E61,E64,E67,E70,E73,E76,E79,E82,E85,E88,E91,E94,E97,E100,E103)</f>
        <v/>
      </c>
      <c r="F10" s="420">
        <f>SUM(F13,F16,F19,F22,F25,F28,F31,F34,F37,F40,F43,F46,F49,F52,F55,F58,F61,F64,F67,F70,F73,F76,F79,F82,F85,F88,F91,F94,F97,F100,F103)</f>
        <v/>
      </c>
      <c r="G10" s="420">
        <f>SUM(G13,G16,G19,G22,G25,G28,G31,G34,G37,G40,G43,G46,G49,G52,G55,G58,G61,G64,G67,G70,G73,G76,G79,G82,G85,G88,G91,G94,G97,G100,G103)</f>
        <v/>
      </c>
      <c r="H10" s="420">
        <f>SUM(H13,H16,H19,H22,H25,H28,H31,H34,H37,H40,H43,H46,H49,H52,H55,H58,H61,H64,H67,H70,H73,H76,H79,H82,H85,H88,H91,H94,H97,H100,H103)</f>
        <v/>
      </c>
      <c r="I10" s="420">
        <f>SUM(I13,I16,I19,I22,I25,I28,I31,I34,I37,I40,I43,I46,I49,I52,I55,I58,I61,I64,I67,I70,I73,I76,I79,I82,I85,I88,I91,I94,I97,I100,I103)</f>
        <v/>
      </c>
      <c r="J10" s="420">
        <f>SUM(J13,J16,J19,J22,J25,J28,J31,J34,J37,J40,J43,J46,J49,J52,J55,J58,J61,J64,J67,J70,J73,J76,J79,J82,J85,J88,J91,J94,J97,J100,J103)</f>
        <v/>
      </c>
      <c r="K10" s="420">
        <f>SUM(K13,K16,K19,K22,K25,K28,K31,K34,K37,K40,K43,K46,K49,K52,K55,K58,K61,K64,K67,K70,K73,K76,K79,K82,K85,K88,K91,K94,K97,K100,K103)</f>
        <v/>
      </c>
      <c r="L10" s="420">
        <f>SUM(L13,L16,L19,L22,L25,L28,L31,L34,L37,L40,L43,L46,L49,L52,L55,L58,L61,L64,L67,L70,L73,L76,L79,L82,L85,L88,L91,L94,L97,L100,L103)</f>
        <v/>
      </c>
      <c r="M10" s="420">
        <f>SUM(M13,M16,M19,M22,M25,M28,M31,M34,M37,M40,M43,M46,M49,M52,M55,M58,M61,M64,M67,M70,M73,M76,M79,M82,M85,M88,M91,M94,M97,M100,M103)</f>
        <v/>
      </c>
      <c r="N10" s="420">
        <f>SUM(N13,N16,N19,N22,N25,N28,N31,N34,N37,N40,N43,N46,N49,N52,N55,N58,N61,N64,N67,N70,N73,N76,N79,N82,N85,N88,N91,N94,N97,N100,N103)</f>
        <v/>
      </c>
      <c r="O10" s="420">
        <f>SUM(O13,O16,O19,O22,O25,O28,O31,O34,O37,O40,O43,O46,O49,O52,O55,O58,O61,O64,O67,O70,O73,O76,O79,O82,O85,O88,O91,O94,O97,O100,O103)</f>
        <v/>
      </c>
      <c r="P10" s="539">
        <f>SUM(D10:O10)</f>
        <v/>
      </c>
      <c r="Q10" s="292" t="n"/>
      <c r="R10" s="873" t="n"/>
      <c r="S10" s="873" t="n"/>
      <c r="T10" s="873" t="n"/>
    </row>
    <row r="11" ht="15" customHeight="1" s="1062" thickBot="1">
      <c r="A11" s="1190" t="n"/>
      <c r="B11" s="1168" t="n"/>
      <c r="C11" s="208" t="inlineStr">
        <is>
          <t>Tỷ lệ phế phẩm</t>
        </is>
      </c>
      <c r="D11" s="298">
        <f>D10/D9</f>
        <v/>
      </c>
      <c r="E11" s="298">
        <f>E10/E9</f>
        <v/>
      </c>
      <c r="F11" s="298">
        <f>F10/F9</f>
        <v/>
      </c>
      <c r="G11" s="298">
        <f>G10/G9</f>
        <v/>
      </c>
      <c r="H11" s="298">
        <f>H10/H9</f>
        <v/>
      </c>
      <c r="I11" s="298">
        <f>I10/I9</f>
        <v/>
      </c>
      <c r="J11" s="298">
        <f>J10/J9</f>
        <v/>
      </c>
      <c r="K11" s="298">
        <f>K10/K9</f>
        <v/>
      </c>
      <c r="L11" s="298">
        <f>L10/L9</f>
        <v/>
      </c>
      <c r="M11" s="298">
        <f>M10/M9</f>
        <v/>
      </c>
      <c r="N11" s="298">
        <f>N10/N9</f>
        <v/>
      </c>
      <c r="O11" s="299">
        <f>O10/O9</f>
        <v/>
      </c>
      <c r="P11" s="300">
        <f>P10/P9</f>
        <v/>
      </c>
      <c r="Q11" s="387" t="n"/>
      <c r="R11" s="873" t="n"/>
      <c r="S11" s="873" t="n"/>
      <c r="T11" s="873" t="n"/>
    </row>
    <row r="12">
      <c r="A12" s="991" t="inlineStr">
        <is>
          <t>A0001</t>
        </is>
      </c>
      <c r="B12" s="994" t="inlineStr">
        <is>
          <t>MMK</t>
        </is>
      </c>
      <c r="C12" s="494" t="inlineStr">
        <is>
          <t>Số bản vẽ</t>
        </is>
      </c>
      <c r="D12" s="302" t="n">
        <v>13</v>
      </c>
      <c r="E12" s="303" t="n">
        <v>0</v>
      </c>
      <c r="F12" s="303" t="n">
        <v>0</v>
      </c>
      <c r="G12" s="303" t="n"/>
      <c r="H12" s="303" t="n"/>
      <c r="I12" s="303" t="n"/>
      <c r="J12" s="302" t="n"/>
      <c r="K12" s="302" t="n"/>
      <c r="L12" s="302" t="n"/>
      <c r="M12" s="302" t="n"/>
      <c r="N12" s="302" t="n"/>
      <c r="O12" s="304" t="n"/>
      <c r="P12" s="215">
        <f>SUM(D12:O12)</f>
        <v/>
      </c>
      <c r="Q12" s="873" t="n"/>
      <c r="R12" s="873" t="n"/>
      <c r="S12" s="873" t="n"/>
      <c r="T12" s="873" t="n"/>
    </row>
    <row r="13">
      <c r="A13" s="1189" t="n"/>
      <c r="B13" s="1170" t="n"/>
      <c r="C13" s="205" t="inlineStr">
        <is>
          <t>Số phế phẩm</t>
        </is>
      </c>
      <c r="D13" s="614" t="n">
        <v>0</v>
      </c>
      <c r="E13" s="306" t="n">
        <v>0</v>
      </c>
      <c r="F13" s="306" t="n">
        <v>0</v>
      </c>
      <c r="G13" s="306" t="n"/>
      <c r="H13" s="306" t="n"/>
      <c r="I13" s="306" t="n"/>
      <c r="J13" s="614" t="n"/>
      <c r="K13" s="614" t="n"/>
      <c r="L13" s="614" t="n"/>
      <c r="M13" s="614" t="n"/>
      <c r="N13" s="614" t="n"/>
      <c r="O13" s="307" t="n"/>
      <c r="P13" s="218">
        <f>SUM(D13:O13)</f>
        <v/>
      </c>
      <c r="Q13" s="873" t="n"/>
      <c r="R13" s="873" t="n"/>
      <c r="S13" s="873" t="n"/>
      <c r="T13" s="873" t="n"/>
    </row>
    <row r="14" ht="15" customHeight="1" s="1062" thickBot="1">
      <c r="A14" s="1190" t="n"/>
      <c r="B14" s="1170" t="n"/>
      <c r="C14" s="219" t="inlineStr">
        <is>
          <t>Tỷ lệ phế phẩm</t>
        </is>
      </c>
      <c r="D14" s="308">
        <f>D13/D12</f>
        <v/>
      </c>
      <c r="E14" s="308">
        <f>E13/E12</f>
        <v/>
      </c>
      <c r="F14" s="308">
        <f>F13/F12</f>
        <v/>
      </c>
      <c r="G14" s="308">
        <f>G13/G12</f>
        <v/>
      </c>
      <c r="H14" s="308">
        <f>H13/H12</f>
        <v/>
      </c>
      <c r="I14" s="308">
        <f>I13/I12</f>
        <v/>
      </c>
      <c r="J14" s="308">
        <f>J13/J12</f>
        <v/>
      </c>
      <c r="K14" s="308">
        <f>K13/K12</f>
        <v/>
      </c>
      <c r="L14" s="308">
        <f>L13/L12</f>
        <v/>
      </c>
      <c r="M14" s="308">
        <f>M13/M12</f>
        <v/>
      </c>
      <c r="N14" s="308">
        <f>N13/N12</f>
        <v/>
      </c>
      <c r="O14" s="309">
        <f>O13/O12</f>
        <v/>
      </c>
      <c r="P14" s="310">
        <f>P13/P12</f>
        <v/>
      </c>
      <c r="Q14" s="873" t="n"/>
      <c r="R14" s="873" t="n"/>
      <c r="S14" s="873" t="n"/>
      <c r="T14" s="873" t="n"/>
    </row>
    <row r="15">
      <c r="A15" s="995" t="inlineStr">
        <is>
          <t>A0002</t>
        </is>
      </c>
      <c r="B15" s="1191" t="inlineStr">
        <is>
          <t>TWM</t>
        </is>
      </c>
      <c r="C15" s="494" t="inlineStr">
        <is>
          <t>Số bản vẽ</t>
        </is>
      </c>
      <c r="D15" s="815" t="n">
        <v>13</v>
      </c>
      <c r="E15" s="243" t="n">
        <v>13</v>
      </c>
      <c r="F15" s="311" t="n">
        <v>15</v>
      </c>
      <c r="G15" s="820" t="n"/>
      <c r="H15" s="576" t="n"/>
      <c r="I15" s="820" t="n"/>
      <c r="J15" s="820" t="n"/>
      <c r="K15" s="820" t="n"/>
      <c r="L15" s="820" t="n"/>
      <c r="M15" s="820" t="n"/>
      <c r="N15" s="820" t="n"/>
      <c r="O15" s="314" t="n"/>
      <c r="P15" s="223">
        <f>SUM(D15:O15)</f>
        <v/>
      </c>
      <c r="Q15" s="873" t="n"/>
      <c r="R15" s="873" t="n"/>
      <c r="S15" s="873" t="n"/>
      <c r="T15" s="873" t="n"/>
    </row>
    <row r="16">
      <c r="A16" s="1189" t="n"/>
      <c r="B16" s="1170" t="n"/>
      <c r="C16" s="205" t="inlineStr">
        <is>
          <t>Số phế phẩm</t>
        </is>
      </c>
      <c r="D16" s="816" t="n">
        <v>0</v>
      </c>
      <c r="E16" s="244" t="n">
        <v>0</v>
      </c>
      <c r="F16" s="315" t="n">
        <v>0</v>
      </c>
      <c r="G16" s="821" t="n"/>
      <c r="H16" s="614" t="n"/>
      <c r="I16" s="821" t="n"/>
      <c r="J16" s="821" t="n"/>
      <c r="K16" s="821" t="n"/>
      <c r="L16" s="821" t="n"/>
      <c r="M16" s="821" t="n"/>
      <c r="N16" s="821" t="n"/>
      <c r="O16" s="317" t="n"/>
      <c r="P16" s="218">
        <f>SUM(D16:O16)</f>
        <v/>
      </c>
      <c r="Q16" s="873" t="n"/>
      <c r="R16" s="873" t="n"/>
      <c r="S16" s="873" t="n"/>
      <c r="T16" s="873" t="n"/>
    </row>
    <row r="17" ht="15" customHeight="1" s="1062" thickBot="1">
      <c r="A17" s="1190" t="n"/>
      <c r="B17" s="1174" t="n"/>
      <c r="C17" s="219" t="inlineStr">
        <is>
          <t>Tỷ lệ phế phẩm</t>
        </is>
      </c>
      <c r="D17" s="308">
        <f>D16/D15</f>
        <v/>
      </c>
      <c r="E17" s="817">
        <f>E16/E15</f>
        <v/>
      </c>
      <c r="F17" s="308">
        <f>F16/F15</f>
        <v/>
      </c>
      <c r="G17" s="308">
        <f>G16/G15</f>
        <v/>
      </c>
      <c r="H17" s="308">
        <f>H16/H15</f>
        <v/>
      </c>
      <c r="I17" s="308">
        <f>I16/I15</f>
        <v/>
      </c>
      <c r="J17" s="308">
        <f>J16/J15</f>
        <v/>
      </c>
      <c r="K17" s="308">
        <f>K16/K15</f>
        <v/>
      </c>
      <c r="L17" s="308">
        <f>L16/L15</f>
        <v/>
      </c>
      <c r="M17" s="308">
        <f>M16/M15</f>
        <v/>
      </c>
      <c r="N17" s="308">
        <f>N16/N15</f>
        <v/>
      </c>
      <c r="O17" s="309">
        <f>O16/O15</f>
        <v/>
      </c>
      <c r="P17" s="310">
        <f>P16/P15</f>
        <v/>
      </c>
      <c r="Q17" s="873" t="n"/>
      <c r="R17" s="873" t="n"/>
      <c r="S17" s="873" t="n"/>
      <c r="T17" s="873" t="n"/>
    </row>
    <row r="18">
      <c r="A18" s="995" t="inlineStr">
        <is>
          <t>A0004</t>
        </is>
      </c>
      <c r="B18" s="1192" t="inlineStr">
        <is>
          <t>ＤＧＭ</t>
        </is>
      </c>
      <c r="C18" s="494" t="inlineStr">
        <is>
          <t>Số bản vẽ</t>
        </is>
      </c>
      <c r="D18" s="818" t="n">
        <v>8</v>
      </c>
      <c r="E18" s="243" t="n">
        <v>20</v>
      </c>
      <c r="F18" s="318" t="n">
        <v>40</v>
      </c>
      <c r="G18" s="576" t="n"/>
      <c r="H18" s="576" t="n"/>
      <c r="I18" s="576" t="n"/>
      <c r="J18" s="576" t="n"/>
      <c r="K18" s="576" t="n"/>
      <c r="L18" s="576" t="n"/>
      <c r="M18" s="576" t="n"/>
      <c r="N18" s="576" t="n"/>
      <c r="O18" s="319" t="n"/>
      <c r="P18" s="223">
        <f>SUM(D18:O18)</f>
        <v/>
      </c>
      <c r="Q18" s="873" t="n"/>
      <c r="R18" s="873" t="n"/>
      <c r="S18" s="873" t="n"/>
      <c r="T18" s="873" t="n"/>
    </row>
    <row r="19">
      <c r="A19" s="1189" t="n"/>
      <c r="B19" s="1170" t="n"/>
      <c r="C19" s="205" t="inlineStr">
        <is>
          <t>Số phế phẩm</t>
        </is>
      </c>
      <c r="D19" s="819" t="n">
        <v>0</v>
      </c>
      <c r="E19" s="819" t="n">
        <v>0</v>
      </c>
      <c r="F19" s="320" t="n">
        <v>0</v>
      </c>
      <c r="G19" s="614" t="n"/>
      <c r="H19" s="614" t="n"/>
      <c r="I19" s="614" t="n"/>
      <c r="J19" s="614" t="n"/>
      <c r="K19" s="614" t="n"/>
      <c r="L19" s="614" t="n"/>
      <c r="M19" s="614" t="n"/>
      <c r="N19" s="614" t="n"/>
      <c r="O19" s="307" t="n"/>
      <c r="P19" s="218">
        <f>SUM(D19:O19)</f>
        <v/>
      </c>
      <c r="Q19" s="873" t="n"/>
      <c r="R19" s="873" t="n"/>
      <c r="S19" s="873" t="n"/>
      <c r="T19" s="873" t="n"/>
    </row>
    <row r="20" ht="15" customHeight="1" s="1062" thickBot="1">
      <c r="A20" s="1190" t="n"/>
      <c r="B20" s="1174" t="n"/>
      <c r="C20" s="219" t="inlineStr">
        <is>
          <t>Tỷ lệ phế phẩm</t>
        </is>
      </c>
      <c r="D20" s="308">
        <f>D19/D18</f>
        <v/>
      </c>
      <c r="E20" s="817">
        <f>E19/E18</f>
        <v/>
      </c>
      <c r="F20" s="308">
        <f>F19/F18</f>
        <v/>
      </c>
      <c r="G20" s="308">
        <f>G19/G18</f>
        <v/>
      </c>
      <c r="H20" s="308">
        <f>H19/H18</f>
        <v/>
      </c>
      <c r="I20" s="308">
        <f>I19/I18</f>
        <v/>
      </c>
      <c r="J20" s="308">
        <f>J19/J18</f>
        <v/>
      </c>
      <c r="K20" s="308">
        <f>K19/K18</f>
        <v/>
      </c>
      <c r="L20" s="308">
        <f>L19/L18</f>
        <v/>
      </c>
      <c r="M20" s="308">
        <f>M19/M18</f>
        <v/>
      </c>
      <c r="N20" s="308">
        <f>N19/N18</f>
        <v/>
      </c>
      <c r="O20" s="309">
        <f>O19/O18</f>
        <v/>
      </c>
      <c r="P20" s="321">
        <f>P19/P18</f>
        <v/>
      </c>
      <c r="Q20" s="873" t="n"/>
      <c r="R20" s="873" t="n"/>
      <c r="S20" s="873" t="n"/>
      <c r="T20" s="873" t="n"/>
    </row>
    <row r="21">
      <c r="A21" s="1193" t="inlineStr">
        <is>
          <t>A0005</t>
        </is>
      </c>
      <c r="B21" s="997" t="inlineStr">
        <is>
          <t>TKM</t>
        </is>
      </c>
      <c r="C21" s="494" t="inlineStr">
        <is>
          <t>Số bản vẽ</t>
        </is>
      </c>
      <c r="D21" s="576" t="n">
        <v>12</v>
      </c>
      <c r="E21" s="322" t="n">
        <v>0</v>
      </c>
      <c r="F21" s="576" t="n">
        <v>12</v>
      </c>
      <c r="G21" s="576" t="n"/>
      <c r="H21" s="576" t="n"/>
      <c r="I21" s="576" t="n"/>
      <c r="J21" s="576" t="n"/>
      <c r="K21" s="576" t="n"/>
      <c r="L21" s="576" t="n"/>
      <c r="M21" s="576" t="n"/>
      <c r="N21" s="576" t="n"/>
      <c r="O21" s="319" t="n"/>
      <c r="P21" s="228">
        <f>SUM(D21:O21)</f>
        <v/>
      </c>
      <c r="Q21" s="873" t="n"/>
      <c r="R21" s="873" t="n"/>
      <c r="S21" s="873" t="n"/>
      <c r="T21" s="873" t="n"/>
    </row>
    <row r="22">
      <c r="A22" s="1194" t="n"/>
      <c r="B22" s="1170" t="n"/>
      <c r="C22" s="205" t="inlineStr">
        <is>
          <t>Số phế phẩm</t>
        </is>
      </c>
      <c r="D22" s="614" t="n">
        <v>0</v>
      </c>
      <c r="E22" s="306" t="n">
        <v>0</v>
      </c>
      <c r="F22" s="614" t="n">
        <v>0</v>
      </c>
      <c r="G22" s="614" t="n"/>
      <c r="H22" s="614" t="n"/>
      <c r="I22" s="614" t="n"/>
      <c r="J22" s="614" t="n"/>
      <c r="K22" s="614" t="n"/>
      <c r="L22" s="614" t="n"/>
      <c r="M22" s="614" t="n"/>
      <c r="N22" s="614" t="n"/>
      <c r="O22" s="307" t="n"/>
      <c r="P22" s="218">
        <f>SUM(D22:O22)</f>
        <v/>
      </c>
      <c r="Q22" s="873" t="n"/>
      <c r="R22" s="873" t="n"/>
      <c r="S22" s="873" t="n"/>
      <c r="T22" s="873" t="n"/>
    </row>
    <row r="23" ht="15" customHeight="1" s="1062" thickBot="1">
      <c r="A23" s="1195" t="n"/>
      <c r="B23" s="1170" t="n"/>
      <c r="C23" s="219" t="inlineStr">
        <is>
          <t>Tỷ lệ phế phẩm</t>
        </is>
      </c>
      <c r="D23" s="308">
        <f>D22/D21</f>
        <v/>
      </c>
      <c r="E23" s="308">
        <f>E22/E21</f>
        <v/>
      </c>
      <c r="F23" s="308">
        <f>F22/F21</f>
        <v/>
      </c>
      <c r="G23" s="308">
        <f>G22/G21</f>
        <v/>
      </c>
      <c r="H23" s="308">
        <f>H22/H21</f>
        <v/>
      </c>
      <c r="I23" s="308">
        <f>I22/I21</f>
        <v/>
      </c>
      <c r="J23" s="308">
        <f>J22/J21</f>
        <v/>
      </c>
      <c r="K23" s="308">
        <f>K22/K21</f>
        <v/>
      </c>
      <c r="L23" s="308">
        <f>L22/L21</f>
        <v/>
      </c>
      <c r="M23" s="308">
        <f>M22/M21</f>
        <v/>
      </c>
      <c r="N23" s="308">
        <f>N22/N21</f>
        <v/>
      </c>
      <c r="O23" s="309">
        <f>O22/O21</f>
        <v/>
      </c>
      <c r="P23" s="310">
        <f>P22/P21</f>
        <v/>
      </c>
      <c r="Q23" s="873" t="n"/>
      <c r="R23" s="873" t="n"/>
      <c r="S23" s="873" t="n"/>
      <c r="T23" s="873" t="n"/>
    </row>
    <row r="24">
      <c r="A24" s="1193" t="inlineStr">
        <is>
          <t>VNM</t>
        </is>
      </c>
      <c r="B24" s="1196" t="inlineStr">
        <is>
          <t>VNM</t>
        </is>
      </c>
      <c r="C24" s="494" t="inlineStr">
        <is>
          <t>Số bản vẽ</t>
        </is>
      </c>
      <c r="D24" s="576" t="n">
        <v>4</v>
      </c>
      <c r="E24" s="322" t="n">
        <v>3</v>
      </c>
      <c r="F24" s="322" t="n"/>
      <c r="G24" s="322" t="n"/>
      <c r="H24" s="322" t="n"/>
      <c r="I24" s="322" t="n"/>
      <c r="J24" s="322" t="n"/>
      <c r="K24" s="322" t="n"/>
      <c r="L24" s="322" t="n"/>
      <c r="M24" s="322" t="n"/>
      <c r="N24" s="576" t="n"/>
      <c r="O24" s="319" t="n"/>
      <c r="P24" s="223">
        <f>SUM(D24:O24)</f>
        <v/>
      </c>
      <c r="Q24" s="873" t="n"/>
      <c r="R24" s="873" t="n"/>
      <c r="S24" s="873" t="n"/>
      <c r="T24" s="873" t="n"/>
    </row>
    <row r="25">
      <c r="A25" s="1194" t="n"/>
      <c r="B25" s="1170" t="n"/>
      <c r="C25" s="205" t="inlineStr">
        <is>
          <t>Số phế phẩm</t>
        </is>
      </c>
      <c r="D25" s="614" t="n">
        <v>0</v>
      </c>
      <c r="E25" s="306" t="n">
        <v>0</v>
      </c>
      <c r="F25" s="306" t="n"/>
      <c r="G25" s="306" t="n"/>
      <c r="H25" s="306" t="n"/>
      <c r="I25" s="306" t="n"/>
      <c r="J25" s="614" t="n"/>
      <c r="K25" s="614" t="n"/>
      <c r="L25" s="614" t="n"/>
      <c r="M25" s="614" t="n"/>
      <c r="N25" s="614" t="n"/>
      <c r="O25" s="307" t="n"/>
      <c r="P25" s="218">
        <f>SUM(D25:O25)</f>
        <v/>
      </c>
      <c r="Q25" s="873" t="n"/>
      <c r="R25" s="873" t="n"/>
      <c r="S25" s="873" t="n"/>
      <c r="T25" s="873" t="n"/>
    </row>
    <row r="26" ht="15" customHeight="1" s="1062" thickBot="1">
      <c r="A26" s="1195" t="n"/>
      <c r="B26" s="1174" t="n"/>
      <c r="C26" s="219" t="inlineStr">
        <is>
          <t>Tỷ lệ phế phẩm</t>
        </is>
      </c>
      <c r="D26" s="308">
        <f>D25/D24</f>
        <v/>
      </c>
      <c r="E26" s="308">
        <f>E25/E24</f>
        <v/>
      </c>
      <c r="F26" s="308">
        <f>F25/F24</f>
        <v/>
      </c>
      <c r="G26" s="308">
        <f>G25/G24</f>
        <v/>
      </c>
      <c r="H26" s="308">
        <f>H25/H24</f>
        <v/>
      </c>
      <c r="I26" s="308">
        <f>I25/I24</f>
        <v/>
      </c>
      <c r="J26" s="308">
        <f>J25/J24</f>
        <v/>
      </c>
      <c r="K26" s="308">
        <f>K25/K24</f>
        <v/>
      </c>
      <c r="L26" s="308">
        <f>L25/L24</f>
        <v/>
      </c>
      <c r="M26" s="308">
        <f>M25/M24</f>
        <v/>
      </c>
      <c r="N26" s="308">
        <f>N25/N24</f>
        <v/>
      </c>
      <c r="O26" s="309">
        <f>O25/O24</f>
        <v/>
      </c>
      <c r="P26" s="321">
        <f>P25/P24</f>
        <v/>
      </c>
      <c r="Q26" s="873" t="n"/>
      <c r="R26" s="873" t="n"/>
      <c r="S26" s="873" t="n"/>
      <c r="T26" s="873" t="n"/>
    </row>
    <row r="27">
      <c r="A27" s="995" t="inlineStr">
        <is>
          <t>SP016</t>
        </is>
      </c>
      <c r="B27" s="1191" t="inlineStr">
        <is>
          <t>PUNCH</t>
        </is>
      </c>
      <c r="C27" s="494" t="inlineStr">
        <is>
          <t>Số bản vẽ</t>
        </is>
      </c>
      <c r="D27" s="820" t="n">
        <v>32</v>
      </c>
      <c r="E27" s="820" t="n">
        <v>9</v>
      </c>
      <c r="F27" s="820" t="n">
        <v>15</v>
      </c>
      <c r="G27" s="820" t="n"/>
      <c r="H27" s="576" t="n"/>
      <c r="I27" s="322" t="n"/>
      <c r="J27" s="322" t="n"/>
      <c r="K27" s="322" t="n"/>
      <c r="L27" s="322" t="n"/>
      <c r="M27" s="322" t="n"/>
      <c r="N27" s="322" t="n"/>
      <c r="O27" s="323" t="n"/>
      <c r="P27" s="228">
        <f>SUM(D27:O27)</f>
        <v/>
      </c>
      <c r="Q27" s="873" t="n"/>
      <c r="R27" s="873" t="n"/>
      <c r="S27" s="873" t="n"/>
      <c r="T27" s="873" t="n"/>
    </row>
    <row r="28">
      <c r="A28" s="1189" t="n"/>
      <c r="B28" s="1170" t="n"/>
      <c r="C28" s="205" t="inlineStr">
        <is>
          <t>Số phế phẩm</t>
        </is>
      </c>
      <c r="D28" s="821" t="n">
        <v>0</v>
      </c>
      <c r="E28" s="821" t="n">
        <v>0</v>
      </c>
      <c r="F28" s="821" t="n">
        <v>0</v>
      </c>
      <c r="G28" s="821" t="n"/>
      <c r="H28" s="614" t="n"/>
      <c r="I28" s="306" t="n"/>
      <c r="J28" s="306" t="n"/>
      <c r="K28" s="306" t="n"/>
      <c r="L28" s="306" t="n"/>
      <c r="M28" s="306" t="n"/>
      <c r="N28" s="306" t="n"/>
      <c r="O28" s="324" t="n"/>
      <c r="P28" s="218">
        <f>SUM(D28:O28)</f>
        <v/>
      </c>
      <c r="Q28" s="873" t="n"/>
      <c r="R28" s="873" t="n"/>
      <c r="S28" s="873" t="n"/>
      <c r="T28" s="873" t="n"/>
    </row>
    <row r="29" ht="15" customHeight="1" s="1062" thickBot="1">
      <c r="A29" s="1190" t="n"/>
      <c r="B29" s="1174" t="n"/>
      <c r="C29" s="219" t="inlineStr">
        <is>
          <t>Tỷ lệ phế phẩm</t>
        </is>
      </c>
      <c r="D29" s="308">
        <f>D28/D27</f>
        <v/>
      </c>
      <c r="E29" s="308">
        <f>E28/E27</f>
        <v/>
      </c>
      <c r="F29" s="308">
        <f>F28/F27</f>
        <v/>
      </c>
      <c r="G29" s="308">
        <f>G28/G27</f>
        <v/>
      </c>
      <c r="H29" s="308">
        <f>H28/H27</f>
        <v/>
      </c>
      <c r="I29" s="308">
        <f>I28/I27</f>
        <v/>
      </c>
      <c r="J29" s="308">
        <f>J28/J27</f>
        <v/>
      </c>
      <c r="K29" s="308">
        <f>K28/K27</f>
        <v/>
      </c>
      <c r="L29" s="308">
        <f>L28/L27</f>
        <v/>
      </c>
      <c r="M29" s="308">
        <f>M28/M27</f>
        <v/>
      </c>
      <c r="N29" s="308">
        <f>N28/N27</f>
        <v/>
      </c>
      <c r="O29" s="309">
        <f>O28/O27</f>
        <v/>
      </c>
      <c r="P29" s="321">
        <f>P28/P27</f>
        <v/>
      </c>
      <c r="Q29" s="873" t="n"/>
      <c r="R29" s="873" t="n"/>
      <c r="S29" s="873" t="n"/>
      <c r="T29" s="873" t="n"/>
    </row>
    <row r="30">
      <c r="A30" s="991" t="inlineStr">
        <is>
          <t>VD047</t>
        </is>
      </c>
      <c r="B30" s="994" t="inlineStr">
        <is>
          <t>CAO SU VIET</t>
        </is>
      </c>
      <c r="C30" s="494" t="inlineStr">
        <is>
          <t>Số bản vẽ</t>
        </is>
      </c>
      <c r="D30" s="576" t="n">
        <v>0</v>
      </c>
      <c r="E30" s="322" t="n">
        <v>0</v>
      </c>
      <c r="F30" s="576" t="n">
        <v>0</v>
      </c>
      <c r="G30" s="576" t="n"/>
      <c r="H30" s="576" t="n"/>
      <c r="I30" s="576" t="n"/>
      <c r="J30" s="576" t="n"/>
      <c r="K30" s="576" t="n"/>
      <c r="L30" s="576" t="n"/>
      <c r="M30" s="576" t="n"/>
      <c r="N30" s="576" t="n"/>
      <c r="O30" s="319" t="n"/>
      <c r="P30" s="228">
        <f>SUM(D30:O30)</f>
        <v/>
      </c>
      <c r="Q30" s="873" t="n"/>
      <c r="R30" s="873" t="n"/>
      <c r="S30" s="873" t="n"/>
      <c r="T30" s="873" t="n"/>
    </row>
    <row r="31">
      <c r="A31" s="1189" t="n"/>
      <c r="B31" s="1170" t="n"/>
      <c r="C31" s="205" t="inlineStr">
        <is>
          <t>Số phế phẩm</t>
        </is>
      </c>
      <c r="D31" s="614" t="n">
        <v>0</v>
      </c>
      <c r="E31" s="306" t="n">
        <v>0</v>
      </c>
      <c r="F31" s="614" t="n">
        <v>0</v>
      </c>
      <c r="G31" s="614" t="n"/>
      <c r="H31" s="614" t="n"/>
      <c r="I31" s="614" t="n"/>
      <c r="J31" s="614" t="n"/>
      <c r="K31" s="614" t="n"/>
      <c r="L31" s="614" t="n"/>
      <c r="M31" s="614" t="n"/>
      <c r="N31" s="614" t="n"/>
      <c r="O31" s="307" t="n"/>
      <c r="P31" s="218">
        <f>SUM(D31:O31)</f>
        <v/>
      </c>
      <c r="Q31" s="873" t="n"/>
      <c r="R31" s="873" t="n"/>
      <c r="S31" s="873" t="n"/>
      <c r="T31" s="873" t="n"/>
    </row>
    <row r="32" ht="15" customHeight="1" s="1062" thickBot="1">
      <c r="A32" s="1190" t="n"/>
      <c r="B32" s="1170" t="n"/>
      <c r="C32" s="219" t="inlineStr">
        <is>
          <t>Tỷ lệ phế phẩm</t>
        </is>
      </c>
      <c r="D32" s="308">
        <f>D31/D30</f>
        <v/>
      </c>
      <c r="E32" s="308">
        <f>E31/E30</f>
        <v/>
      </c>
      <c r="F32" s="308">
        <f>F31/F30</f>
        <v/>
      </c>
      <c r="G32" s="308">
        <f>G31/G30</f>
        <v/>
      </c>
      <c r="H32" s="308">
        <f>H31/H30</f>
        <v/>
      </c>
      <c r="I32" s="308">
        <f>I31/I30</f>
        <v/>
      </c>
      <c r="J32" s="308">
        <f>J31/J30</f>
        <v/>
      </c>
      <c r="K32" s="308">
        <f>K31/K30</f>
        <v/>
      </c>
      <c r="L32" s="308">
        <f>L31/L30</f>
        <v/>
      </c>
      <c r="M32" s="308">
        <f>M31/M30</f>
        <v/>
      </c>
      <c r="N32" s="308">
        <f>N31/N30</f>
        <v/>
      </c>
      <c r="O32" s="309">
        <f>O31/O30</f>
        <v/>
      </c>
      <c r="P32" s="321">
        <f>P31/P30</f>
        <v/>
      </c>
      <c r="Q32" s="873" t="n"/>
      <c r="R32" s="873" t="n"/>
      <c r="S32" s="873" t="n"/>
      <c r="T32" s="873" t="n"/>
    </row>
    <row r="33">
      <c r="A33" s="995" t="inlineStr">
        <is>
          <t>VD392</t>
        </is>
      </c>
      <c r="B33" s="1191" t="inlineStr">
        <is>
          <t>VINATECH</t>
        </is>
      </c>
      <c r="C33" s="494" t="inlineStr">
        <is>
          <t>Số bản vẽ</t>
        </is>
      </c>
      <c r="D33" s="576" t="n">
        <v>0</v>
      </c>
      <c r="E33" s="322" t="n">
        <v>0</v>
      </c>
      <c r="F33" s="322" t="n">
        <v>0</v>
      </c>
      <c r="G33" s="322" t="n"/>
      <c r="H33" s="322" t="n"/>
      <c r="I33" s="322" t="n"/>
      <c r="J33" s="576" t="n"/>
      <c r="K33" s="576" t="n"/>
      <c r="L33" s="576" t="n"/>
      <c r="M33" s="576" t="n"/>
      <c r="N33" s="576" t="n"/>
      <c r="O33" s="319" t="n"/>
      <c r="P33" s="228">
        <f>SUM(D33:O33)</f>
        <v/>
      </c>
      <c r="Q33" s="873" t="n"/>
      <c r="R33" s="873" t="n"/>
      <c r="S33" s="873" t="n"/>
      <c r="T33" s="873" t="n"/>
    </row>
    <row r="34">
      <c r="A34" s="1189" t="n"/>
      <c r="B34" s="1170" t="n"/>
      <c r="C34" s="205" t="inlineStr">
        <is>
          <t>Số phế phẩm</t>
        </is>
      </c>
      <c r="D34" s="614" t="n">
        <v>0</v>
      </c>
      <c r="E34" s="306" t="n">
        <v>0</v>
      </c>
      <c r="F34" s="306" t="n">
        <v>0</v>
      </c>
      <c r="G34" s="306" t="n"/>
      <c r="H34" s="306" t="n"/>
      <c r="I34" s="306" t="n"/>
      <c r="J34" s="614" t="n"/>
      <c r="K34" s="614" t="n"/>
      <c r="L34" s="614" t="n"/>
      <c r="M34" s="614" t="n"/>
      <c r="N34" s="614" t="n"/>
      <c r="O34" s="307" t="n"/>
      <c r="P34" s="218">
        <f>SUM(D34:O34)</f>
        <v/>
      </c>
      <c r="Q34" s="873" t="n"/>
      <c r="R34" s="873" t="n"/>
      <c r="S34" s="873" t="n"/>
      <c r="T34" s="873" t="n"/>
    </row>
    <row r="35" ht="15" customHeight="1" s="1062" thickBot="1">
      <c r="A35" s="1190" t="n"/>
      <c r="B35" s="1174" t="n"/>
      <c r="C35" s="219" t="inlineStr">
        <is>
          <t>Tỷ lệ phế phẩm</t>
        </is>
      </c>
      <c r="D35" s="308">
        <f>D34/D33</f>
        <v/>
      </c>
      <c r="E35" s="308">
        <f>E34/E33</f>
        <v/>
      </c>
      <c r="F35" s="308">
        <f>F34/F33</f>
        <v/>
      </c>
      <c r="G35" s="308">
        <f>G34/G33</f>
        <v/>
      </c>
      <c r="H35" s="308">
        <f>H34/H33</f>
        <v/>
      </c>
      <c r="I35" s="308">
        <f>I34/I33</f>
        <v/>
      </c>
      <c r="J35" s="308">
        <f>J34/J33</f>
        <v/>
      </c>
      <c r="K35" s="308">
        <f>K34/K33</f>
        <v/>
      </c>
      <c r="L35" s="308">
        <f>L34/L33</f>
        <v/>
      </c>
      <c r="M35" s="308">
        <f>M34/M33</f>
        <v/>
      </c>
      <c r="N35" s="308">
        <f>N34/N33</f>
        <v/>
      </c>
      <c r="O35" s="309">
        <f>O34/O33</f>
        <v/>
      </c>
      <c r="P35" s="321">
        <f>P34/P33</f>
        <v/>
      </c>
      <c r="Q35" s="873" t="n"/>
      <c r="R35" s="873" t="n"/>
      <c r="S35" s="873" t="n"/>
      <c r="T35" s="873" t="n"/>
    </row>
    <row r="36">
      <c r="A36" s="991" t="inlineStr">
        <is>
          <t>VD069</t>
        </is>
      </c>
      <c r="B36" s="994" t="inlineStr">
        <is>
          <t>KA SHIN</t>
        </is>
      </c>
      <c r="C36" s="494" t="inlineStr">
        <is>
          <t>Số bản vẽ</t>
        </is>
      </c>
      <c r="D36" s="576" t="n">
        <v>14</v>
      </c>
      <c r="E36" s="576" t="n">
        <v>0</v>
      </c>
      <c r="F36" s="576" t="n">
        <v>29</v>
      </c>
      <c r="G36" s="576" t="n"/>
      <c r="H36" s="614" t="n"/>
      <c r="I36" s="576" t="n"/>
      <c r="J36" s="576" t="n"/>
      <c r="K36" s="576" t="n"/>
      <c r="L36" s="576" t="n"/>
      <c r="M36" s="576" t="n"/>
      <c r="N36" s="576" t="n"/>
      <c r="O36" s="319" t="n"/>
      <c r="P36" s="228">
        <f>SUM(D36:O36)</f>
        <v/>
      </c>
      <c r="Q36" s="873" t="n"/>
      <c r="R36" s="873" t="n"/>
      <c r="S36" s="873" t="n"/>
      <c r="T36" s="873" t="n"/>
    </row>
    <row r="37">
      <c r="A37" s="1189" t="n"/>
      <c r="B37" s="1170" t="n"/>
      <c r="C37" s="205" t="inlineStr">
        <is>
          <t>Số phế phẩm</t>
        </is>
      </c>
      <c r="D37" s="614" t="n">
        <v>0</v>
      </c>
      <c r="E37" s="614" t="n">
        <v>0</v>
      </c>
      <c r="F37" s="614" t="n">
        <v>0</v>
      </c>
      <c r="G37" s="614" t="n"/>
      <c r="H37" s="714" t="n"/>
      <c r="I37" s="614" t="n"/>
      <c r="J37" s="614" t="n"/>
      <c r="K37" s="614" t="n"/>
      <c r="L37" s="614" t="n"/>
      <c r="M37" s="614" t="n"/>
      <c r="N37" s="614" t="n"/>
      <c r="O37" s="307" t="n"/>
      <c r="P37" s="218">
        <f>SUM(D37:O37)</f>
        <v/>
      </c>
      <c r="Q37" s="873" t="n"/>
      <c r="R37" s="873" t="n"/>
      <c r="S37" s="873" t="n"/>
      <c r="T37" s="873" t="n"/>
    </row>
    <row r="38" ht="15" customHeight="1" s="1062" thickBot="1">
      <c r="A38" s="1190" t="n"/>
      <c r="B38" s="1170" t="n"/>
      <c r="C38" s="219" t="inlineStr">
        <is>
          <t>Tỷ lệ phế phẩm</t>
        </is>
      </c>
      <c r="D38" s="308">
        <f>D37/D36</f>
        <v/>
      </c>
      <c r="E38" s="308">
        <f>E37/E36</f>
        <v/>
      </c>
      <c r="F38" s="308">
        <f>F37/F36</f>
        <v/>
      </c>
      <c r="G38" s="308">
        <f>G37/G36</f>
        <v/>
      </c>
      <c r="H38" s="308">
        <f>H37/H36</f>
        <v/>
      </c>
      <c r="I38" s="308">
        <f>I37/I36</f>
        <v/>
      </c>
      <c r="J38" s="308">
        <f>J37/J36</f>
        <v/>
      </c>
      <c r="K38" s="308">
        <f>K37/K36</f>
        <v/>
      </c>
      <c r="L38" s="308">
        <f>L37/L36</f>
        <v/>
      </c>
      <c r="M38" s="308">
        <f>M37/M36</f>
        <v/>
      </c>
      <c r="N38" s="308">
        <f>N37/N36</f>
        <v/>
      </c>
      <c r="O38" s="309">
        <f>O37/O36</f>
        <v/>
      </c>
      <c r="P38" s="321">
        <f>P37/P36</f>
        <v/>
      </c>
      <c r="Q38" s="873" t="n"/>
      <c r="R38" s="873" t="n"/>
      <c r="S38" s="873" t="n"/>
      <c r="T38" s="873" t="n"/>
    </row>
    <row r="39">
      <c r="A39" s="995" t="inlineStr">
        <is>
          <t>VD053</t>
        </is>
      </c>
      <c r="B39" s="1191" t="inlineStr">
        <is>
          <t>MINH THINH LOI</t>
        </is>
      </c>
      <c r="C39" s="494" t="inlineStr">
        <is>
          <t>Số bản vẽ</t>
        </is>
      </c>
      <c r="D39" s="576" t="n">
        <v>16</v>
      </c>
      <c r="E39" s="576" t="n">
        <v>3</v>
      </c>
      <c r="F39" s="576" t="n">
        <v>21</v>
      </c>
      <c r="G39" s="576" t="n"/>
      <c r="H39" s="576" t="n"/>
      <c r="I39" s="576" t="n"/>
      <c r="J39" s="576" t="n"/>
      <c r="K39" s="576" t="n"/>
      <c r="L39" s="576" t="n"/>
      <c r="M39" s="576" t="n"/>
      <c r="N39" s="576" t="n"/>
      <c r="O39" s="319" t="n"/>
      <c r="P39" s="228">
        <f>SUM(D39:O39)</f>
        <v/>
      </c>
      <c r="Q39" s="873" t="n"/>
      <c r="R39" s="873" t="n"/>
      <c r="S39" s="873" t="n"/>
      <c r="T39" s="873" t="n"/>
    </row>
    <row r="40">
      <c r="A40" s="1189" t="n"/>
      <c r="B40" s="1170" t="n"/>
      <c r="C40" s="205" t="inlineStr">
        <is>
          <t>Số phế phẩm</t>
        </is>
      </c>
      <c r="D40" s="614" t="n">
        <v>0</v>
      </c>
      <c r="E40" s="614" t="n">
        <v>0</v>
      </c>
      <c r="F40" s="614" t="n">
        <v>0</v>
      </c>
      <c r="G40" s="614" t="n"/>
      <c r="H40" s="614" t="n"/>
      <c r="I40" s="614" t="n"/>
      <c r="J40" s="614" t="n"/>
      <c r="K40" s="614" t="n"/>
      <c r="L40" s="614" t="n"/>
      <c r="M40" s="614" t="n"/>
      <c r="N40" s="614" t="n"/>
      <c r="O40" s="307" t="n"/>
      <c r="P40" s="218">
        <f>SUM(D40:O40)</f>
        <v/>
      </c>
      <c r="Q40" s="873" t="n"/>
      <c r="R40" s="873" t="n"/>
      <c r="S40" s="873" t="n"/>
      <c r="T40" s="873" t="n"/>
    </row>
    <row r="41" ht="15" customHeight="1" s="1062" thickBot="1">
      <c r="A41" s="1190" t="n"/>
      <c r="B41" s="1174" t="n"/>
      <c r="C41" s="219" t="inlineStr">
        <is>
          <t>Tỷ lệ phế phẩm</t>
        </is>
      </c>
      <c r="D41" s="308">
        <f>D40/D39</f>
        <v/>
      </c>
      <c r="E41" s="308">
        <f>E40/E39</f>
        <v/>
      </c>
      <c r="F41" s="308">
        <f>F40/F39</f>
        <v/>
      </c>
      <c r="G41" s="308">
        <f>G40/G39</f>
        <v/>
      </c>
      <c r="H41" s="308">
        <f>H40/H39</f>
        <v/>
      </c>
      <c r="I41" s="308">
        <f>I40/I39</f>
        <v/>
      </c>
      <c r="J41" s="308">
        <f>J40/J39</f>
        <v/>
      </c>
      <c r="K41" s="308">
        <f>K40/K39</f>
        <v/>
      </c>
      <c r="L41" s="308">
        <f>L40/L39</f>
        <v/>
      </c>
      <c r="M41" s="308">
        <f>M40/M39</f>
        <v/>
      </c>
      <c r="N41" s="308">
        <f>N40/N39</f>
        <v/>
      </c>
      <c r="O41" s="309">
        <f>O40/O39</f>
        <v/>
      </c>
      <c r="P41" s="321">
        <f>P40/P39</f>
        <v/>
      </c>
      <c r="Q41" s="873" t="n"/>
      <c r="R41" s="873" t="n"/>
      <c r="S41" s="873" t="n"/>
      <c r="T41" s="873" t="n"/>
    </row>
    <row r="42">
      <c r="A42" s="995" t="inlineStr">
        <is>
          <t>VD061</t>
        </is>
      </c>
      <c r="B42" s="1191" t="inlineStr">
        <is>
          <t>KIWA</t>
        </is>
      </c>
      <c r="C42" s="494" t="inlineStr">
        <is>
          <t>Số bản vẽ</t>
        </is>
      </c>
      <c r="D42" s="576" t="n">
        <v>103</v>
      </c>
      <c r="E42" s="322" t="n">
        <v>59</v>
      </c>
      <c r="F42" s="576" t="n">
        <v>64</v>
      </c>
      <c r="G42" s="576" t="n"/>
      <c r="H42" s="576" t="n"/>
      <c r="I42" s="576" t="n"/>
      <c r="J42" s="576" t="n"/>
      <c r="K42" s="576" t="n"/>
      <c r="L42" s="576" t="n"/>
      <c r="M42" s="576" t="n"/>
      <c r="N42" s="576" t="n"/>
      <c r="O42" s="319" t="n"/>
      <c r="P42" s="228">
        <f>SUM(D42:O42)</f>
        <v/>
      </c>
      <c r="Q42" s="873" t="n"/>
      <c r="R42" s="873" t="n"/>
      <c r="S42" s="873" t="n"/>
      <c r="T42" s="873" t="n"/>
    </row>
    <row r="43">
      <c r="A43" s="1189" t="n"/>
      <c r="B43" s="1170" t="n"/>
      <c r="C43" s="205" t="inlineStr">
        <is>
          <t>Số phế phẩm</t>
        </is>
      </c>
      <c r="D43" s="614" t="n">
        <v>0</v>
      </c>
      <c r="E43" s="306" t="n">
        <v>1</v>
      </c>
      <c r="F43" s="614" t="n">
        <v>4</v>
      </c>
      <c r="G43" s="614" t="n"/>
      <c r="H43" s="614" t="n"/>
      <c r="I43" s="614" t="n"/>
      <c r="J43" s="614" t="n"/>
      <c r="K43" s="614" t="n"/>
      <c r="L43" s="614" t="n"/>
      <c r="M43" s="614" t="n"/>
      <c r="N43" s="614" t="n"/>
      <c r="O43" s="307" t="n"/>
      <c r="P43" s="218">
        <f>SUM(D43:O43)</f>
        <v/>
      </c>
      <c r="Q43" s="873" t="n"/>
      <c r="R43" s="873" t="n"/>
      <c r="S43" s="873" t="n"/>
      <c r="T43" s="873" t="n"/>
    </row>
    <row r="44" ht="15" customHeight="1" s="1062" thickBot="1">
      <c r="A44" s="1190" t="n"/>
      <c r="B44" s="1174" t="n"/>
      <c r="C44" s="219" t="inlineStr">
        <is>
          <t>Tỷ lệ phế phẩm</t>
        </is>
      </c>
      <c r="D44" s="308">
        <f>D43/D42</f>
        <v/>
      </c>
      <c r="E44" s="308">
        <f>E43/E42</f>
        <v/>
      </c>
      <c r="F44" s="308">
        <f>F43/F42</f>
        <v/>
      </c>
      <c r="G44" s="308">
        <f>G43/G42</f>
        <v/>
      </c>
      <c r="H44" s="308">
        <f>H43/H42</f>
        <v/>
      </c>
      <c r="I44" s="308">
        <f>I43/I42</f>
        <v/>
      </c>
      <c r="J44" s="308">
        <f>J43/J42</f>
        <v/>
      </c>
      <c r="K44" s="308">
        <f>K43/K42</f>
        <v/>
      </c>
      <c r="L44" s="308">
        <f>L43/L42</f>
        <v/>
      </c>
      <c r="M44" s="308">
        <f>M43/M42</f>
        <v/>
      </c>
      <c r="N44" s="308">
        <f>N43/N42</f>
        <v/>
      </c>
      <c r="O44" s="309">
        <f>O43/O42</f>
        <v/>
      </c>
      <c r="P44" s="321">
        <f>P43/P42</f>
        <v/>
      </c>
      <c r="Q44" s="873" t="n"/>
      <c r="R44" s="873" t="n"/>
      <c r="S44" s="873" t="n"/>
      <c r="T44" s="873" t="n"/>
    </row>
    <row r="45">
      <c r="A45" s="995" t="inlineStr">
        <is>
          <t>VD064</t>
        </is>
      </c>
      <c r="B45" s="994" t="inlineStr">
        <is>
          <t>LE HOANG ANH</t>
        </is>
      </c>
      <c r="C45" s="494" t="inlineStr">
        <is>
          <t>Số bản vẽ</t>
        </is>
      </c>
      <c r="D45" s="576" t="n">
        <v>142</v>
      </c>
      <c r="E45" s="322" t="n">
        <v>428</v>
      </c>
      <c r="F45" s="576" t="n">
        <v>178</v>
      </c>
      <c r="G45" s="576" t="n"/>
      <c r="H45" s="576" t="n"/>
      <c r="I45" s="576" t="n"/>
      <c r="J45" s="576" t="n"/>
      <c r="K45" s="576" t="n"/>
      <c r="L45" s="576" t="n"/>
      <c r="M45" s="576" t="n"/>
      <c r="N45" s="576" t="n"/>
      <c r="O45" s="319" t="n"/>
      <c r="P45" s="228">
        <f>SUM(D45:O45)</f>
        <v/>
      </c>
      <c r="Q45" s="873" t="n"/>
      <c r="R45" s="873" t="n"/>
      <c r="S45" s="873" t="n"/>
      <c r="T45" s="873" t="n"/>
    </row>
    <row r="46">
      <c r="A46" s="1189" t="n"/>
      <c r="B46" s="1170" t="n"/>
      <c r="C46" s="205" t="inlineStr">
        <is>
          <t>Số phế phẩm</t>
        </is>
      </c>
      <c r="D46" s="614" t="n">
        <v>0</v>
      </c>
      <c r="E46" s="306" t="n">
        <v>0</v>
      </c>
      <c r="F46" s="614" t="n">
        <v>0</v>
      </c>
      <c r="G46" s="614" t="n"/>
      <c r="H46" s="614" t="n"/>
      <c r="I46" s="614" t="n"/>
      <c r="J46" s="614" t="n"/>
      <c r="K46" s="614" t="n"/>
      <c r="L46" s="614" t="n"/>
      <c r="M46" s="614" t="n"/>
      <c r="N46" s="614" t="n"/>
      <c r="O46" s="307" t="n"/>
      <c r="P46" s="218">
        <f>SUM(D46:O46)</f>
        <v/>
      </c>
      <c r="Q46" s="873" t="n"/>
      <c r="R46" s="873" t="n"/>
      <c r="S46" s="873" t="n"/>
      <c r="T46" s="873" t="n"/>
    </row>
    <row r="47" ht="15" customHeight="1" s="1062" thickBot="1">
      <c r="A47" s="1190" t="n"/>
      <c r="B47" s="1170" t="n"/>
      <c r="C47" s="219" t="inlineStr">
        <is>
          <t>Tỷ lệ phế phẩm</t>
        </is>
      </c>
      <c r="D47" s="308">
        <f>D46/D45</f>
        <v/>
      </c>
      <c r="E47" s="308">
        <f>E46/E45</f>
        <v/>
      </c>
      <c r="F47" s="308">
        <f>F46/F45</f>
        <v/>
      </c>
      <c r="G47" s="308">
        <f>G46/G45</f>
        <v/>
      </c>
      <c r="H47" s="308">
        <f>H46/H45</f>
        <v/>
      </c>
      <c r="I47" s="308">
        <f>I46/I45</f>
        <v/>
      </c>
      <c r="J47" s="308">
        <f>J46/J45</f>
        <v/>
      </c>
      <c r="K47" s="308">
        <f>K46/K45</f>
        <v/>
      </c>
      <c r="L47" s="308">
        <f>L46/L45</f>
        <v/>
      </c>
      <c r="M47" s="308">
        <f>M46/M45</f>
        <v/>
      </c>
      <c r="N47" s="308">
        <f>N46/N45</f>
        <v/>
      </c>
      <c r="O47" s="309">
        <f>O46/O45</f>
        <v/>
      </c>
      <c r="P47" s="321">
        <f>P46/P45</f>
        <v/>
      </c>
      <c r="Q47" s="873" t="n"/>
      <c r="R47" s="873" t="n"/>
      <c r="S47" s="873" t="n"/>
      <c r="T47" s="873" t="n"/>
    </row>
    <row r="48">
      <c r="A48" s="995" t="inlineStr">
        <is>
          <t>VD065</t>
        </is>
      </c>
      <c r="B48" s="1191" t="inlineStr">
        <is>
          <t>ISHISEI</t>
        </is>
      </c>
      <c r="C48" s="494" t="inlineStr">
        <is>
          <t>Số bản vẽ</t>
        </is>
      </c>
      <c r="D48" s="576" t="n">
        <v>31</v>
      </c>
      <c r="E48" s="322" t="n">
        <v>44</v>
      </c>
      <c r="F48" s="576" t="n">
        <v>64</v>
      </c>
      <c r="G48" s="576" t="n"/>
      <c r="H48" s="576" t="n"/>
      <c r="I48" s="576" t="n"/>
      <c r="J48" s="576" t="n"/>
      <c r="K48" s="576" t="n"/>
      <c r="L48" s="576" t="n"/>
      <c r="M48" s="576" t="n"/>
      <c r="N48" s="576" t="n"/>
      <c r="O48" s="319" t="n"/>
      <c r="P48" s="228">
        <f>SUM(D48:O48)</f>
        <v/>
      </c>
      <c r="Q48" s="873" t="n"/>
      <c r="R48" s="873" t="n"/>
      <c r="S48" s="873" t="n"/>
      <c r="T48" s="873" t="n"/>
    </row>
    <row r="49">
      <c r="A49" s="1189" t="n"/>
      <c r="B49" s="1170" t="n"/>
      <c r="C49" s="205" t="inlineStr">
        <is>
          <t>Số phế phẩm</t>
        </is>
      </c>
      <c r="D49" s="614" t="n">
        <v>0</v>
      </c>
      <c r="E49" s="306" t="n">
        <v>0</v>
      </c>
      <c r="F49" s="614" t="n">
        <v>0</v>
      </c>
      <c r="G49" s="614" t="n"/>
      <c r="H49" s="614" t="n"/>
      <c r="I49" s="614" t="n"/>
      <c r="J49" s="614" t="n"/>
      <c r="K49" s="614" t="n"/>
      <c r="L49" s="614" t="n"/>
      <c r="M49" s="614" t="n"/>
      <c r="N49" s="614" t="n"/>
      <c r="O49" s="307" t="n"/>
      <c r="P49" s="218">
        <f>SUM(D49:O49)</f>
        <v/>
      </c>
      <c r="Q49" s="873" t="n"/>
      <c r="R49" s="873" t="n"/>
      <c r="S49" s="873" t="n"/>
      <c r="T49" s="873" t="n"/>
    </row>
    <row r="50" ht="15" customHeight="1" s="1062" thickBot="1">
      <c r="A50" s="1190" t="n"/>
      <c r="B50" s="1174" t="n"/>
      <c r="C50" s="219" t="inlineStr">
        <is>
          <t>Tỷ lệ phế phẩm</t>
        </is>
      </c>
      <c r="D50" s="308">
        <f>D49/D48</f>
        <v/>
      </c>
      <c r="E50" s="308">
        <f>E49/E48</f>
        <v/>
      </c>
      <c r="F50" s="308">
        <f>F49/F48</f>
        <v/>
      </c>
      <c r="G50" s="308">
        <f>G49/G48</f>
        <v/>
      </c>
      <c r="H50" s="308">
        <f>H49/H48</f>
        <v/>
      </c>
      <c r="I50" s="308">
        <f>I49/I48</f>
        <v/>
      </c>
      <c r="J50" s="308">
        <f>J49/J48</f>
        <v/>
      </c>
      <c r="K50" s="308">
        <f>K49/K48</f>
        <v/>
      </c>
      <c r="L50" s="308">
        <f>L49/L48</f>
        <v/>
      </c>
      <c r="M50" s="308">
        <f>M49/M48</f>
        <v/>
      </c>
      <c r="N50" s="308">
        <f>N49/N48</f>
        <v/>
      </c>
      <c r="O50" s="309">
        <f>O49/O48</f>
        <v/>
      </c>
      <c r="P50" s="321">
        <f>P49/P48</f>
        <v/>
      </c>
      <c r="Q50" s="873" t="n"/>
      <c r="R50" s="873" t="n"/>
      <c r="S50" s="873" t="n"/>
      <c r="T50" s="873" t="n"/>
    </row>
    <row r="51">
      <c r="A51" s="991" t="inlineStr">
        <is>
          <t>VD377</t>
        </is>
      </c>
      <c r="B51" s="1191" t="inlineStr">
        <is>
          <t>TRUNG PHAT</t>
        </is>
      </c>
      <c r="C51" s="494" t="inlineStr">
        <is>
          <t>Số bản vẽ</t>
        </is>
      </c>
      <c r="D51" s="576" t="n">
        <v>376</v>
      </c>
      <c r="E51" s="576" t="n">
        <v>246</v>
      </c>
      <c r="F51" s="576" t="n">
        <v>419</v>
      </c>
      <c r="G51" s="576" t="n"/>
      <c r="H51" s="576" t="n"/>
      <c r="I51" s="576" t="n"/>
      <c r="J51" s="576" t="n"/>
      <c r="K51" s="576" t="n"/>
      <c r="L51" s="576" t="n"/>
      <c r="M51" s="576" t="n"/>
      <c r="N51" s="576" t="n"/>
      <c r="O51" s="319" t="n"/>
      <c r="P51" s="228">
        <f>SUM(D51:O51)</f>
        <v/>
      </c>
      <c r="Q51" s="873" t="n"/>
      <c r="R51" s="873" t="n"/>
      <c r="S51" s="873" t="n"/>
      <c r="T51" s="873" t="n"/>
    </row>
    <row r="52">
      <c r="A52" s="1189" t="n"/>
      <c r="B52" s="1170" t="n"/>
      <c r="C52" s="205" t="inlineStr">
        <is>
          <t>Số phế phẩm</t>
        </is>
      </c>
      <c r="D52" s="614" t="n">
        <v>0</v>
      </c>
      <c r="E52" s="614" t="n">
        <v>0</v>
      </c>
      <c r="F52" s="614" t="n">
        <v>0</v>
      </c>
      <c r="G52" s="614" t="n"/>
      <c r="H52" s="614" t="n"/>
      <c r="I52" s="614" t="n"/>
      <c r="J52" s="614" t="n"/>
      <c r="K52" s="614" t="n"/>
      <c r="L52" s="614" t="n"/>
      <c r="M52" s="614" t="n"/>
      <c r="N52" s="614" t="n"/>
      <c r="O52" s="307" t="n"/>
      <c r="P52" s="218">
        <f>SUM(D52:O52)</f>
        <v/>
      </c>
      <c r="Q52" s="873" t="n"/>
      <c r="R52" s="873" t="n"/>
      <c r="S52" s="873" t="n"/>
      <c r="T52" s="873" t="n"/>
    </row>
    <row r="53" ht="15" customHeight="1" s="1062" thickBot="1">
      <c r="A53" s="1190" t="n"/>
      <c r="B53" s="1174" t="n"/>
      <c r="C53" s="219" t="inlineStr">
        <is>
          <t>Tỷ lệ phế phẩm</t>
        </is>
      </c>
      <c r="D53" s="822">
        <f>D52/D51</f>
        <v/>
      </c>
      <c r="E53" s="822">
        <f>E52/E51</f>
        <v/>
      </c>
      <c r="F53" s="822">
        <f>F52/F51</f>
        <v/>
      </c>
      <c r="G53" s="822">
        <f>G52/G51</f>
        <v/>
      </c>
      <c r="H53" s="822">
        <f>H52/H51</f>
        <v/>
      </c>
      <c r="I53" s="822">
        <f>I52/I51</f>
        <v/>
      </c>
      <c r="J53" s="822">
        <f>J52/J51</f>
        <v/>
      </c>
      <c r="K53" s="822">
        <f>K52/K51</f>
        <v/>
      </c>
      <c r="L53" s="822">
        <f>L52/L51</f>
        <v/>
      </c>
      <c r="M53" s="822">
        <f>M52/M51</f>
        <v/>
      </c>
      <c r="N53" s="822">
        <f>N52/N51</f>
        <v/>
      </c>
      <c r="O53" s="326">
        <f>O52/O51</f>
        <v/>
      </c>
      <c r="P53" s="321">
        <f>P52/P51</f>
        <v/>
      </c>
      <c r="Q53" s="873" t="n"/>
      <c r="R53" s="873" t="n"/>
      <c r="S53" s="873" t="n"/>
      <c r="T53" s="873" t="n"/>
    </row>
    <row r="54">
      <c r="A54" s="995" t="inlineStr">
        <is>
          <t>VD362</t>
        </is>
      </c>
      <c r="B54" s="994" t="inlineStr">
        <is>
          <t>AN MI</t>
        </is>
      </c>
      <c r="C54" s="494" t="inlineStr">
        <is>
          <t>Số bản vẽ</t>
        </is>
      </c>
      <c r="D54" s="576" t="n">
        <v>0</v>
      </c>
      <c r="E54" s="322" t="n">
        <v>0</v>
      </c>
      <c r="F54" s="576" t="n">
        <v>4</v>
      </c>
      <c r="G54" s="576" t="n"/>
      <c r="H54" s="576" t="n"/>
      <c r="I54" s="576" t="n"/>
      <c r="J54" s="576" t="n"/>
      <c r="K54" s="576" t="n"/>
      <c r="L54" s="576" t="n"/>
      <c r="M54" s="576" t="n"/>
      <c r="N54" s="576" t="n"/>
      <c r="O54" s="319" t="n"/>
      <c r="P54" s="228">
        <f>SUM(D54:O54)</f>
        <v/>
      </c>
      <c r="Q54" s="873" t="n"/>
      <c r="R54" s="873" t="n"/>
      <c r="S54" s="873" t="n"/>
      <c r="T54" s="873" t="n"/>
    </row>
    <row r="55">
      <c r="A55" s="1189" t="n"/>
      <c r="B55" s="1170" t="n"/>
      <c r="C55" s="205" t="inlineStr">
        <is>
          <t>Số phế phẩm</t>
        </is>
      </c>
      <c r="D55" s="614" t="n">
        <v>0</v>
      </c>
      <c r="E55" s="306" t="n">
        <v>0</v>
      </c>
      <c r="F55" s="614" t="n">
        <v>0</v>
      </c>
      <c r="G55" s="614" t="n"/>
      <c r="H55" s="614" t="n"/>
      <c r="I55" s="614" t="n"/>
      <c r="J55" s="614" t="n"/>
      <c r="K55" s="614" t="n"/>
      <c r="L55" s="614" t="n"/>
      <c r="M55" s="614" t="n"/>
      <c r="N55" s="614" t="n"/>
      <c r="O55" s="307" t="n"/>
      <c r="P55" s="218">
        <f>SUM(D55:O55)</f>
        <v/>
      </c>
      <c r="Q55" s="873" t="n"/>
      <c r="R55" s="873" t="n"/>
      <c r="S55" s="873" t="n"/>
      <c r="T55" s="873" t="n"/>
    </row>
    <row r="56" ht="15" customHeight="1" s="1062" thickBot="1">
      <c r="A56" s="1190" t="n"/>
      <c r="B56" s="1170" t="n"/>
      <c r="C56" s="219" t="inlineStr">
        <is>
          <t>Tỷ lệ phế phẩm</t>
        </is>
      </c>
      <c r="D56" s="308">
        <f>D55/D54</f>
        <v/>
      </c>
      <c r="E56" s="308">
        <f>E55/E54</f>
        <v/>
      </c>
      <c r="F56" s="308">
        <f>F55/F54</f>
        <v/>
      </c>
      <c r="G56" s="308">
        <f>G55/G54</f>
        <v/>
      </c>
      <c r="H56" s="308">
        <f>H55/H54</f>
        <v/>
      </c>
      <c r="I56" s="308">
        <f>I55/I54</f>
        <v/>
      </c>
      <c r="J56" s="308">
        <f>J55/J54</f>
        <v/>
      </c>
      <c r="K56" s="308">
        <f>K55/K54</f>
        <v/>
      </c>
      <c r="L56" s="308">
        <f>L55/L54</f>
        <v/>
      </c>
      <c r="M56" s="308">
        <f>M55/M54</f>
        <v/>
      </c>
      <c r="N56" s="308">
        <f>N55/N54</f>
        <v/>
      </c>
      <c r="O56" s="309">
        <f>O55/O54</f>
        <v/>
      </c>
      <c r="P56" s="321">
        <f>P55/P54</f>
        <v/>
      </c>
      <c r="Q56" s="873" t="n"/>
      <c r="R56" s="873" t="n"/>
      <c r="S56" s="873" t="n"/>
      <c r="T56" s="873" t="n"/>
    </row>
    <row r="57">
      <c r="A57" s="995" t="inlineStr">
        <is>
          <t>VD091</t>
        </is>
      </c>
      <c r="B57" s="1197" t="inlineStr">
        <is>
          <t>OSG</t>
        </is>
      </c>
      <c r="C57" s="494" t="inlineStr">
        <is>
          <t>Số bản vẽ</t>
        </is>
      </c>
      <c r="D57" s="576" t="n">
        <v>0</v>
      </c>
      <c r="E57" s="322" t="n">
        <v>4</v>
      </c>
      <c r="F57" s="576" t="n">
        <v>0</v>
      </c>
      <c r="G57" s="576" t="n"/>
      <c r="H57" s="576" t="n"/>
      <c r="I57" s="576" t="n"/>
      <c r="J57" s="576" t="n"/>
      <c r="K57" s="576" t="n"/>
      <c r="L57" s="576" t="n"/>
      <c r="M57" s="576" t="n"/>
      <c r="N57" s="576" t="n"/>
      <c r="O57" s="319" t="n"/>
      <c r="P57" s="228">
        <f>SUM(D57:O57)</f>
        <v/>
      </c>
      <c r="Q57" s="873" t="n"/>
      <c r="R57" s="873" t="n"/>
      <c r="S57" s="873" t="n"/>
      <c r="T57" s="873" t="n"/>
    </row>
    <row r="58">
      <c r="A58" s="1189" t="n"/>
      <c r="B58" s="1170" t="n"/>
      <c r="C58" s="205" t="inlineStr">
        <is>
          <t>Số phế phẩm</t>
        </is>
      </c>
      <c r="D58" s="614" t="n">
        <v>0</v>
      </c>
      <c r="E58" s="306" t="n">
        <v>0</v>
      </c>
      <c r="F58" s="614" t="n">
        <v>0</v>
      </c>
      <c r="G58" s="614" t="n"/>
      <c r="H58" s="614" t="n"/>
      <c r="I58" s="614" t="n"/>
      <c r="J58" s="614" t="n"/>
      <c r="K58" s="614" t="n"/>
      <c r="L58" s="614" t="n"/>
      <c r="M58" s="614" t="n"/>
      <c r="N58" s="614" t="n"/>
      <c r="O58" s="307" t="n"/>
      <c r="P58" s="218">
        <f>SUM(D58:O58)</f>
        <v/>
      </c>
      <c r="Q58" s="873" t="n"/>
      <c r="R58" s="873" t="n"/>
      <c r="S58" s="873" t="n"/>
      <c r="T58" s="873" t="n"/>
    </row>
    <row r="59" ht="15" customHeight="1" s="1062" thickBot="1">
      <c r="A59" s="1190" t="n"/>
      <c r="B59" s="1174" t="n"/>
      <c r="C59" s="219" t="inlineStr">
        <is>
          <t>Tỷ lệ phế phẩm</t>
        </is>
      </c>
      <c r="D59" s="308">
        <f>D58/D57</f>
        <v/>
      </c>
      <c r="E59" s="308">
        <f>E58/E57</f>
        <v/>
      </c>
      <c r="F59" s="308">
        <f>F58/F57</f>
        <v/>
      </c>
      <c r="G59" s="308">
        <f>G58/G57</f>
        <v/>
      </c>
      <c r="H59" s="308">
        <f>H58/H57</f>
        <v/>
      </c>
      <c r="I59" s="308">
        <f>I58/I57</f>
        <v/>
      </c>
      <c r="J59" s="308">
        <f>J58/J57</f>
        <v/>
      </c>
      <c r="K59" s="308">
        <f>K58/K57</f>
        <v/>
      </c>
      <c r="L59" s="308">
        <f>L58/L57</f>
        <v/>
      </c>
      <c r="M59" s="308">
        <f>M58/M57</f>
        <v/>
      </c>
      <c r="N59" s="308">
        <f>N58/N57</f>
        <v/>
      </c>
      <c r="O59" s="309">
        <f>O58/O57</f>
        <v/>
      </c>
      <c r="P59" s="321">
        <f>P58/P57</f>
        <v/>
      </c>
      <c r="Q59" s="873" t="n"/>
      <c r="R59" s="873" t="n"/>
      <c r="S59" s="873" t="n"/>
      <c r="T59" s="873" t="n"/>
    </row>
    <row r="60">
      <c r="A60" s="995" t="inlineStr">
        <is>
          <t>VD101</t>
        </is>
      </c>
      <c r="B60" s="1191" t="inlineStr">
        <is>
          <t>UWC</t>
        </is>
      </c>
      <c r="C60" s="494" t="inlineStr">
        <is>
          <t>Số bản vẽ</t>
        </is>
      </c>
      <c r="D60" s="576" t="n">
        <v>63</v>
      </c>
      <c r="E60" s="322" t="n">
        <v>25</v>
      </c>
      <c r="F60" s="576" t="n">
        <v>57</v>
      </c>
      <c r="G60" s="576" t="n"/>
      <c r="H60" s="576" t="n"/>
      <c r="I60" s="576" t="n"/>
      <c r="J60" s="576" t="n"/>
      <c r="K60" s="576" t="n"/>
      <c r="L60" s="576" t="n"/>
      <c r="M60" s="576" t="n"/>
      <c r="N60" s="576" t="n"/>
      <c r="O60" s="319" t="n"/>
      <c r="P60" s="228">
        <f>SUM(D60:O60)</f>
        <v/>
      </c>
      <c r="Q60" s="873" t="n"/>
      <c r="R60" s="873" t="n"/>
      <c r="S60" s="873" t="n"/>
      <c r="T60" s="873" t="n"/>
    </row>
    <row r="61">
      <c r="A61" s="1189" t="n"/>
      <c r="B61" s="1170" t="n"/>
      <c r="C61" s="205" t="inlineStr">
        <is>
          <t>Số phế phẩm</t>
        </is>
      </c>
      <c r="D61" s="614" t="n">
        <v>0</v>
      </c>
      <c r="E61" s="306" t="n">
        <v>0</v>
      </c>
      <c r="F61" s="614" t="n">
        <v>0</v>
      </c>
      <c r="G61" s="614" t="n"/>
      <c r="H61" s="614" t="n"/>
      <c r="I61" s="614" t="n"/>
      <c r="J61" s="614" t="n"/>
      <c r="K61" s="614" t="n"/>
      <c r="L61" s="614" t="n"/>
      <c r="M61" s="614" t="n"/>
      <c r="N61" s="614" t="n"/>
      <c r="O61" s="307" t="n"/>
      <c r="P61" s="218">
        <f>SUM(D61:O61)</f>
        <v/>
      </c>
      <c r="Q61" s="873" t="n"/>
      <c r="R61" s="873" t="n"/>
      <c r="S61" s="873" t="n"/>
      <c r="T61" s="873" t="n"/>
    </row>
    <row r="62" ht="15" customHeight="1" s="1062" thickBot="1">
      <c r="A62" s="1190" t="n"/>
      <c r="B62" s="1174" t="n"/>
      <c r="C62" s="219" t="inlineStr">
        <is>
          <t>Tỷ lệ phế phẩm</t>
        </is>
      </c>
      <c r="D62" s="308">
        <f>D61/D60</f>
        <v/>
      </c>
      <c r="E62" s="308">
        <f>E61/E60</f>
        <v/>
      </c>
      <c r="F62" s="308">
        <f>F61/F60</f>
        <v/>
      </c>
      <c r="G62" s="308">
        <f>G61/G60</f>
        <v/>
      </c>
      <c r="H62" s="308">
        <f>H61/H60</f>
        <v/>
      </c>
      <c r="I62" s="308">
        <f>I61/I60</f>
        <v/>
      </c>
      <c r="J62" s="308">
        <f>J61/J60</f>
        <v/>
      </c>
      <c r="K62" s="308">
        <f>K61/K60</f>
        <v/>
      </c>
      <c r="L62" s="308">
        <f>L61/L60</f>
        <v/>
      </c>
      <c r="M62" s="308">
        <f>M61/M60</f>
        <v/>
      </c>
      <c r="N62" s="308">
        <f>N61/N60</f>
        <v/>
      </c>
      <c r="O62" s="309">
        <f>O61/O60</f>
        <v/>
      </c>
      <c r="P62" s="321">
        <f>P61/P60</f>
        <v/>
      </c>
      <c r="Q62" s="873" t="n"/>
      <c r="R62" s="873" t="n"/>
      <c r="S62" s="873" t="n"/>
      <c r="T62" s="873" t="n"/>
    </row>
    <row r="63">
      <c r="A63" s="1193" t="inlineStr">
        <is>
          <t>VD208</t>
        </is>
      </c>
      <c r="B63" s="1191" t="inlineStr">
        <is>
          <t>A&amp;D</t>
        </is>
      </c>
      <c r="C63" s="494" t="inlineStr">
        <is>
          <t>Số bản vẽ</t>
        </is>
      </c>
      <c r="D63" s="576" t="n">
        <v>34</v>
      </c>
      <c r="E63" s="322" t="n">
        <v>26</v>
      </c>
      <c r="F63" s="576" t="n"/>
      <c r="G63" s="576" t="n"/>
      <c r="H63" s="576" t="n"/>
      <c r="I63" s="576" t="n"/>
      <c r="J63" s="576" t="n"/>
      <c r="K63" s="576" t="n"/>
      <c r="L63" s="576" t="n"/>
      <c r="M63" s="576" t="n"/>
      <c r="N63" s="576" t="n"/>
      <c r="O63" s="319" t="n"/>
      <c r="P63" s="228">
        <f>SUM(D63:O63)</f>
        <v/>
      </c>
      <c r="Q63" s="873" t="n"/>
      <c r="R63" s="873" t="n"/>
      <c r="S63" s="873" t="n"/>
      <c r="T63" s="873" t="n"/>
    </row>
    <row r="64">
      <c r="A64" s="1194" t="n"/>
      <c r="B64" s="1170" t="n"/>
      <c r="C64" s="205" t="inlineStr">
        <is>
          <t>Số phế phẩm</t>
        </is>
      </c>
      <c r="D64" s="614" t="n">
        <v>0</v>
      </c>
      <c r="E64" s="306" t="n">
        <v>0</v>
      </c>
      <c r="F64" s="614" t="n"/>
      <c r="G64" s="614" t="n"/>
      <c r="H64" s="614" t="n"/>
      <c r="I64" s="614" t="n"/>
      <c r="J64" s="614" t="n"/>
      <c r="K64" s="614" t="n"/>
      <c r="L64" s="614" t="n"/>
      <c r="M64" s="614" t="n"/>
      <c r="N64" s="614" t="n"/>
      <c r="O64" s="307" t="n"/>
      <c r="P64" s="218">
        <f>SUM(D64:O64)</f>
        <v/>
      </c>
      <c r="Q64" s="873" t="n"/>
      <c r="R64" s="873" t="n"/>
      <c r="S64" s="873" t="n"/>
      <c r="T64" s="873" t="n"/>
    </row>
    <row r="65" ht="15" customHeight="1" s="1062" thickBot="1">
      <c r="A65" s="1195" t="n"/>
      <c r="B65" s="1174" t="n"/>
      <c r="C65" s="219" t="inlineStr">
        <is>
          <t>Tỷ lệ phế phẩm</t>
        </is>
      </c>
      <c r="D65" s="308">
        <f>D64/D63</f>
        <v/>
      </c>
      <c r="E65" s="308">
        <f>E64/E63</f>
        <v/>
      </c>
      <c r="F65" s="308">
        <f>F64/F63</f>
        <v/>
      </c>
      <c r="G65" s="308">
        <f>G64/G63</f>
        <v/>
      </c>
      <c r="H65" s="308">
        <f>H64/H63</f>
        <v/>
      </c>
      <c r="I65" s="308">
        <f>I64/I63</f>
        <v/>
      </c>
      <c r="J65" s="308">
        <f>J64/J63</f>
        <v/>
      </c>
      <c r="K65" s="308">
        <f>K64/K63</f>
        <v/>
      </c>
      <c r="L65" s="308">
        <f>L64/L63</f>
        <v/>
      </c>
      <c r="M65" s="308">
        <f>M64/M63</f>
        <v/>
      </c>
      <c r="N65" s="308">
        <f>N64/N63</f>
        <v/>
      </c>
      <c r="O65" s="309">
        <f>O64/O63</f>
        <v/>
      </c>
      <c r="P65" s="321">
        <f>P64/P63</f>
        <v/>
      </c>
      <c r="Q65" s="873" t="n"/>
      <c r="R65" s="873" t="n"/>
      <c r="S65" s="873" t="n"/>
      <c r="T65" s="873" t="n"/>
    </row>
    <row r="66">
      <c r="A66" s="1193" t="inlineStr">
        <is>
          <t>VD230</t>
        </is>
      </c>
      <c r="B66" s="1191" t="inlineStr">
        <is>
          <t>SAKURA</t>
        </is>
      </c>
      <c r="C66" s="494" t="inlineStr">
        <is>
          <t>Số bản vẽ</t>
        </is>
      </c>
      <c r="D66" s="576" t="n">
        <v>0</v>
      </c>
      <c r="E66" s="322" t="n">
        <v>0</v>
      </c>
      <c r="F66" s="576" t="n">
        <v>0</v>
      </c>
      <c r="G66" s="576" t="n"/>
      <c r="H66" s="576" t="n"/>
      <c r="I66" s="576" t="n"/>
      <c r="J66" s="576" t="n"/>
      <c r="K66" s="576" t="n"/>
      <c r="L66" s="576" t="n"/>
      <c r="M66" s="576" t="n"/>
      <c r="N66" s="576" t="n"/>
      <c r="O66" s="319" t="n"/>
      <c r="P66" s="228">
        <f>SUM(D66:O66)</f>
        <v/>
      </c>
      <c r="Q66" s="873" t="n"/>
      <c r="R66" s="873" t="n"/>
      <c r="S66" s="873" t="n"/>
      <c r="T66" s="873" t="n"/>
    </row>
    <row r="67">
      <c r="A67" s="1194" t="n"/>
      <c r="B67" s="1170" t="n"/>
      <c r="C67" s="205" t="inlineStr">
        <is>
          <t>Số phế phẩm</t>
        </is>
      </c>
      <c r="D67" s="614" t="n">
        <v>0</v>
      </c>
      <c r="E67" s="306" t="n">
        <v>0</v>
      </c>
      <c r="F67" s="614" t="n">
        <v>0</v>
      </c>
      <c r="G67" s="614" t="n"/>
      <c r="H67" s="614" t="n"/>
      <c r="I67" s="614" t="n"/>
      <c r="J67" s="614" t="n"/>
      <c r="K67" s="614" t="n"/>
      <c r="L67" s="614" t="n"/>
      <c r="M67" s="614" t="n"/>
      <c r="N67" s="614" t="n"/>
      <c r="O67" s="307" t="n"/>
      <c r="P67" s="218">
        <f>SUM(D67:O67)</f>
        <v/>
      </c>
      <c r="Q67" s="873" t="n"/>
      <c r="R67" s="873" t="n"/>
      <c r="S67" s="873" t="n"/>
      <c r="T67" s="873" t="n"/>
    </row>
    <row r="68" ht="15" customHeight="1" s="1062" thickBot="1">
      <c r="A68" s="1195" t="n"/>
      <c r="B68" s="1174" t="n"/>
      <c r="C68" s="219" t="inlineStr">
        <is>
          <t>Tỷ lệ phế phẩm</t>
        </is>
      </c>
      <c r="D68" s="308">
        <f>D67/D66</f>
        <v/>
      </c>
      <c r="E68" s="308">
        <f>E67/E66</f>
        <v/>
      </c>
      <c r="F68" s="308">
        <f>F67/F66</f>
        <v/>
      </c>
      <c r="G68" s="308">
        <f>G67/G66</f>
        <v/>
      </c>
      <c r="H68" s="308">
        <f>H67/H66</f>
        <v/>
      </c>
      <c r="I68" s="308">
        <f>I67/I66</f>
        <v/>
      </c>
      <c r="J68" s="308">
        <f>J67/J66</f>
        <v/>
      </c>
      <c r="K68" s="308">
        <f>K67/K66</f>
        <v/>
      </c>
      <c r="L68" s="308">
        <f>L67/L66</f>
        <v/>
      </c>
      <c r="M68" s="308">
        <f>M67/M66</f>
        <v/>
      </c>
      <c r="N68" s="308">
        <f>N67/N66</f>
        <v/>
      </c>
      <c r="O68" s="309">
        <f>O67/O66</f>
        <v/>
      </c>
      <c r="P68" s="321">
        <f>P67/P66</f>
        <v/>
      </c>
      <c r="Q68" s="873" t="n"/>
      <c r="R68" s="873" t="n"/>
      <c r="S68" s="873" t="n"/>
      <c r="T68" s="873" t="n"/>
    </row>
    <row r="69">
      <c r="A69" s="1193" t="inlineStr">
        <is>
          <t>VD151</t>
        </is>
      </c>
      <c r="B69" s="1191" t="inlineStr">
        <is>
          <t xml:space="preserve">PRECEDE ML </t>
        </is>
      </c>
      <c r="C69" s="494" t="inlineStr">
        <is>
          <t>Số bản vẽ</t>
        </is>
      </c>
      <c r="D69" s="576" t="n">
        <v>0</v>
      </c>
      <c r="E69" s="322" t="n">
        <v>0</v>
      </c>
      <c r="F69" s="576" t="n">
        <v>0</v>
      </c>
      <c r="G69" s="576" t="n"/>
      <c r="H69" s="576" t="n"/>
      <c r="I69" s="576" t="n"/>
      <c r="J69" s="576" t="n"/>
      <c r="K69" s="576" t="n"/>
      <c r="L69" s="576" t="n"/>
      <c r="M69" s="576" t="n"/>
      <c r="N69" s="576" t="n"/>
      <c r="O69" s="319" t="n"/>
      <c r="P69" s="228">
        <f>SUM(D69:O69)</f>
        <v/>
      </c>
      <c r="Q69" s="873" t="n"/>
      <c r="R69" s="873" t="n"/>
      <c r="S69" s="873" t="n"/>
      <c r="T69" s="873" t="n"/>
    </row>
    <row r="70">
      <c r="A70" s="1194" t="n"/>
      <c r="B70" s="1170" t="n"/>
      <c r="C70" s="205" t="inlineStr">
        <is>
          <t>Số phế phẩm</t>
        </is>
      </c>
      <c r="D70" s="614" t="n">
        <v>0</v>
      </c>
      <c r="E70" s="306" t="n">
        <v>0</v>
      </c>
      <c r="F70" s="614" t="n">
        <v>0</v>
      </c>
      <c r="G70" s="614" t="n"/>
      <c r="H70" s="614" t="n"/>
      <c r="I70" s="614" t="n"/>
      <c r="J70" s="614" t="n"/>
      <c r="K70" s="614" t="n"/>
      <c r="L70" s="614" t="n"/>
      <c r="M70" s="614" t="n"/>
      <c r="N70" s="614" t="n"/>
      <c r="O70" s="307" t="n"/>
      <c r="P70" s="218">
        <f>SUM(D70:O70)</f>
        <v/>
      </c>
      <c r="Q70" s="873" t="n"/>
      <c r="R70" s="873" t="n"/>
      <c r="S70" s="873" t="n"/>
      <c r="T70" s="873" t="n"/>
    </row>
    <row r="71" ht="15" customHeight="1" s="1062" thickBot="1">
      <c r="A71" s="1195" t="n"/>
      <c r="B71" s="1174" t="n"/>
      <c r="C71" s="219" t="inlineStr">
        <is>
          <t>Tỷ lệ phế phẩm</t>
        </is>
      </c>
      <c r="D71" s="308">
        <f>D70/D69</f>
        <v/>
      </c>
      <c r="E71" s="308">
        <f>E70/E69</f>
        <v/>
      </c>
      <c r="F71" s="308">
        <f>F70/F69</f>
        <v/>
      </c>
      <c r="G71" s="308">
        <f>G70/G69</f>
        <v/>
      </c>
      <c r="H71" s="308">
        <f>H70/H69</f>
        <v/>
      </c>
      <c r="I71" s="308">
        <f>I70/I69</f>
        <v/>
      </c>
      <c r="J71" s="308">
        <f>J70/J69</f>
        <v/>
      </c>
      <c r="K71" s="308">
        <f>K70/K69</f>
        <v/>
      </c>
      <c r="L71" s="308">
        <f>L70/L69</f>
        <v/>
      </c>
      <c r="M71" s="308">
        <f>M70/M69</f>
        <v/>
      </c>
      <c r="N71" s="308">
        <f>N70/N69</f>
        <v/>
      </c>
      <c r="O71" s="309">
        <f>O70/O69</f>
        <v/>
      </c>
      <c r="P71" s="321">
        <f>P70/P69</f>
        <v/>
      </c>
      <c r="Q71" s="873" t="n"/>
      <c r="R71" s="873" t="n"/>
      <c r="S71" s="873" t="n"/>
      <c r="T71" s="873" t="n"/>
    </row>
    <row r="72">
      <c r="A72" s="1193" t="inlineStr">
        <is>
          <t>VD159</t>
        </is>
      </c>
      <c r="B72" s="1191" t="inlineStr">
        <is>
          <t>VIET NHAT TAN</t>
        </is>
      </c>
      <c r="C72" s="494" t="inlineStr">
        <is>
          <t>Số bản vẽ</t>
        </is>
      </c>
      <c r="D72" s="576" t="n">
        <v>34</v>
      </c>
      <c r="E72" s="322" t="n">
        <v>0</v>
      </c>
      <c r="F72" s="576" t="n">
        <v>19</v>
      </c>
      <c r="G72" s="576" t="n"/>
      <c r="H72" s="576" t="n"/>
      <c r="I72" s="576" t="n"/>
      <c r="J72" s="576" t="n"/>
      <c r="K72" s="576" t="n"/>
      <c r="L72" s="576" t="n"/>
      <c r="M72" s="576" t="n"/>
      <c r="N72" s="576" t="n"/>
      <c r="O72" s="319" t="n"/>
      <c r="P72" s="228">
        <f>SUM(D72:O72)</f>
        <v/>
      </c>
      <c r="Q72" s="873" t="n"/>
      <c r="R72" s="873" t="n"/>
      <c r="S72" s="873" t="n"/>
      <c r="T72" s="873" t="n"/>
    </row>
    <row r="73">
      <c r="A73" s="1194" t="n"/>
      <c r="B73" s="1170" t="n"/>
      <c r="C73" s="205" t="inlineStr">
        <is>
          <t>Số phế phẩm</t>
        </is>
      </c>
      <c r="D73" s="614" t="n">
        <v>0</v>
      </c>
      <c r="E73" s="306" t="n">
        <v>0</v>
      </c>
      <c r="F73" s="614" t="n">
        <v>0</v>
      </c>
      <c r="G73" s="614" t="n"/>
      <c r="H73" s="614" t="n"/>
      <c r="I73" s="614" t="n"/>
      <c r="J73" s="614" t="n"/>
      <c r="K73" s="614" t="n"/>
      <c r="L73" s="614" t="n"/>
      <c r="M73" s="840" t="n"/>
      <c r="N73" s="614" t="n"/>
      <c r="O73" s="307" t="n"/>
      <c r="P73" s="218">
        <f>SUM(D73:O73)</f>
        <v/>
      </c>
      <c r="Q73" s="873" t="n"/>
      <c r="R73" s="873" t="n"/>
      <c r="S73" s="873" t="n"/>
      <c r="T73" s="873" t="n"/>
    </row>
    <row r="74" ht="15" customHeight="1" s="1062" thickBot="1">
      <c r="A74" s="1195" t="n"/>
      <c r="B74" s="1174" t="n"/>
      <c r="C74" s="219" t="inlineStr">
        <is>
          <t>Tỷ lệ phế phẩm</t>
        </is>
      </c>
      <c r="D74" s="308">
        <f>D73/D72</f>
        <v/>
      </c>
      <c r="E74" s="308">
        <f>E73/E72</f>
        <v/>
      </c>
      <c r="F74" s="308">
        <f>F73/F72</f>
        <v/>
      </c>
      <c r="G74" s="308">
        <f>G73/G72</f>
        <v/>
      </c>
      <c r="H74" s="308">
        <f>H73/H72</f>
        <v/>
      </c>
      <c r="I74" s="308">
        <f>I73/I72</f>
        <v/>
      </c>
      <c r="J74" s="308">
        <f>J73/J72</f>
        <v/>
      </c>
      <c r="K74" s="308">
        <f>K73/K72</f>
        <v/>
      </c>
      <c r="L74" s="308">
        <f>L73/L72</f>
        <v/>
      </c>
      <c r="M74" s="308">
        <f>M73/M72</f>
        <v/>
      </c>
      <c r="N74" s="308">
        <f>N73/N72</f>
        <v/>
      </c>
      <c r="O74" s="309">
        <f>O73/O72</f>
        <v/>
      </c>
      <c r="P74" s="321">
        <f>P73/P72</f>
        <v/>
      </c>
      <c r="Q74" s="873" t="n"/>
      <c r="R74" s="873" t="n"/>
      <c r="S74" s="873" t="n"/>
      <c r="T74" s="873" t="n"/>
    </row>
    <row r="75">
      <c r="A75" s="995" t="inlineStr">
        <is>
          <t>VD190</t>
        </is>
      </c>
      <c r="B75" s="1191" t="inlineStr">
        <is>
          <t>YES SAI GON</t>
        </is>
      </c>
      <c r="C75" s="494" t="inlineStr">
        <is>
          <t>Số bản vẽ</t>
        </is>
      </c>
      <c r="D75" s="576" t="n">
        <v>17</v>
      </c>
      <c r="E75" s="322" t="n">
        <v>6</v>
      </c>
      <c r="F75" s="576" t="n">
        <v>23</v>
      </c>
      <c r="G75" s="576" t="n"/>
      <c r="H75" s="576" t="n"/>
      <c r="I75" s="576" t="n"/>
      <c r="J75" s="576" t="n"/>
      <c r="K75" s="576" t="n"/>
      <c r="L75" s="576" t="n"/>
      <c r="M75" s="576" t="n"/>
      <c r="N75" s="576" t="n"/>
      <c r="O75" s="319" t="n"/>
      <c r="P75" s="228">
        <f>SUM(D75:O75)</f>
        <v/>
      </c>
      <c r="Q75" s="873" t="n"/>
      <c r="R75" s="873" t="n"/>
      <c r="S75" s="873" t="n"/>
      <c r="T75" s="873" t="n"/>
    </row>
    <row r="76">
      <c r="A76" s="1189" t="n"/>
      <c r="B76" s="1170" t="n"/>
      <c r="C76" s="205" t="inlineStr">
        <is>
          <t>Số phế phẩm</t>
        </is>
      </c>
      <c r="D76" s="614" t="n">
        <v>0</v>
      </c>
      <c r="E76" s="306" t="n">
        <v>0</v>
      </c>
      <c r="F76" s="614" t="n">
        <v>0</v>
      </c>
      <c r="G76" s="614" t="n"/>
      <c r="H76" s="614" t="n"/>
      <c r="I76" s="614" t="n"/>
      <c r="J76" s="614" t="n"/>
      <c r="K76" s="614" t="n"/>
      <c r="L76" s="614" t="n"/>
      <c r="M76" s="614" t="n"/>
      <c r="N76" s="614" t="n"/>
      <c r="O76" s="307" t="n"/>
      <c r="P76" s="218">
        <f>SUM(D76:O76)</f>
        <v/>
      </c>
      <c r="Q76" s="873" t="n"/>
      <c r="R76" s="873" t="n"/>
      <c r="S76" s="873" t="n"/>
      <c r="T76" s="873" t="n"/>
    </row>
    <row r="77" ht="15" customHeight="1" s="1062" thickBot="1">
      <c r="A77" s="1190" t="n"/>
      <c r="B77" s="1174" t="n"/>
      <c r="C77" s="219" t="inlineStr">
        <is>
          <t>Tỷ lệ phế phẩm</t>
        </is>
      </c>
      <c r="D77" s="308">
        <f>D76/D75</f>
        <v/>
      </c>
      <c r="E77" s="308">
        <f>E76/E75</f>
        <v/>
      </c>
      <c r="F77" s="308">
        <f>F76/F75</f>
        <v/>
      </c>
      <c r="G77" s="308">
        <f>G76/G75</f>
        <v/>
      </c>
      <c r="H77" s="308">
        <f>H76/H75</f>
        <v/>
      </c>
      <c r="I77" s="308">
        <f>I76/I75</f>
        <v/>
      </c>
      <c r="J77" s="308">
        <f>J76/J75</f>
        <v/>
      </c>
      <c r="K77" s="308">
        <f>K76/K75</f>
        <v/>
      </c>
      <c r="L77" s="308">
        <f>L76/L75</f>
        <v/>
      </c>
      <c r="M77" s="308">
        <f>M76/M75</f>
        <v/>
      </c>
      <c r="N77" s="308">
        <f>N76/N75</f>
        <v/>
      </c>
      <c r="O77" s="309">
        <f>O76/O75</f>
        <v/>
      </c>
      <c r="P77" s="321">
        <f>P76/P75</f>
        <v/>
      </c>
      <c r="Q77" s="873" t="n"/>
      <c r="R77" s="873" t="n"/>
      <c r="S77" s="873" t="n"/>
      <c r="T77" s="873" t="n"/>
    </row>
    <row r="78">
      <c r="A78" s="995" t="inlineStr">
        <is>
          <t>VD203</t>
        </is>
      </c>
      <c r="B78" s="1191" t="inlineStr">
        <is>
          <t>FINECS</t>
        </is>
      </c>
      <c r="C78" s="494" t="inlineStr">
        <is>
          <t>Số bản vẽ</t>
        </is>
      </c>
      <c r="D78" s="576" t="n">
        <v>0</v>
      </c>
      <c r="E78" s="322" t="n">
        <v>15</v>
      </c>
      <c r="F78" s="576" t="n">
        <v>7</v>
      </c>
      <c r="G78" s="576" t="n"/>
      <c r="H78" s="576" t="n"/>
      <c r="I78" s="576" t="n"/>
      <c r="J78" s="576" t="n"/>
      <c r="K78" s="576" t="n"/>
      <c r="L78" s="576" t="n"/>
      <c r="M78" s="576" t="n"/>
      <c r="N78" s="576" t="n"/>
      <c r="O78" s="319" t="n"/>
      <c r="P78" s="228">
        <f>SUM(D78:O78)</f>
        <v/>
      </c>
      <c r="Q78" s="873" t="n"/>
      <c r="R78" s="873" t="n"/>
      <c r="S78" s="873" t="n"/>
      <c r="T78" s="873" t="n"/>
    </row>
    <row r="79">
      <c r="A79" s="1189" t="n"/>
      <c r="B79" s="1170" t="n"/>
      <c r="C79" s="205" t="inlineStr">
        <is>
          <t>Số phế phẩm</t>
        </is>
      </c>
      <c r="D79" s="614" t="n">
        <v>0</v>
      </c>
      <c r="E79" s="306" t="n">
        <v>0</v>
      </c>
      <c r="F79" s="614" t="n">
        <v>0</v>
      </c>
      <c r="G79" s="614" t="n"/>
      <c r="H79" s="614" t="n"/>
      <c r="I79" s="614" t="n"/>
      <c r="J79" s="614" t="n"/>
      <c r="K79" s="614" t="n"/>
      <c r="L79" s="614" t="n"/>
      <c r="M79" s="614" t="n"/>
      <c r="N79" s="614" t="n"/>
      <c r="O79" s="307" t="n"/>
      <c r="P79" s="218">
        <f>SUM(D79:O79)</f>
        <v/>
      </c>
      <c r="Q79" s="873" t="n"/>
      <c r="R79" s="873" t="n"/>
      <c r="S79" s="873" t="n"/>
      <c r="T79" s="873" t="n"/>
    </row>
    <row r="80" ht="15" customHeight="1" s="1062" thickBot="1">
      <c r="A80" s="1190" t="n"/>
      <c r="B80" s="1174" t="n"/>
      <c r="C80" s="219" t="inlineStr">
        <is>
          <t>Tỷ lệ phế phẩm</t>
        </is>
      </c>
      <c r="D80" s="308">
        <f>D79/D78</f>
        <v/>
      </c>
      <c r="E80" s="308">
        <f>E79/E78</f>
        <v/>
      </c>
      <c r="F80" s="308">
        <f>F79/F78</f>
        <v/>
      </c>
      <c r="G80" s="308">
        <f>G79/G78</f>
        <v/>
      </c>
      <c r="H80" s="308">
        <f>H79/H78</f>
        <v/>
      </c>
      <c r="I80" s="308">
        <f>I79/I78</f>
        <v/>
      </c>
      <c r="J80" s="308">
        <f>J79/J78</f>
        <v/>
      </c>
      <c r="K80" s="308">
        <f>K79/K78</f>
        <v/>
      </c>
      <c r="L80" s="308">
        <f>L79/L78</f>
        <v/>
      </c>
      <c r="M80" s="308">
        <f>M79/M78</f>
        <v/>
      </c>
      <c r="N80" s="308">
        <f>N79/N78</f>
        <v/>
      </c>
      <c r="O80" s="309">
        <f>O79/O78</f>
        <v/>
      </c>
      <c r="P80" s="321">
        <f>P79/P78</f>
        <v/>
      </c>
      <c r="Q80" s="873" t="n"/>
      <c r="R80" s="873" t="n"/>
      <c r="S80" s="873" t="n"/>
      <c r="T80" s="873" t="n"/>
    </row>
    <row r="81">
      <c r="A81" s="995" t="inlineStr">
        <is>
          <t>VN003</t>
        </is>
      </c>
      <c r="B81" s="1191" t="inlineStr">
        <is>
          <t>HUYNH DUC</t>
        </is>
      </c>
      <c r="C81" s="494" t="inlineStr">
        <is>
          <t>Số bản vẽ</t>
        </is>
      </c>
      <c r="D81" s="576" t="n">
        <v>1097</v>
      </c>
      <c r="E81" s="1180" t="n">
        <v>801</v>
      </c>
      <c r="F81" s="576" t="n">
        <v>1449</v>
      </c>
      <c r="G81" s="576" t="n"/>
      <c r="H81" s="576" t="n"/>
      <c r="I81" s="576" t="n"/>
      <c r="J81" s="576" t="n"/>
      <c r="K81" s="576" t="n"/>
      <c r="L81" s="576" t="n"/>
      <c r="M81" s="576" t="n"/>
      <c r="N81" s="576" t="n"/>
      <c r="O81" s="319" t="n"/>
      <c r="P81" s="228">
        <f>SUM(D81:O81)</f>
        <v/>
      </c>
      <c r="Q81" s="873" t="n"/>
      <c r="R81" s="873" t="n"/>
      <c r="S81" s="873" t="n"/>
      <c r="T81" s="873" t="n"/>
    </row>
    <row r="82">
      <c r="A82" s="1189" t="n"/>
      <c r="B82" s="1170" t="n"/>
      <c r="C82" s="205" t="inlineStr">
        <is>
          <t>Số phế phẩm</t>
        </is>
      </c>
      <c r="D82" s="614" t="n">
        <v>0</v>
      </c>
      <c r="E82" s="306" t="n">
        <v>0</v>
      </c>
      <c r="F82" s="614" t="n">
        <v>0</v>
      </c>
      <c r="G82" s="614" t="n"/>
      <c r="H82" s="614" t="n"/>
      <c r="I82" s="614" t="n"/>
      <c r="J82" s="614" t="n"/>
      <c r="K82" s="614" t="n"/>
      <c r="L82" s="614" t="n"/>
      <c r="M82" s="614" t="n"/>
      <c r="N82" s="614" t="n"/>
      <c r="O82" s="307" t="n"/>
      <c r="P82" s="218">
        <f>SUM(D82:O82)</f>
        <v/>
      </c>
      <c r="Q82" s="873" t="n"/>
      <c r="R82" s="873" t="n"/>
      <c r="S82" s="873" t="n"/>
      <c r="T82" s="873" t="n"/>
    </row>
    <row r="83" ht="15" customHeight="1" s="1062" thickBot="1">
      <c r="A83" s="1190" t="n"/>
      <c r="B83" s="1174" t="n"/>
      <c r="C83" s="219" t="inlineStr">
        <is>
          <t>Tỷ lệ phế phẩm</t>
        </is>
      </c>
      <c r="D83" s="308">
        <f>D82/D81</f>
        <v/>
      </c>
      <c r="E83" s="308">
        <f>E82/E81</f>
        <v/>
      </c>
      <c r="F83" s="308">
        <f>F82/F81</f>
        <v/>
      </c>
      <c r="G83" s="308">
        <f>G82/G81</f>
        <v/>
      </c>
      <c r="H83" s="308">
        <f>H82/H81</f>
        <v/>
      </c>
      <c r="I83" s="308">
        <f>I82/I81</f>
        <v/>
      </c>
      <c r="J83" s="308">
        <f>J82/J81</f>
        <v/>
      </c>
      <c r="K83" s="308">
        <f>K82/K81</f>
        <v/>
      </c>
      <c r="L83" s="308">
        <f>L82/L81</f>
        <v/>
      </c>
      <c r="M83" s="308">
        <f>M82/M81</f>
        <v/>
      </c>
      <c r="N83" s="308">
        <f>N82/N81</f>
        <v/>
      </c>
      <c r="O83" s="309">
        <f>O82/O81</f>
        <v/>
      </c>
      <c r="P83" s="321">
        <f>P82/P81</f>
        <v/>
      </c>
      <c r="Q83" s="873" t="n"/>
      <c r="R83" s="873" t="n"/>
      <c r="S83" s="873" t="n"/>
      <c r="T83" s="873" t="n"/>
    </row>
    <row r="84">
      <c r="A84" s="995" t="inlineStr">
        <is>
          <t>VD220</t>
        </is>
      </c>
      <c r="B84" s="1191" t="inlineStr">
        <is>
          <t>AMERIX</t>
        </is>
      </c>
      <c r="C84" s="494" t="inlineStr">
        <is>
          <t>Số bản vẽ</t>
        </is>
      </c>
      <c r="D84" s="576" t="n">
        <v>32</v>
      </c>
      <c r="E84" s="322" t="n">
        <v>17</v>
      </c>
      <c r="F84" s="576" t="n">
        <v>6</v>
      </c>
      <c r="G84" s="576" t="n"/>
      <c r="H84" s="576" t="n"/>
      <c r="I84" s="576" t="n"/>
      <c r="J84" s="576" t="n"/>
      <c r="K84" s="576" t="n"/>
      <c r="L84" s="576" t="n"/>
      <c r="M84" s="576" t="n"/>
      <c r="N84" s="576" t="n"/>
      <c r="O84" s="319" t="n"/>
      <c r="P84" s="228">
        <f>SUM(D84:O84)</f>
        <v/>
      </c>
      <c r="Q84" s="873" t="n"/>
      <c r="R84" s="873" t="n"/>
      <c r="S84" s="873" t="n"/>
      <c r="T84" s="873" t="n"/>
    </row>
    <row r="85">
      <c r="A85" s="1189" t="n"/>
      <c r="B85" s="1170" t="n"/>
      <c r="C85" s="205" t="inlineStr">
        <is>
          <t>Số phế phẩm</t>
        </is>
      </c>
      <c r="D85" s="614" t="n">
        <v>0</v>
      </c>
      <c r="E85" s="306" t="n">
        <v>0</v>
      </c>
      <c r="F85" s="614" t="n">
        <v>0</v>
      </c>
      <c r="G85" s="614" t="n"/>
      <c r="H85" s="614" t="n"/>
      <c r="I85" s="614" t="n"/>
      <c r="J85" s="614" t="n"/>
      <c r="K85" s="614" t="n"/>
      <c r="L85" s="614" t="n"/>
      <c r="M85" s="614" t="n"/>
      <c r="N85" s="614" t="n"/>
      <c r="O85" s="307" t="n"/>
      <c r="P85" s="218">
        <f>SUM(D85:O85)</f>
        <v/>
      </c>
      <c r="Q85" s="873" t="n"/>
      <c r="R85" s="873" t="n"/>
      <c r="S85" s="873" t="n"/>
      <c r="T85" s="873" t="n"/>
    </row>
    <row r="86" ht="15" customHeight="1" s="1062" thickBot="1">
      <c r="A86" s="1190" t="n"/>
      <c r="B86" s="1174" t="n"/>
      <c r="C86" s="219" t="inlineStr">
        <is>
          <t>Tỷ lệ phế phẩm</t>
        </is>
      </c>
      <c r="D86" s="308">
        <f>D85/D84</f>
        <v/>
      </c>
      <c r="E86" s="308">
        <f>E85/E84</f>
        <v/>
      </c>
      <c r="F86" s="308">
        <f>F85/F84</f>
        <v/>
      </c>
      <c r="G86" s="308">
        <f>G85/G84</f>
        <v/>
      </c>
      <c r="H86" s="308">
        <f>H85/H84</f>
        <v/>
      </c>
      <c r="I86" s="308">
        <f>I85/I84</f>
        <v/>
      </c>
      <c r="J86" s="308">
        <f>J85/J84</f>
        <v/>
      </c>
      <c r="K86" s="308">
        <f>K85/K84</f>
        <v/>
      </c>
      <c r="L86" s="308">
        <f>L85/L84</f>
        <v/>
      </c>
      <c r="M86" s="308">
        <f>M85/M84</f>
        <v/>
      </c>
      <c r="N86" s="308">
        <f>N85/N84</f>
        <v/>
      </c>
      <c r="O86" s="309">
        <f>O85/O84</f>
        <v/>
      </c>
      <c r="P86" s="321">
        <f>P85/P84</f>
        <v/>
      </c>
      <c r="Q86" s="873" t="n"/>
      <c r="R86" s="873" t="n"/>
      <c r="S86" s="873" t="n"/>
      <c r="T86" s="873" t="n"/>
    </row>
    <row r="87">
      <c r="A87" s="1198" t="inlineStr">
        <is>
          <t>VD329</t>
        </is>
      </c>
      <c r="B87" s="1191" t="inlineStr">
        <is>
          <t>CHAU DA</t>
        </is>
      </c>
      <c r="C87" s="494" t="inlineStr">
        <is>
          <t>Số bản vẽ</t>
        </is>
      </c>
      <c r="D87" s="576" t="n">
        <v>0</v>
      </c>
      <c r="E87" s="322" t="n">
        <v>0</v>
      </c>
      <c r="F87" s="576" t="n"/>
      <c r="G87" s="576" t="n"/>
      <c r="H87" s="576" t="n"/>
      <c r="I87" s="576" t="n"/>
      <c r="J87" s="576" t="n"/>
      <c r="K87" s="576" t="n"/>
      <c r="L87" s="576" t="n"/>
      <c r="M87" s="576" t="n"/>
      <c r="N87" s="576" t="n"/>
      <c r="O87" s="319" t="n"/>
      <c r="P87" s="228">
        <f>SUM(D87:O87)</f>
        <v/>
      </c>
      <c r="Q87" s="873" t="n"/>
      <c r="R87" s="873" t="n"/>
      <c r="S87" s="873" t="n"/>
      <c r="T87" s="873" t="n"/>
    </row>
    <row r="88">
      <c r="A88" s="1194" t="n"/>
      <c r="B88" s="1170" t="n"/>
      <c r="C88" s="205" t="inlineStr">
        <is>
          <t>Số phế phẩm</t>
        </is>
      </c>
      <c r="D88" s="614" t="n">
        <v>0</v>
      </c>
      <c r="E88" s="306" t="n">
        <v>0</v>
      </c>
      <c r="F88" s="614" t="n"/>
      <c r="G88" s="614" t="n"/>
      <c r="H88" s="614" t="n"/>
      <c r="I88" s="614" t="n"/>
      <c r="J88" s="614" t="n"/>
      <c r="K88" s="614" t="n"/>
      <c r="L88" s="614" t="n"/>
      <c r="M88" s="614" t="n"/>
      <c r="N88" s="614" t="n"/>
      <c r="O88" s="307" t="n"/>
      <c r="P88" s="218">
        <f>SUM(D88:O88)</f>
        <v/>
      </c>
      <c r="Q88" s="873" t="n"/>
      <c r="R88" s="873" t="n"/>
      <c r="S88" s="873" t="n"/>
      <c r="T88" s="873" t="n"/>
    </row>
    <row r="89" ht="15" customHeight="1" s="1062" thickBot="1">
      <c r="A89" s="1195" t="n"/>
      <c r="B89" s="1174" t="n"/>
      <c r="C89" s="219" t="inlineStr">
        <is>
          <t>Tỷ lệ phế phẩm</t>
        </is>
      </c>
      <c r="D89" s="308">
        <f>D88/D87</f>
        <v/>
      </c>
      <c r="E89" s="308">
        <f>E88/E87</f>
        <v/>
      </c>
      <c r="F89" s="308">
        <f>F88/F87</f>
        <v/>
      </c>
      <c r="G89" s="308">
        <f>G88/G87</f>
        <v/>
      </c>
      <c r="H89" s="308">
        <f>H88/H87</f>
        <v/>
      </c>
      <c r="I89" s="308">
        <f>I88/I87</f>
        <v/>
      </c>
      <c r="J89" s="308">
        <f>J88/J87</f>
        <v/>
      </c>
      <c r="K89" s="308">
        <f>K88/K87</f>
        <v/>
      </c>
      <c r="L89" s="308">
        <f>L88/L87</f>
        <v/>
      </c>
      <c r="M89" s="308">
        <f>M88/M87</f>
        <v/>
      </c>
      <c r="N89" s="308">
        <f>N88/N87</f>
        <v/>
      </c>
      <c r="O89" s="309">
        <f>O88/O87</f>
        <v/>
      </c>
      <c r="P89" s="321">
        <f>P88/P87</f>
        <v/>
      </c>
      <c r="Q89" s="873" t="n"/>
      <c r="R89" s="873" t="n"/>
      <c r="S89" s="873" t="n"/>
      <c r="T89" s="873" t="n"/>
    </row>
    <row r="90">
      <c r="A90" s="1198" t="inlineStr">
        <is>
          <t>VD221</t>
        </is>
      </c>
      <c r="B90" s="1191" t="inlineStr">
        <is>
          <t>HITECH</t>
        </is>
      </c>
      <c r="C90" s="494" t="inlineStr">
        <is>
          <t>Số bản vẽ</t>
        </is>
      </c>
      <c r="D90" s="576" t="n">
        <v>9</v>
      </c>
      <c r="E90" s="322" t="n">
        <v>0</v>
      </c>
      <c r="F90" s="576" t="n">
        <v>4</v>
      </c>
      <c r="G90" s="576" t="n"/>
      <c r="H90" s="576" t="n"/>
      <c r="I90" s="576" t="n"/>
      <c r="J90" s="576" t="n"/>
      <c r="K90" s="576" t="n"/>
      <c r="L90" s="576" t="n"/>
      <c r="M90" s="576" t="n"/>
      <c r="N90" s="576" t="n"/>
      <c r="O90" s="319" t="n"/>
      <c r="P90" s="228">
        <f>SUM(D90:O90)</f>
        <v/>
      </c>
      <c r="Q90" s="873" t="n"/>
      <c r="R90" s="873" t="n"/>
      <c r="S90" s="873" t="n"/>
      <c r="T90" s="873" t="n"/>
    </row>
    <row r="91">
      <c r="A91" s="1194" t="n"/>
      <c r="B91" s="1170" t="n"/>
      <c r="C91" s="205" t="inlineStr">
        <is>
          <t>Số phế phẩm</t>
        </is>
      </c>
      <c r="D91" s="614" t="n">
        <v>0</v>
      </c>
      <c r="E91" s="306" t="n">
        <v>0</v>
      </c>
      <c r="F91" s="614" t="n">
        <v>0</v>
      </c>
      <c r="G91" s="614" t="n"/>
      <c r="H91" s="614" t="n"/>
      <c r="I91" s="614" t="n"/>
      <c r="J91" s="614" t="n"/>
      <c r="K91" s="614" t="n"/>
      <c r="L91" s="614" t="n"/>
      <c r="M91" s="614" t="n"/>
      <c r="N91" s="614" t="n"/>
      <c r="O91" s="307" t="n"/>
      <c r="P91" s="218">
        <f>SUM(D91:O91)</f>
        <v/>
      </c>
      <c r="Q91" s="873" t="n"/>
      <c r="R91" s="873" t="n"/>
      <c r="S91" s="873" t="n"/>
      <c r="T91" s="873" t="n"/>
    </row>
    <row r="92" ht="15" customHeight="1" s="1062" thickBot="1">
      <c r="A92" s="1195" t="n"/>
      <c r="B92" s="1174" t="n"/>
      <c r="C92" s="219" t="inlineStr">
        <is>
          <t>Tỷ lệ phế phẩm</t>
        </is>
      </c>
      <c r="D92" s="308">
        <f>D91/D90</f>
        <v/>
      </c>
      <c r="E92" s="308">
        <f>E91/E90</f>
        <v/>
      </c>
      <c r="F92" s="308">
        <f>F91/F90</f>
        <v/>
      </c>
      <c r="G92" s="308">
        <f>G91/G90</f>
        <v/>
      </c>
      <c r="H92" s="308">
        <f>H91/H90</f>
        <v/>
      </c>
      <c r="I92" s="308">
        <f>I91/I90</f>
        <v/>
      </c>
      <c r="J92" s="308">
        <f>J91/J90</f>
        <v/>
      </c>
      <c r="K92" s="308">
        <f>K91/K90</f>
        <v/>
      </c>
      <c r="L92" s="308">
        <f>L91/L90</f>
        <v/>
      </c>
      <c r="M92" s="308">
        <f>M91/M90</f>
        <v/>
      </c>
      <c r="N92" s="308">
        <f>N91/N90</f>
        <v/>
      </c>
      <c r="O92" s="309">
        <f>O91/O90</f>
        <v/>
      </c>
      <c r="P92" s="321">
        <f>P91/P90</f>
        <v/>
      </c>
      <c r="Q92" s="873" t="n"/>
      <c r="R92" s="873" t="n"/>
      <c r="S92" s="873" t="n"/>
      <c r="T92" s="873" t="n"/>
    </row>
    <row r="93">
      <c r="A93" s="1198" t="inlineStr">
        <is>
          <t>SP018</t>
        </is>
      </c>
      <c r="B93" s="1191" t="inlineStr">
        <is>
          <t>CAM</t>
        </is>
      </c>
      <c r="C93" s="494" t="inlineStr">
        <is>
          <t>Số bản vẽ</t>
        </is>
      </c>
      <c r="D93" s="576" t="n">
        <v>29</v>
      </c>
      <c r="E93" s="322" t="n">
        <v>24</v>
      </c>
      <c r="F93" s="576" t="n">
        <v>9</v>
      </c>
      <c r="G93" s="576" t="n"/>
      <c r="H93" s="576" t="n"/>
      <c r="I93" s="576" t="n"/>
      <c r="J93" s="576" t="n"/>
      <c r="K93" s="576" t="n"/>
      <c r="L93" s="576" t="n"/>
      <c r="M93" s="576" t="n"/>
      <c r="N93" s="576" t="n"/>
      <c r="O93" s="319" t="n"/>
      <c r="P93" s="228">
        <f>SUM(D93:O93)</f>
        <v/>
      </c>
      <c r="Q93" s="873" t="n"/>
      <c r="R93" s="873" t="n"/>
      <c r="S93" s="873" t="n"/>
      <c r="T93" s="873" t="n"/>
    </row>
    <row r="94">
      <c r="A94" s="1194" t="n"/>
      <c r="B94" s="1170" t="n"/>
      <c r="C94" s="205" t="inlineStr">
        <is>
          <t>Số phế phẩm</t>
        </is>
      </c>
      <c r="D94" s="614" t="n">
        <v>0</v>
      </c>
      <c r="E94" s="306" t="n">
        <v>1</v>
      </c>
      <c r="F94" s="614" t="n">
        <v>0</v>
      </c>
      <c r="G94" s="614" t="n"/>
      <c r="H94" s="614" t="n"/>
      <c r="I94" s="614" t="n"/>
      <c r="J94" s="614" t="n"/>
      <c r="K94" s="614" t="n"/>
      <c r="L94" s="614" t="n"/>
      <c r="M94" s="614" t="n"/>
      <c r="N94" s="614" t="n"/>
      <c r="O94" s="307" t="n"/>
      <c r="P94" s="218">
        <f>SUM(D94:O94)</f>
        <v/>
      </c>
      <c r="Q94" s="873" t="n"/>
      <c r="R94" s="873" t="n"/>
      <c r="S94" s="873" t="n"/>
      <c r="T94" s="873" t="n"/>
    </row>
    <row r="95" ht="15" customHeight="1" s="1062" thickBot="1">
      <c r="A95" s="1195" t="n"/>
      <c r="B95" s="1174" t="n"/>
      <c r="C95" s="219" t="inlineStr">
        <is>
          <t>Tỷ lệ phế phẩm</t>
        </is>
      </c>
      <c r="D95" s="308">
        <f>D94/D93</f>
        <v/>
      </c>
      <c r="E95" s="308">
        <f>E94/E93</f>
        <v/>
      </c>
      <c r="F95" s="308">
        <f>F94/F93</f>
        <v/>
      </c>
      <c r="G95" s="308">
        <f>G94/G93</f>
        <v/>
      </c>
      <c r="H95" s="308">
        <f>H94/H93</f>
        <v/>
      </c>
      <c r="I95" s="308">
        <f>I94/I93</f>
        <v/>
      </c>
      <c r="J95" s="308">
        <f>J94/J93</f>
        <v/>
      </c>
      <c r="K95" s="308">
        <f>K94/K93</f>
        <v/>
      </c>
      <c r="L95" s="308">
        <f>L94/L93</f>
        <v/>
      </c>
      <c r="M95" s="308">
        <f>M94/M93</f>
        <v/>
      </c>
      <c r="N95" s="308">
        <f>N94/N93</f>
        <v/>
      </c>
      <c r="O95" s="309">
        <f>O94/O93</f>
        <v/>
      </c>
      <c r="P95" s="321">
        <f>P94/P93</f>
        <v/>
      </c>
      <c r="Q95" s="873" t="n"/>
      <c r="R95" s="873" t="n"/>
      <c r="S95" s="873" t="n"/>
      <c r="T95" s="873" t="n"/>
    </row>
    <row r="96">
      <c r="A96" s="1198" t="inlineStr">
        <is>
          <t>VD269</t>
        </is>
      </c>
      <c r="B96" s="1191" t="inlineStr">
        <is>
          <t xml:space="preserve">CENTRAL TECH </t>
        </is>
      </c>
      <c r="C96" s="494" t="inlineStr">
        <is>
          <t>Số bản vẽ</t>
        </is>
      </c>
      <c r="D96" s="576" t="n">
        <v>0</v>
      </c>
      <c r="E96" s="322" t="n">
        <v>0</v>
      </c>
      <c r="F96" s="576" t="n">
        <v>0</v>
      </c>
      <c r="G96" s="576" t="n"/>
      <c r="H96" s="576" t="n"/>
      <c r="I96" s="576" t="n"/>
      <c r="J96" s="576" t="n"/>
      <c r="K96" s="576" t="n"/>
      <c r="L96" s="576" t="n"/>
      <c r="M96" s="576" t="n"/>
      <c r="N96" s="576" t="n"/>
      <c r="O96" s="319" t="n"/>
      <c r="P96" s="228">
        <f>SUM(D96:O96)</f>
        <v/>
      </c>
      <c r="Q96" s="873" t="n"/>
      <c r="R96" s="873" t="n"/>
      <c r="S96" s="873" t="n"/>
      <c r="T96" s="873" t="n"/>
    </row>
    <row r="97">
      <c r="A97" s="1194" t="n"/>
      <c r="B97" s="1170" t="n"/>
      <c r="C97" s="205" t="inlineStr">
        <is>
          <t>Số phế phẩm</t>
        </is>
      </c>
      <c r="D97" s="614" t="n">
        <v>0</v>
      </c>
      <c r="E97" s="306" t="n">
        <v>0</v>
      </c>
      <c r="F97" s="614" t="n">
        <v>0</v>
      </c>
      <c r="G97" s="614" t="n"/>
      <c r="H97" s="614" t="n"/>
      <c r="I97" s="614" t="n"/>
      <c r="J97" s="614" t="n"/>
      <c r="K97" s="614" t="n"/>
      <c r="L97" s="614" t="n"/>
      <c r="M97" s="614" t="n"/>
      <c r="N97" s="614" t="n"/>
      <c r="O97" s="307" t="n"/>
      <c r="P97" s="218">
        <f>SUM(D97:O97)</f>
        <v/>
      </c>
      <c r="Q97" s="873" t="n"/>
      <c r="R97" s="873" t="n"/>
      <c r="S97" s="873" t="n"/>
      <c r="T97" s="873" t="n"/>
    </row>
    <row r="98" ht="15" customHeight="1" s="1062" thickBot="1">
      <c r="A98" s="1195" t="n"/>
      <c r="B98" s="1174" t="n"/>
      <c r="C98" s="219" t="inlineStr">
        <is>
          <t>Tỷ lệ phế phẩm</t>
        </is>
      </c>
      <c r="D98" s="308">
        <f>D97/D96</f>
        <v/>
      </c>
      <c r="E98" s="308">
        <f>E97/E96</f>
        <v/>
      </c>
      <c r="F98" s="308">
        <f>F97/F96</f>
        <v/>
      </c>
      <c r="G98" s="308">
        <f>G97/G96</f>
        <v/>
      </c>
      <c r="H98" s="308">
        <f>H97/H96</f>
        <v/>
      </c>
      <c r="I98" s="308">
        <f>I97/I96</f>
        <v/>
      </c>
      <c r="J98" s="308">
        <f>J97/J96</f>
        <v/>
      </c>
      <c r="K98" s="308">
        <f>K97/K96</f>
        <v/>
      </c>
      <c r="L98" s="308">
        <f>L97/L96</f>
        <v/>
      </c>
      <c r="M98" s="308">
        <f>M97/M96</f>
        <v/>
      </c>
      <c r="N98" s="308">
        <f>N97/N96</f>
        <v/>
      </c>
      <c r="O98" s="309">
        <f>O97/O96</f>
        <v/>
      </c>
      <c r="P98" s="321">
        <f>P97/P96</f>
        <v/>
      </c>
      <c r="Q98" s="873" t="n"/>
      <c r="R98" s="873" t="n"/>
      <c r="S98" s="873" t="n"/>
      <c r="T98" s="873" t="n"/>
    </row>
    <row r="99">
      <c r="A99" s="1199" t="inlineStr">
        <is>
          <t>VD335</t>
        </is>
      </c>
      <c r="B99" s="1191" t="inlineStr">
        <is>
          <t>TINH NGUYEN HAO</t>
        </is>
      </c>
      <c r="C99" s="494" t="inlineStr">
        <is>
          <t>Số bản vẽ</t>
        </is>
      </c>
      <c r="D99" s="576" t="n">
        <v>47</v>
      </c>
      <c r="E99" s="322" t="n">
        <v>64</v>
      </c>
      <c r="F99" s="576" t="n"/>
      <c r="G99" s="576" t="n"/>
      <c r="H99" s="576" t="n"/>
      <c r="I99" s="576" t="n"/>
      <c r="J99" s="576" t="n"/>
      <c r="K99" s="576" t="n"/>
      <c r="L99" s="576" t="n"/>
      <c r="M99" s="576" t="n"/>
      <c r="N99" s="576" t="n"/>
      <c r="O99" s="319" t="n"/>
      <c r="P99" s="228">
        <f>SUM(D99:O99)</f>
        <v/>
      </c>
      <c r="Q99" s="873" t="n"/>
      <c r="R99" s="873" t="n"/>
      <c r="S99" s="873" t="n"/>
      <c r="T99" s="873" t="n"/>
    </row>
    <row r="100">
      <c r="A100" s="1170" t="n"/>
      <c r="B100" s="1170" t="n"/>
      <c r="C100" s="205" t="inlineStr">
        <is>
          <t>Số phế phẩm</t>
        </is>
      </c>
      <c r="D100" s="614" t="n">
        <v>0</v>
      </c>
      <c r="E100" s="306" t="n">
        <v>2</v>
      </c>
      <c r="F100" s="614" t="n"/>
      <c r="G100" s="614" t="n"/>
      <c r="H100" s="614" t="n"/>
      <c r="I100" s="614" t="n"/>
      <c r="J100" s="614" t="n"/>
      <c r="K100" s="614" t="n"/>
      <c r="L100" s="614" t="n"/>
      <c r="M100" s="614" t="n"/>
      <c r="N100" s="614" t="n"/>
      <c r="O100" s="307" t="n"/>
      <c r="P100" s="218">
        <f>SUM(D100:O100)</f>
        <v/>
      </c>
      <c r="Q100" s="873" t="n"/>
      <c r="R100" s="873" t="n"/>
      <c r="S100" s="873" t="n"/>
      <c r="T100" s="873" t="n"/>
    </row>
    <row r="101" ht="15" customHeight="1" s="1062" thickBot="1">
      <c r="A101" s="1174" t="n"/>
      <c r="B101" s="1174" t="n"/>
      <c r="C101" s="219" t="inlineStr">
        <is>
          <t>Tỷ lệ phế phẩm</t>
        </is>
      </c>
      <c r="D101" s="308">
        <f>D100/D99</f>
        <v/>
      </c>
      <c r="E101" s="308">
        <f>E100/E99</f>
        <v/>
      </c>
      <c r="F101" s="308">
        <f>F100/F99</f>
        <v/>
      </c>
      <c r="G101" s="308">
        <f>G100/G99</f>
        <v/>
      </c>
      <c r="H101" s="308">
        <f>H100/H99</f>
        <v/>
      </c>
      <c r="I101" s="308">
        <f>I100/I99</f>
        <v/>
      </c>
      <c r="J101" s="308">
        <f>J100/J99</f>
        <v/>
      </c>
      <c r="K101" s="308">
        <f>K100/K99</f>
        <v/>
      </c>
      <c r="L101" s="308">
        <f>L100/L99</f>
        <v/>
      </c>
      <c r="M101" s="308">
        <f>M100/M99</f>
        <v/>
      </c>
      <c r="N101" s="308">
        <f>N100/N99</f>
        <v/>
      </c>
      <c r="O101" s="309">
        <f>O100/O99</f>
        <v/>
      </c>
      <c r="P101" s="321">
        <f>P100/P99</f>
        <v/>
      </c>
      <c r="Q101" s="873" t="n"/>
      <c r="R101" s="873" t="n"/>
      <c r="S101" s="873" t="n"/>
      <c r="T101" s="873" t="n"/>
    </row>
    <row r="102">
      <c r="A102" s="1198" t="inlineStr">
        <is>
          <t>VD467</t>
        </is>
      </c>
      <c r="B102" s="1191" t="inlineStr">
        <is>
          <t>CNCLASER</t>
        </is>
      </c>
      <c r="C102" s="494" t="inlineStr">
        <is>
          <t>Số bản vẽ</t>
        </is>
      </c>
      <c r="D102" s="576" t="n"/>
      <c r="E102" s="322" t="n"/>
      <c r="F102" s="576" t="n">
        <v>2</v>
      </c>
      <c r="G102" s="576" t="n"/>
      <c r="H102" s="576" t="n"/>
      <c r="I102" s="576" t="n"/>
      <c r="J102" s="576" t="n"/>
      <c r="K102" s="576" t="n"/>
      <c r="L102" s="576" t="n"/>
      <c r="M102" s="576" t="n"/>
      <c r="N102" s="576" t="n"/>
      <c r="O102" s="319" t="n"/>
      <c r="P102" s="228">
        <f>SUM(D102:O102)</f>
        <v/>
      </c>
      <c r="Q102" s="873" t="n"/>
      <c r="R102" s="873" t="n"/>
      <c r="S102" s="873" t="n"/>
      <c r="T102" s="873" t="n"/>
    </row>
    <row r="103">
      <c r="A103" s="1194" t="n"/>
      <c r="B103" s="1170" t="n"/>
      <c r="C103" s="205" t="inlineStr">
        <is>
          <t>Số phế phẩm</t>
        </is>
      </c>
      <c r="D103" s="614" t="n"/>
      <c r="E103" s="306" t="n"/>
      <c r="F103" s="614" t="n">
        <v>0</v>
      </c>
      <c r="G103" s="614" t="n"/>
      <c r="H103" s="614" t="n"/>
      <c r="I103" s="614" t="n"/>
      <c r="J103" s="614" t="n"/>
      <c r="K103" s="614" t="n"/>
      <c r="L103" s="614" t="n"/>
      <c r="M103" s="614" t="n"/>
      <c r="N103" s="614" t="n"/>
      <c r="O103" s="307" t="n"/>
      <c r="P103" s="218">
        <f>SUM(D103:O103)</f>
        <v/>
      </c>
      <c r="Q103" s="873" t="n"/>
      <c r="R103" s="873" t="n"/>
      <c r="S103" s="873" t="n"/>
      <c r="T103" s="873" t="n"/>
    </row>
    <row r="104" ht="15" customHeight="1" s="1062" thickBot="1">
      <c r="A104" s="1195" t="n"/>
      <c r="B104" s="1174" t="n"/>
      <c r="C104" s="219" t="inlineStr">
        <is>
          <t>Tỷ lệ phế phẩm</t>
        </is>
      </c>
      <c r="D104" s="308">
        <f>D103/D102</f>
        <v/>
      </c>
      <c r="E104" s="308">
        <f>E103/E102</f>
        <v/>
      </c>
      <c r="F104" s="308">
        <f>F103/F102</f>
        <v/>
      </c>
      <c r="G104" s="308">
        <f>G103/G102</f>
        <v/>
      </c>
      <c r="H104" s="308">
        <f>H103/H102</f>
        <v/>
      </c>
      <c r="I104" s="308">
        <f>I103/I102</f>
        <v/>
      </c>
      <c r="J104" s="308">
        <f>J103/J102</f>
        <v/>
      </c>
      <c r="K104" s="308">
        <f>K103/K102</f>
        <v/>
      </c>
      <c r="L104" s="308">
        <f>L103/L102</f>
        <v/>
      </c>
      <c r="M104" s="308">
        <f>M103/M102</f>
        <v/>
      </c>
      <c r="N104" s="308">
        <f>N103/N102</f>
        <v/>
      </c>
      <c r="O104" s="309">
        <f>O103/O102</f>
        <v/>
      </c>
      <c r="P104" s="321">
        <f>P103/P102</f>
        <v/>
      </c>
      <c r="Q104" s="873" t="n"/>
      <c r="R104" s="873" t="n"/>
      <c r="S104" s="873" t="n"/>
      <c r="T104" s="873" t="n"/>
    </row>
    <row r="105">
      <c r="A105" s="1199" t="n"/>
      <c r="B105" s="1191" t="n"/>
      <c r="C105" s="494" t="inlineStr">
        <is>
          <t>Số bản vẽ</t>
        </is>
      </c>
      <c r="D105" s="576" t="n"/>
      <c r="E105" s="322" t="n"/>
      <c r="F105" s="576" t="n"/>
      <c r="G105" s="576" t="n"/>
      <c r="H105" s="576" t="n"/>
      <c r="I105" s="576" t="n"/>
      <c r="J105" s="576" t="n"/>
      <c r="K105" s="576" t="n"/>
      <c r="L105" s="576" t="n"/>
      <c r="M105" s="576" t="n"/>
      <c r="N105" s="576" t="n"/>
      <c r="O105" s="319" t="n"/>
      <c r="P105" s="228">
        <f>SUM(D105:O105)</f>
        <v/>
      </c>
      <c r="Q105" s="873" t="n"/>
      <c r="R105" s="873" t="n"/>
      <c r="S105" s="873" t="n"/>
      <c r="T105" s="873" t="n"/>
    </row>
    <row r="106">
      <c r="A106" s="1170" t="n"/>
      <c r="B106" s="1170" t="n"/>
      <c r="C106" s="205" t="inlineStr">
        <is>
          <t>Số phế phẩm</t>
        </is>
      </c>
      <c r="D106" s="614" t="n"/>
      <c r="E106" s="306" t="n"/>
      <c r="F106" s="614" t="n"/>
      <c r="G106" s="614" t="n"/>
      <c r="H106" s="614" t="n"/>
      <c r="I106" s="614" t="n"/>
      <c r="J106" s="614" t="n"/>
      <c r="K106" s="614" t="n"/>
      <c r="L106" s="614" t="n"/>
      <c r="M106" s="614" t="n"/>
      <c r="N106" s="614" t="n"/>
      <c r="O106" s="307" t="n"/>
      <c r="P106" s="218">
        <f>SUM(D106:O106)</f>
        <v/>
      </c>
      <c r="Q106" s="873" t="n"/>
      <c r="R106" s="873" t="n"/>
      <c r="S106" s="873" t="n"/>
      <c r="T106" s="873" t="n"/>
    </row>
    <row r="107" ht="15" customHeight="1" s="1062" thickBot="1">
      <c r="A107" s="1174" t="n"/>
      <c r="B107" s="1174" t="n"/>
      <c r="C107" s="219" t="inlineStr">
        <is>
          <t>Tỷ lệ phế phẩm</t>
        </is>
      </c>
      <c r="D107" s="308">
        <f>D106/D105</f>
        <v/>
      </c>
      <c r="E107" s="308">
        <f>E106/E105</f>
        <v/>
      </c>
      <c r="F107" s="308">
        <f>F106/F105</f>
        <v/>
      </c>
      <c r="G107" s="308">
        <f>G106/G105</f>
        <v/>
      </c>
      <c r="H107" s="308">
        <f>H106/H105</f>
        <v/>
      </c>
      <c r="I107" s="308">
        <f>I106/I105</f>
        <v/>
      </c>
      <c r="J107" s="308">
        <f>J106/J105</f>
        <v/>
      </c>
      <c r="K107" s="308">
        <f>K106/K105</f>
        <v/>
      </c>
      <c r="L107" s="308">
        <f>L106/L105</f>
        <v/>
      </c>
      <c r="M107" s="308">
        <f>M106/M105</f>
        <v/>
      </c>
      <c r="N107" s="308">
        <f>N106/N105</f>
        <v/>
      </c>
      <c r="O107" s="309">
        <f>O106/O105</f>
        <v/>
      </c>
      <c r="P107" s="321">
        <f>P106/P105</f>
        <v/>
      </c>
      <c r="Q107" s="873" t="n"/>
      <c r="R107" s="873" t="n"/>
      <c r="S107" s="873" t="n"/>
      <c r="T107" s="873" t="n"/>
    </row>
    <row r="108">
      <c r="A108" s="1200" t="n"/>
      <c r="B108" s="1191" t="n"/>
      <c r="C108" s="494" t="inlineStr">
        <is>
          <t>Số bản vẽ</t>
        </is>
      </c>
      <c r="D108" s="576" t="n"/>
      <c r="E108" s="322" t="n"/>
      <c r="F108" s="576" t="n"/>
      <c r="G108" s="576" t="n"/>
      <c r="H108" s="576" t="n"/>
      <c r="I108" s="576" t="n"/>
      <c r="J108" s="576" t="n"/>
      <c r="K108" s="576" t="n"/>
      <c r="L108" s="576" t="n"/>
      <c r="M108" s="576" t="n"/>
      <c r="N108" s="576" t="n"/>
      <c r="O108" s="319" t="n"/>
      <c r="P108" s="228">
        <f>SUM(D108:O108)</f>
        <v/>
      </c>
      <c r="Q108" s="873" t="n"/>
      <c r="R108" s="873" t="n"/>
      <c r="S108" s="873" t="n"/>
      <c r="T108" s="873" t="n"/>
    </row>
    <row r="109">
      <c r="A109" s="1194" t="n"/>
      <c r="B109" s="1170" t="n"/>
      <c r="C109" s="205" t="inlineStr">
        <is>
          <t>Số phế phẩm</t>
        </is>
      </c>
      <c r="D109" s="614" t="n"/>
      <c r="E109" s="306" t="n"/>
      <c r="F109" s="614" t="n"/>
      <c r="G109" s="614" t="n"/>
      <c r="H109" s="614" t="n"/>
      <c r="I109" s="614" t="n"/>
      <c r="J109" s="614" t="n"/>
      <c r="K109" s="614" t="n"/>
      <c r="L109" s="614" t="n"/>
      <c r="M109" s="614" t="n"/>
      <c r="N109" s="614" t="n"/>
      <c r="O109" s="307" t="n"/>
      <c r="P109" s="218">
        <f>SUM(D109:O109)</f>
        <v/>
      </c>
      <c r="Q109" s="873" t="n"/>
      <c r="R109" s="873" t="n"/>
      <c r="S109" s="873" t="n"/>
      <c r="T109" s="873" t="n"/>
    </row>
    <row r="110" ht="15" customHeight="1" s="1062" thickBot="1">
      <c r="A110" s="1195" t="n"/>
      <c r="B110" s="1174" t="n"/>
      <c r="C110" s="219" t="inlineStr">
        <is>
          <t>Tỷ lệ phế phẩm</t>
        </is>
      </c>
      <c r="D110" s="308">
        <f>D109/D108</f>
        <v/>
      </c>
      <c r="E110" s="308">
        <f>E109/E108</f>
        <v/>
      </c>
      <c r="F110" s="308">
        <f>F109/F108</f>
        <v/>
      </c>
      <c r="G110" s="308">
        <f>G109/G108</f>
        <v/>
      </c>
      <c r="H110" s="308">
        <f>H109/H108</f>
        <v/>
      </c>
      <c r="I110" s="308">
        <f>I109/I108</f>
        <v/>
      </c>
      <c r="J110" s="308">
        <f>J109/J108</f>
        <v/>
      </c>
      <c r="K110" s="308">
        <f>K109/K108</f>
        <v/>
      </c>
      <c r="L110" s="308">
        <f>L109/L108</f>
        <v/>
      </c>
      <c r="M110" s="308">
        <f>M109/M108</f>
        <v/>
      </c>
      <c r="N110" s="308">
        <f>N109/N108</f>
        <v/>
      </c>
      <c r="O110" s="309">
        <f>O109/O108</f>
        <v/>
      </c>
      <c r="P110" s="321">
        <f>P109/P108</f>
        <v/>
      </c>
      <c r="Q110" s="873" t="n"/>
      <c r="R110" s="873" t="n"/>
      <c r="S110" s="873" t="n"/>
      <c r="T110" s="873" t="n"/>
    </row>
    <row r="111">
      <c r="A111" s="1200" t="n"/>
      <c r="B111" s="1191" t="n"/>
      <c r="C111" s="494" t="inlineStr">
        <is>
          <t>Số bản vẽ</t>
        </is>
      </c>
      <c r="D111" s="576" t="n"/>
      <c r="E111" s="322" t="n"/>
      <c r="F111" s="576" t="n"/>
      <c r="G111" s="576" t="n"/>
      <c r="H111" s="576" t="n"/>
      <c r="I111" s="576" t="n"/>
      <c r="J111" s="576" t="n"/>
      <c r="K111" s="576" t="n"/>
      <c r="L111" s="576" t="n"/>
      <c r="M111" s="576" t="n"/>
      <c r="N111" s="576" t="n"/>
      <c r="O111" s="319" t="n"/>
      <c r="P111" s="228">
        <f>SUM(D111:O111)</f>
        <v/>
      </c>
      <c r="Q111" s="873" t="n"/>
      <c r="R111" s="873" t="n"/>
      <c r="S111" s="873" t="n"/>
      <c r="T111" s="873" t="n"/>
    </row>
    <row r="112">
      <c r="A112" s="1194" t="n"/>
      <c r="B112" s="1170" t="n"/>
      <c r="C112" s="205" t="inlineStr">
        <is>
          <t>Số phế phẩm</t>
        </is>
      </c>
      <c r="D112" s="614" t="n"/>
      <c r="E112" s="306" t="n"/>
      <c r="F112" s="614" t="n"/>
      <c r="G112" s="614" t="n"/>
      <c r="H112" s="614" t="n"/>
      <c r="I112" s="614" t="n"/>
      <c r="J112" s="614" t="n"/>
      <c r="K112" s="614" t="n"/>
      <c r="L112" s="614" t="n"/>
      <c r="M112" s="614" t="n"/>
      <c r="N112" s="614" t="n"/>
      <c r="O112" s="307" t="n"/>
      <c r="P112" s="218">
        <f>SUM(D112:O112)</f>
        <v/>
      </c>
      <c r="Q112" s="873" t="n"/>
      <c r="R112" s="873" t="n"/>
      <c r="S112" s="873" t="n"/>
      <c r="T112" s="873" t="n"/>
    </row>
    <row r="113" ht="15" customHeight="1" s="1062" thickBot="1">
      <c r="A113" s="1195" t="n"/>
      <c r="B113" s="1174" t="n"/>
      <c r="C113" s="219" t="inlineStr">
        <is>
          <t>Tỷ lệ phế phẩm</t>
        </is>
      </c>
      <c r="D113" s="308">
        <f>D112/D111</f>
        <v/>
      </c>
      <c r="E113" s="308">
        <f>E112/E111</f>
        <v/>
      </c>
      <c r="F113" s="308">
        <f>F112/F111</f>
        <v/>
      </c>
      <c r="G113" s="308">
        <f>G112/G111</f>
        <v/>
      </c>
      <c r="H113" s="308">
        <f>H112/H111</f>
        <v/>
      </c>
      <c r="I113" s="308">
        <f>I112/I111</f>
        <v/>
      </c>
      <c r="J113" s="308">
        <f>J112/J111</f>
        <v/>
      </c>
      <c r="K113" s="308">
        <f>K112/K111</f>
        <v/>
      </c>
      <c r="L113" s="308">
        <f>L112/L111</f>
        <v/>
      </c>
      <c r="M113" s="308">
        <f>M112/M111</f>
        <v/>
      </c>
      <c r="N113" s="308">
        <f>N112/N111</f>
        <v/>
      </c>
      <c r="O113" s="309">
        <f>O112/O111</f>
        <v/>
      </c>
      <c r="P113" s="321">
        <f>P112/P111</f>
        <v/>
      </c>
      <c r="Q113" s="873" t="n"/>
      <c r="R113" s="873" t="n"/>
      <c r="S113" s="873" t="n"/>
      <c r="T113" s="873" t="n"/>
    </row>
    <row r="114">
      <c r="A114" s="873" t="n"/>
      <c r="B114" s="873" t="n"/>
      <c r="C114" s="873" t="n"/>
      <c r="D114" s="292" t="n"/>
      <c r="E114" s="292" t="inlineStr">
        <is>
          <t>※不良件数=工程不良図面枚数</t>
        </is>
      </c>
      <c r="F114" s="292" t="n"/>
      <c r="G114" s="292" t="n"/>
      <c r="H114" s="292" t="n"/>
      <c r="I114" s="292" t="n"/>
      <c r="J114" s="292" t="n"/>
      <c r="K114" s="292" t="n"/>
      <c r="L114" s="292" t="n"/>
      <c r="M114" s="292" t="n"/>
      <c r="N114" s="292" t="n"/>
      <c r="O114" s="292" t="n"/>
      <c r="P114" s="292" t="n"/>
      <c r="Q114" s="873" t="n"/>
      <c r="R114" s="873" t="n"/>
      <c r="S114" s="873" t="n"/>
      <c r="T114" s="873" t="n"/>
    </row>
    <row r="115">
      <c r="A115" s="873" t="n"/>
      <c r="B115" s="873" t="n"/>
      <c r="C115" s="873" t="n"/>
      <c r="D115" s="292" t="n"/>
      <c r="E115" s="292" t="inlineStr">
        <is>
          <t>※不良率=工程不良図面枚数÷工程完了図面枚数×100</t>
        </is>
      </c>
      <c r="F115" s="292" t="n"/>
      <c r="G115" s="292" t="n"/>
      <c r="H115" s="292" t="n"/>
      <c r="I115" s="292" t="n"/>
      <c r="J115" s="292" t="n"/>
      <c r="K115" s="292" t="n"/>
      <c r="L115" s="292" t="n"/>
      <c r="M115" s="292" t="n"/>
      <c r="N115" s="292" t="n"/>
      <c r="O115" s="292" t="n"/>
      <c r="P115" s="292" t="n"/>
      <c r="Q115" s="873" t="n"/>
      <c r="R115" s="873" t="n"/>
      <c r="S115" s="873" t="n"/>
      <c r="T115" s="873" t="n"/>
    </row>
    <row r="116">
      <c r="A116" s="873" t="n"/>
      <c r="B116" s="873" t="n"/>
      <c r="C116" s="873" t="n"/>
      <c r="D116" s="292" t="n"/>
      <c r="E116" s="292" t="n"/>
      <c r="F116" s="292" t="n"/>
      <c r="G116" s="292" t="n"/>
      <c r="H116" s="292" t="n"/>
      <c r="I116" s="292" t="n"/>
      <c r="J116" s="292" t="n"/>
      <c r="K116" s="292" t="n"/>
      <c r="L116" s="292" t="n"/>
      <c r="M116" s="292" t="n"/>
      <c r="N116" s="292" t="n"/>
      <c r="O116" s="292" t="n"/>
      <c r="P116" s="292" t="n"/>
      <c r="Q116" s="873" t="n"/>
      <c r="R116" s="873" t="n"/>
      <c r="S116" s="873" t="n"/>
      <c r="T116" s="873" t="n"/>
    </row>
    <row r="117" ht="17.4" customHeight="1" s="1062">
      <c r="A117" s="873" t="n"/>
      <c r="B117" s="873" t="n"/>
      <c r="C117" s="327" t="inlineStr">
        <is>
          <t>※以下为自动机算，不需要输入。</t>
        </is>
      </c>
      <c r="D117" s="292" t="n"/>
      <c r="E117" s="292" t="n"/>
      <c r="F117" s="292" t="n"/>
      <c r="G117" s="292" t="n"/>
      <c r="H117" s="292" t="n"/>
      <c r="I117" s="292" t="n"/>
      <c r="J117" s="292" t="n"/>
      <c r="K117" s="292" t="n"/>
      <c r="L117" s="292" t="n"/>
      <c r="M117" s="292" t="n"/>
      <c r="N117" s="292" t="n"/>
      <c r="O117" s="292" t="n"/>
      <c r="P117" s="292" t="n"/>
      <c r="Q117" s="873" t="n"/>
      <c r="R117" s="873" t="n"/>
      <c r="S117" s="873" t="n"/>
      <c r="T117" s="873" t="n"/>
    </row>
    <row r="118">
      <c r="A118" s="873" t="n"/>
      <c r="B118" s="873" t="n"/>
      <c r="C118" s="873" t="n"/>
      <c r="D118" s="292" t="n"/>
      <c r="E118" s="292" t="n"/>
      <c r="F118" s="292" t="n"/>
      <c r="G118" s="292" t="n"/>
      <c r="H118" s="292" t="n"/>
      <c r="I118" s="292" t="n"/>
      <c r="J118" s="292" t="n"/>
      <c r="K118" s="292" t="n"/>
      <c r="L118" s="292" t="n"/>
      <c r="M118" s="292" t="n"/>
      <c r="N118" s="292" t="n"/>
      <c r="O118" s="292" t="n"/>
      <c r="P118" s="292" t="n"/>
      <c r="Q118" s="873" t="n"/>
      <c r="R118" s="873" t="n"/>
      <c r="S118" s="873" t="n"/>
      <c r="T118" s="873" t="n"/>
    </row>
    <row r="119">
      <c r="A119" s="873" t="n"/>
      <c r="B119" s="873" t="n"/>
      <c r="C119" s="192" t="inlineStr">
        <is>
          <t>※自動入力</t>
        </is>
      </c>
      <c r="D119" s="292" t="n"/>
      <c r="E119" s="292" t="n"/>
      <c r="F119" s="292" t="n"/>
      <c r="G119" s="292" t="n"/>
      <c r="H119" s="292" t="n"/>
      <c r="I119" s="292" t="n"/>
      <c r="J119" s="292" t="n"/>
      <c r="K119" s="292" t="n"/>
      <c r="L119" s="292" t="n"/>
      <c r="M119" s="292" t="n"/>
      <c r="N119" s="292" t="n"/>
      <c r="O119" s="292" t="n"/>
      <c r="P119" s="292" t="n"/>
      <c r="Q119" s="873" t="n"/>
      <c r="R119" s="873" t="n"/>
      <c r="S119" s="873" t="n"/>
      <c r="T119" s="873" t="n"/>
    </row>
    <row r="120" ht="15" customHeight="1" s="1062" thickBot="1">
      <c r="A120" s="873" t="n"/>
      <c r="B120" s="873" t="n"/>
      <c r="C120" s="873" t="n"/>
      <c r="D120" s="328" t="inlineStr">
        <is>
          <t>1月</t>
        </is>
      </c>
      <c r="E120" s="329" t="inlineStr">
        <is>
          <t>2月</t>
        </is>
      </c>
      <c r="F120" s="328" t="inlineStr">
        <is>
          <t>3月</t>
        </is>
      </c>
      <c r="G120" s="328" t="inlineStr">
        <is>
          <t>4月</t>
        </is>
      </c>
      <c r="H120" s="328" t="inlineStr">
        <is>
          <t>5月</t>
        </is>
      </c>
      <c r="I120" s="328" t="inlineStr">
        <is>
          <t>6月</t>
        </is>
      </c>
      <c r="J120" s="328" t="inlineStr">
        <is>
          <t>7月</t>
        </is>
      </c>
      <c r="K120" s="328" t="inlineStr">
        <is>
          <t>8月</t>
        </is>
      </c>
      <c r="L120" s="328" t="inlineStr">
        <is>
          <t>9月</t>
        </is>
      </c>
      <c r="M120" s="328" t="inlineStr">
        <is>
          <t>10月</t>
        </is>
      </c>
      <c r="N120" s="328" t="inlineStr">
        <is>
          <t>11月</t>
        </is>
      </c>
      <c r="O120" s="328" t="inlineStr">
        <is>
          <t>12月</t>
        </is>
      </c>
      <c r="P120" s="328" t="inlineStr">
        <is>
          <t>Lũy kế</t>
        </is>
      </c>
      <c r="Q120" s="873" t="n"/>
      <c r="R120" s="873" t="n"/>
      <c r="S120" s="873" t="n"/>
      <c r="T120" s="873" t="n"/>
    </row>
    <row r="121" ht="15" customHeight="1" s="1062" thickTop="1">
      <c r="A121" s="873" t="n"/>
      <c r="B121" s="330">
        <f>($B$12)</f>
        <v/>
      </c>
      <c r="C121" s="872">
        <f>C13</f>
        <v/>
      </c>
      <c r="D121" s="498">
        <f>D13</f>
        <v/>
      </c>
      <c r="E121" s="498">
        <f>E13</f>
        <v/>
      </c>
      <c r="F121" s="498">
        <f>F13</f>
        <v/>
      </c>
      <c r="G121" s="498">
        <f>G13</f>
        <v/>
      </c>
      <c r="H121" s="498">
        <f>H13</f>
        <v/>
      </c>
      <c r="I121" s="498">
        <f>I13</f>
        <v/>
      </c>
      <c r="J121" s="498">
        <f>J13</f>
        <v/>
      </c>
      <c r="K121" s="498">
        <f>K13</f>
        <v/>
      </c>
      <c r="L121" s="498">
        <f>L13</f>
        <v/>
      </c>
      <c r="M121" s="498">
        <f>M13</f>
        <v/>
      </c>
      <c r="N121" s="498">
        <f>N13</f>
        <v/>
      </c>
      <c r="O121" s="498">
        <f>O13</f>
        <v/>
      </c>
      <c r="P121" s="498">
        <f>P13</f>
        <v/>
      </c>
      <c r="Q121" s="873" t="n"/>
      <c r="R121" s="873" t="n"/>
      <c r="S121" s="873" t="n"/>
      <c r="T121" s="873" t="n"/>
    </row>
    <row r="122">
      <c r="A122" s="873" t="n"/>
      <c r="B122" s="386">
        <f>($B$15)</f>
        <v/>
      </c>
      <c r="C122" s="498">
        <f>C16</f>
        <v/>
      </c>
      <c r="D122" s="498">
        <f>D16</f>
        <v/>
      </c>
      <c r="E122" s="498">
        <f>E16</f>
        <v/>
      </c>
      <c r="F122" s="498">
        <f>F16</f>
        <v/>
      </c>
      <c r="G122" s="498">
        <f>G16</f>
        <v/>
      </c>
      <c r="H122" s="498">
        <f>H16</f>
        <v/>
      </c>
      <c r="I122" s="498">
        <f>I16</f>
        <v/>
      </c>
      <c r="J122" s="498">
        <f>J16</f>
        <v/>
      </c>
      <c r="K122" s="498">
        <f>K16</f>
        <v/>
      </c>
      <c r="L122" s="498">
        <f>L16</f>
        <v/>
      </c>
      <c r="M122" s="498">
        <f>M16</f>
        <v/>
      </c>
      <c r="N122" s="498">
        <f>N16</f>
        <v/>
      </c>
      <c r="O122" s="498">
        <f>O16</f>
        <v/>
      </c>
      <c r="P122" s="498">
        <f>P16</f>
        <v/>
      </c>
      <c r="Q122" s="873" t="n"/>
      <c r="R122" s="873" t="n"/>
      <c r="S122" s="873" t="n"/>
      <c r="T122" s="873" t="n"/>
    </row>
    <row r="123">
      <c r="A123" s="873" t="n"/>
      <c r="B123" s="386">
        <f>($B$18)</f>
        <v/>
      </c>
      <c r="C123" s="498">
        <f>C19</f>
        <v/>
      </c>
      <c r="D123" s="498">
        <f>D19</f>
        <v/>
      </c>
      <c r="E123" s="498">
        <f>E19</f>
        <v/>
      </c>
      <c r="F123" s="498">
        <f>F19</f>
        <v/>
      </c>
      <c r="G123" s="498">
        <f>G19</f>
        <v/>
      </c>
      <c r="H123" s="498">
        <f>H19</f>
        <v/>
      </c>
      <c r="I123" s="498">
        <f>I19</f>
        <v/>
      </c>
      <c r="J123" s="498">
        <f>J19</f>
        <v/>
      </c>
      <c r="K123" s="498">
        <f>K19</f>
        <v/>
      </c>
      <c r="L123" s="498">
        <f>L19</f>
        <v/>
      </c>
      <c r="M123" s="498">
        <f>M19</f>
        <v/>
      </c>
      <c r="N123" s="498">
        <f>N19</f>
        <v/>
      </c>
      <c r="O123" s="498">
        <f>O19</f>
        <v/>
      </c>
      <c r="P123" s="498">
        <f>P19</f>
        <v/>
      </c>
      <c r="Q123" s="873" t="n"/>
      <c r="R123" s="873" t="n"/>
      <c r="S123" s="873" t="n"/>
      <c r="T123" s="873" t="n"/>
    </row>
    <row r="124">
      <c r="A124" s="873" t="n"/>
      <c r="B124" s="386">
        <f>($B$21)</f>
        <v/>
      </c>
      <c r="C124" s="498">
        <f>C22</f>
        <v/>
      </c>
      <c r="D124" s="498">
        <f>D22</f>
        <v/>
      </c>
      <c r="E124" s="498">
        <f>E22</f>
        <v/>
      </c>
      <c r="F124" s="498">
        <f>F22</f>
        <v/>
      </c>
      <c r="G124" s="498">
        <f>G22</f>
        <v/>
      </c>
      <c r="H124" s="498">
        <f>H22</f>
        <v/>
      </c>
      <c r="I124" s="498">
        <f>I22</f>
        <v/>
      </c>
      <c r="J124" s="498">
        <f>J22</f>
        <v/>
      </c>
      <c r="K124" s="498">
        <f>K22</f>
        <v/>
      </c>
      <c r="L124" s="498">
        <f>L22</f>
        <v/>
      </c>
      <c r="M124" s="498">
        <f>M22</f>
        <v/>
      </c>
      <c r="N124" s="498">
        <f>N22</f>
        <v/>
      </c>
      <c r="O124" s="498">
        <f>O22</f>
        <v/>
      </c>
      <c r="P124" s="498">
        <f>P22</f>
        <v/>
      </c>
      <c r="Q124" s="873" t="n"/>
      <c r="R124" s="873" t="n"/>
      <c r="S124" s="873" t="n"/>
      <c r="T124" s="873" t="n"/>
    </row>
    <row r="125">
      <c r="A125" s="873" t="n"/>
      <c r="B125" s="386">
        <f>($B$24)</f>
        <v/>
      </c>
      <c r="C125" s="498">
        <f>C25</f>
        <v/>
      </c>
      <c r="D125" s="498">
        <f>D25</f>
        <v/>
      </c>
      <c r="E125" s="498">
        <f>E25</f>
        <v/>
      </c>
      <c r="F125" s="498">
        <f>F25</f>
        <v/>
      </c>
      <c r="G125" s="498">
        <f>G25</f>
        <v/>
      </c>
      <c r="H125" s="498">
        <f>H25</f>
        <v/>
      </c>
      <c r="I125" s="498">
        <f>I25</f>
        <v/>
      </c>
      <c r="J125" s="498">
        <f>J25</f>
        <v/>
      </c>
      <c r="K125" s="498">
        <f>K25</f>
        <v/>
      </c>
      <c r="L125" s="498">
        <f>L25</f>
        <v/>
      </c>
      <c r="M125" s="498">
        <f>M25</f>
        <v/>
      </c>
      <c r="N125" s="498">
        <f>N25</f>
        <v/>
      </c>
      <c r="O125" s="498">
        <f>O25</f>
        <v/>
      </c>
      <c r="P125" s="498">
        <f>P25</f>
        <v/>
      </c>
      <c r="Q125" s="873" t="n"/>
      <c r="R125" s="873" t="n"/>
      <c r="S125" s="873" t="n"/>
      <c r="T125" s="873" t="n"/>
    </row>
    <row r="126">
      <c r="A126" s="873" t="n"/>
      <c r="B126" s="386">
        <f>($B$27)</f>
        <v/>
      </c>
      <c r="C126" s="498">
        <f>C28</f>
        <v/>
      </c>
      <c r="D126" s="498">
        <f>D28</f>
        <v/>
      </c>
      <c r="E126" s="498">
        <f>E28</f>
        <v/>
      </c>
      <c r="F126" s="498">
        <f>F28</f>
        <v/>
      </c>
      <c r="G126" s="498">
        <f>G28</f>
        <v/>
      </c>
      <c r="H126" s="498">
        <f>H28</f>
        <v/>
      </c>
      <c r="I126" s="498">
        <f>I28</f>
        <v/>
      </c>
      <c r="J126" s="498">
        <f>J28</f>
        <v/>
      </c>
      <c r="K126" s="498">
        <f>K28</f>
        <v/>
      </c>
      <c r="L126" s="498">
        <f>L28</f>
        <v/>
      </c>
      <c r="M126" s="498">
        <f>M28</f>
        <v/>
      </c>
      <c r="N126" s="498">
        <f>N28</f>
        <v/>
      </c>
      <c r="O126" s="498">
        <f>O28</f>
        <v/>
      </c>
      <c r="P126" s="498">
        <f>P28</f>
        <v/>
      </c>
      <c r="Q126" s="873" t="n"/>
      <c r="R126" s="873" t="n"/>
      <c r="S126" s="873" t="n"/>
      <c r="T126" s="873" t="n"/>
    </row>
    <row r="127">
      <c r="A127" s="873" t="n"/>
      <c r="B127" s="386">
        <f>($B$30)</f>
        <v/>
      </c>
      <c r="C127" s="498">
        <f>C31</f>
        <v/>
      </c>
      <c r="D127" s="498">
        <f>D31</f>
        <v/>
      </c>
      <c r="E127" s="498">
        <f>E31</f>
        <v/>
      </c>
      <c r="F127" s="498">
        <f>F31</f>
        <v/>
      </c>
      <c r="G127" s="498">
        <f>G31</f>
        <v/>
      </c>
      <c r="H127" s="498">
        <f>H31</f>
        <v/>
      </c>
      <c r="I127" s="498">
        <f>I31</f>
        <v/>
      </c>
      <c r="J127" s="498">
        <f>J31</f>
        <v/>
      </c>
      <c r="K127" s="498">
        <f>K31</f>
        <v/>
      </c>
      <c r="L127" s="498">
        <f>L31</f>
        <v/>
      </c>
      <c r="M127" s="498">
        <f>M31</f>
        <v/>
      </c>
      <c r="N127" s="498">
        <f>N31</f>
        <v/>
      </c>
      <c r="O127" s="498">
        <f>O31</f>
        <v/>
      </c>
      <c r="P127" s="498">
        <f>P31</f>
        <v/>
      </c>
      <c r="Q127" s="873" t="n"/>
      <c r="R127" s="873" t="n"/>
      <c r="S127" s="873" t="n"/>
      <c r="T127" s="873" t="n"/>
    </row>
    <row r="128">
      <c r="A128" s="873" t="n"/>
      <c r="B128" s="386">
        <f>($B$33)</f>
        <v/>
      </c>
      <c r="C128" s="498">
        <f>C34</f>
        <v/>
      </c>
      <c r="D128" s="498">
        <f>D34</f>
        <v/>
      </c>
      <c r="E128" s="498">
        <f>E34</f>
        <v/>
      </c>
      <c r="F128" s="498">
        <f>F34</f>
        <v/>
      </c>
      <c r="G128" s="498">
        <f>G34</f>
        <v/>
      </c>
      <c r="H128" s="498">
        <f>H34</f>
        <v/>
      </c>
      <c r="I128" s="498">
        <f>I34</f>
        <v/>
      </c>
      <c r="J128" s="498">
        <f>J34</f>
        <v/>
      </c>
      <c r="K128" s="498">
        <f>K34</f>
        <v/>
      </c>
      <c r="L128" s="498">
        <f>L34</f>
        <v/>
      </c>
      <c r="M128" s="498">
        <f>M34</f>
        <v/>
      </c>
      <c r="N128" s="498">
        <f>N34</f>
        <v/>
      </c>
      <c r="O128" s="498">
        <f>O34</f>
        <v/>
      </c>
      <c r="P128" s="498">
        <f>P34</f>
        <v/>
      </c>
      <c r="Q128" s="873" t="n"/>
      <c r="R128" s="873" t="n"/>
      <c r="S128" s="873" t="n"/>
      <c r="T128" s="873" t="n"/>
    </row>
    <row r="129">
      <c r="A129" s="873" t="n"/>
      <c r="B129" s="386">
        <f>($B$36)</f>
        <v/>
      </c>
      <c r="C129" s="498">
        <f>C37</f>
        <v/>
      </c>
      <c r="D129" s="498">
        <f>D37</f>
        <v/>
      </c>
      <c r="E129" s="498">
        <f>E37</f>
        <v/>
      </c>
      <c r="F129" s="498">
        <f>F37</f>
        <v/>
      </c>
      <c r="G129" s="498">
        <f>G37</f>
        <v/>
      </c>
      <c r="H129" s="498">
        <f>H36</f>
        <v/>
      </c>
      <c r="I129" s="498">
        <f>I37</f>
        <v/>
      </c>
      <c r="J129" s="498">
        <f>J37</f>
        <v/>
      </c>
      <c r="K129" s="498">
        <f>K37</f>
        <v/>
      </c>
      <c r="L129" s="498">
        <f>L37</f>
        <v/>
      </c>
      <c r="M129" s="498">
        <f>M37</f>
        <v/>
      </c>
      <c r="N129" s="498">
        <f>N37</f>
        <v/>
      </c>
      <c r="O129" s="498">
        <f>O37</f>
        <v/>
      </c>
      <c r="P129" s="498">
        <f>P37</f>
        <v/>
      </c>
      <c r="Q129" s="873" t="n"/>
      <c r="R129" s="873" t="n"/>
      <c r="S129" s="873" t="n"/>
      <c r="T129" s="873" t="n"/>
    </row>
    <row r="130">
      <c r="A130" s="873" t="n"/>
      <c r="B130" s="386">
        <f>($B$39)</f>
        <v/>
      </c>
      <c r="C130" s="498">
        <f>C40</f>
        <v/>
      </c>
      <c r="D130" s="498">
        <f>D40</f>
        <v/>
      </c>
      <c r="E130" s="498">
        <f>E40</f>
        <v/>
      </c>
      <c r="F130" s="498">
        <f>F40</f>
        <v/>
      </c>
      <c r="G130" s="498">
        <f>G40</f>
        <v/>
      </c>
      <c r="H130" s="498">
        <f>H40</f>
        <v/>
      </c>
      <c r="I130" s="498">
        <f>I40</f>
        <v/>
      </c>
      <c r="J130" s="498">
        <f>J40</f>
        <v/>
      </c>
      <c r="K130" s="498">
        <f>K40</f>
        <v/>
      </c>
      <c r="L130" s="498">
        <f>L40</f>
        <v/>
      </c>
      <c r="M130" s="498">
        <f>M40</f>
        <v/>
      </c>
      <c r="N130" s="498">
        <f>N40</f>
        <v/>
      </c>
      <c r="O130" s="498">
        <f>O40</f>
        <v/>
      </c>
      <c r="P130" s="498">
        <f>P40</f>
        <v/>
      </c>
      <c r="Q130" s="873" t="n"/>
      <c r="R130" s="873" t="n"/>
      <c r="S130" s="873" t="n"/>
      <c r="T130" s="873" t="n"/>
    </row>
    <row r="131">
      <c r="A131" s="873" t="n"/>
      <c r="B131" s="386">
        <f>($B$42)</f>
        <v/>
      </c>
      <c r="C131" s="498">
        <f>C43</f>
        <v/>
      </c>
      <c r="D131" s="498">
        <f>D43</f>
        <v/>
      </c>
      <c r="E131" s="498">
        <f>E43</f>
        <v/>
      </c>
      <c r="F131" s="498">
        <f>F43</f>
        <v/>
      </c>
      <c r="G131" s="498">
        <f>G43</f>
        <v/>
      </c>
      <c r="H131" s="498">
        <f>H43</f>
        <v/>
      </c>
      <c r="I131" s="498">
        <f>I43</f>
        <v/>
      </c>
      <c r="J131" s="498">
        <f>J43</f>
        <v/>
      </c>
      <c r="K131" s="498">
        <f>K43</f>
        <v/>
      </c>
      <c r="L131" s="498">
        <f>L43</f>
        <v/>
      </c>
      <c r="M131" s="498">
        <f>M43</f>
        <v/>
      </c>
      <c r="N131" s="498">
        <f>N43</f>
        <v/>
      </c>
      <c r="O131" s="498">
        <f>O43</f>
        <v/>
      </c>
      <c r="P131" s="498">
        <f>P43</f>
        <v/>
      </c>
      <c r="Q131" s="873" t="n"/>
      <c r="R131" s="873" t="n"/>
      <c r="S131" s="873" t="n"/>
      <c r="T131" s="873" t="n"/>
    </row>
    <row r="132">
      <c r="A132" s="873" t="n"/>
      <c r="B132" s="386">
        <f>($B$45)</f>
        <v/>
      </c>
      <c r="C132" s="498">
        <f>C46</f>
        <v/>
      </c>
      <c r="D132" s="498">
        <f>D46</f>
        <v/>
      </c>
      <c r="E132" s="498">
        <f>E46</f>
        <v/>
      </c>
      <c r="F132" s="498">
        <f>F46</f>
        <v/>
      </c>
      <c r="G132" s="498">
        <f>G46</f>
        <v/>
      </c>
      <c r="H132" s="498">
        <f>H46</f>
        <v/>
      </c>
      <c r="I132" s="498">
        <f>I46</f>
        <v/>
      </c>
      <c r="J132" s="498">
        <f>J46</f>
        <v/>
      </c>
      <c r="K132" s="498">
        <f>K46</f>
        <v/>
      </c>
      <c r="L132" s="498">
        <f>L46</f>
        <v/>
      </c>
      <c r="M132" s="498">
        <f>M46</f>
        <v/>
      </c>
      <c r="N132" s="498">
        <f>N46</f>
        <v/>
      </c>
      <c r="O132" s="498">
        <f>O46</f>
        <v/>
      </c>
      <c r="P132" s="498">
        <f>P46</f>
        <v/>
      </c>
      <c r="Q132" s="873" t="n"/>
      <c r="R132" s="873" t="n"/>
      <c r="S132" s="873" t="n"/>
      <c r="T132" s="873" t="n"/>
    </row>
    <row r="133">
      <c r="A133" s="873" t="n"/>
      <c r="B133" s="386">
        <f>($B$48)</f>
        <v/>
      </c>
      <c r="C133" s="498">
        <f>C49</f>
        <v/>
      </c>
      <c r="D133" s="498">
        <f>D49</f>
        <v/>
      </c>
      <c r="E133" s="498">
        <f>E49</f>
        <v/>
      </c>
      <c r="F133" s="498">
        <f>F49</f>
        <v/>
      </c>
      <c r="G133" s="498">
        <f>G49</f>
        <v/>
      </c>
      <c r="H133" s="498">
        <f>H49</f>
        <v/>
      </c>
      <c r="I133" s="498">
        <f>I49</f>
        <v/>
      </c>
      <c r="J133" s="498">
        <f>J49</f>
        <v/>
      </c>
      <c r="K133" s="498">
        <f>K49</f>
        <v/>
      </c>
      <c r="L133" s="498">
        <f>L49</f>
        <v/>
      </c>
      <c r="M133" s="498">
        <f>M49</f>
        <v/>
      </c>
      <c r="N133" s="498">
        <f>N49</f>
        <v/>
      </c>
      <c r="O133" s="498">
        <f>O49</f>
        <v/>
      </c>
      <c r="P133" s="498">
        <f>P49</f>
        <v/>
      </c>
      <c r="Q133" s="873" t="n"/>
      <c r="R133" s="873" t="n"/>
      <c r="S133" s="873" t="n"/>
      <c r="T133" s="873" t="n"/>
    </row>
    <row r="134">
      <c r="A134" s="873" t="n"/>
      <c r="B134" s="386">
        <f>($B$51)</f>
        <v/>
      </c>
      <c r="C134" s="498">
        <f>C52</f>
        <v/>
      </c>
      <c r="D134" s="498">
        <f>D52</f>
        <v/>
      </c>
      <c r="E134" s="498">
        <f>E52</f>
        <v/>
      </c>
      <c r="F134" s="498">
        <f>F52</f>
        <v/>
      </c>
      <c r="G134" s="498">
        <f>G52</f>
        <v/>
      </c>
      <c r="H134" s="498">
        <f>H52</f>
        <v/>
      </c>
      <c r="I134" s="498">
        <f>I52</f>
        <v/>
      </c>
      <c r="J134" s="498">
        <f>J52</f>
        <v/>
      </c>
      <c r="K134" s="498">
        <f>K52</f>
        <v/>
      </c>
      <c r="L134" s="498">
        <f>L52</f>
        <v/>
      </c>
      <c r="M134" s="498">
        <f>M52</f>
        <v/>
      </c>
      <c r="N134" s="498">
        <f>N52</f>
        <v/>
      </c>
      <c r="O134" s="498">
        <f>O52</f>
        <v/>
      </c>
      <c r="P134" s="498">
        <f>P52</f>
        <v/>
      </c>
      <c r="Q134" s="873" t="n"/>
      <c r="R134" s="873" t="n"/>
      <c r="S134" s="873" t="n"/>
      <c r="T134" s="873" t="n"/>
    </row>
    <row r="135">
      <c r="A135" s="873" t="n"/>
      <c r="B135" s="386">
        <f>($B$54)</f>
        <v/>
      </c>
      <c r="C135" s="498">
        <f>C55</f>
        <v/>
      </c>
      <c r="D135" s="498">
        <f>D55</f>
        <v/>
      </c>
      <c r="E135" s="498">
        <f>E55</f>
        <v/>
      </c>
      <c r="F135" s="498">
        <f>F55</f>
        <v/>
      </c>
      <c r="G135" s="498">
        <f>G55</f>
        <v/>
      </c>
      <c r="H135" s="498">
        <f>H55</f>
        <v/>
      </c>
      <c r="I135" s="498">
        <f>I55</f>
        <v/>
      </c>
      <c r="J135" s="498">
        <f>J55</f>
        <v/>
      </c>
      <c r="K135" s="498">
        <f>K55</f>
        <v/>
      </c>
      <c r="L135" s="498">
        <f>L55</f>
        <v/>
      </c>
      <c r="M135" s="498">
        <f>M55</f>
        <v/>
      </c>
      <c r="N135" s="498">
        <f>N55</f>
        <v/>
      </c>
      <c r="O135" s="498">
        <f>O55</f>
        <v/>
      </c>
      <c r="P135" s="498">
        <f>P55</f>
        <v/>
      </c>
      <c r="Q135" s="873" t="n"/>
      <c r="R135" s="873" t="n"/>
      <c r="S135" s="873" t="n"/>
      <c r="T135" s="873" t="n"/>
    </row>
    <row r="136">
      <c r="A136" s="873" t="n"/>
      <c r="B136" s="386">
        <f>($B$57)</f>
        <v/>
      </c>
      <c r="C136" s="498">
        <f>C58</f>
        <v/>
      </c>
      <c r="D136" s="498">
        <f>D58</f>
        <v/>
      </c>
      <c r="E136" s="498">
        <f>E58</f>
        <v/>
      </c>
      <c r="F136" s="498">
        <f>F58</f>
        <v/>
      </c>
      <c r="G136" s="498">
        <f>G58</f>
        <v/>
      </c>
      <c r="H136" s="498">
        <f>H58</f>
        <v/>
      </c>
      <c r="I136" s="498">
        <f>I58</f>
        <v/>
      </c>
      <c r="J136" s="498">
        <f>J58</f>
        <v/>
      </c>
      <c r="K136" s="498">
        <f>K58</f>
        <v/>
      </c>
      <c r="L136" s="498">
        <f>L58</f>
        <v/>
      </c>
      <c r="M136" s="498">
        <f>M58</f>
        <v/>
      </c>
      <c r="N136" s="498">
        <f>N58</f>
        <v/>
      </c>
      <c r="O136" s="498">
        <f>O58</f>
        <v/>
      </c>
      <c r="P136" s="498">
        <f>P58</f>
        <v/>
      </c>
      <c r="Q136" s="873" t="n"/>
      <c r="R136" s="873" t="n"/>
      <c r="S136" s="873" t="n"/>
      <c r="T136" s="873" t="n"/>
    </row>
    <row r="137">
      <c r="A137" s="873" t="n"/>
      <c r="B137" s="386">
        <f>($B$60)</f>
        <v/>
      </c>
      <c r="C137" s="498">
        <f>C61</f>
        <v/>
      </c>
      <c r="D137" s="498">
        <f>D61</f>
        <v/>
      </c>
      <c r="E137" s="498">
        <f>E61</f>
        <v/>
      </c>
      <c r="F137" s="498">
        <f>F61</f>
        <v/>
      </c>
      <c r="G137" s="498">
        <f>G61</f>
        <v/>
      </c>
      <c r="H137" s="498">
        <f>H61</f>
        <v/>
      </c>
      <c r="I137" s="498">
        <f>I61</f>
        <v/>
      </c>
      <c r="J137" s="498">
        <f>J61</f>
        <v/>
      </c>
      <c r="K137" s="498">
        <f>K61</f>
        <v/>
      </c>
      <c r="L137" s="498">
        <f>L61</f>
        <v/>
      </c>
      <c r="M137" s="498">
        <f>M61</f>
        <v/>
      </c>
      <c r="N137" s="498">
        <f>N61</f>
        <v/>
      </c>
      <c r="O137" s="498">
        <f>O61</f>
        <v/>
      </c>
      <c r="P137" s="498">
        <f>P61</f>
        <v/>
      </c>
      <c r="Q137" s="873" t="n"/>
      <c r="R137" s="873" t="n"/>
      <c r="S137" s="873" t="n"/>
      <c r="T137" s="873" t="n"/>
    </row>
    <row r="138">
      <c r="A138" s="873" t="n"/>
      <c r="B138" s="386">
        <f>($B$63)</f>
        <v/>
      </c>
      <c r="C138" s="498">
        <f>C64</f>
        <v/>
      </c>
      <c r="D138" s="498">
        <f>D64</f>
        <v/>
      </c>
      <c r="E138" s="498">
        <f>E64</f>
        <v/>
      </c>
      <c r="F138" s="498">
        <f>F64</f>
        <v/>
      </c>
      <c r="G138" s="498">
        <f>G64</f>
        <v/>
      </c>
      <c r="H138" s="498">
        <f>H64</f>
        <v/>
      </c>
      <c r="I138" s="498">
        <f>I64</f>
        <v/>
      </c>
      <c r="J138" s="498">
        <f>J64</f>
        <v/>
      </c>
      <c r="K138" s="498">
        <f>K64</f>
        <v/>
      </c>
      <c r="L138" s="498">
        <f>L64</f>
        <v/>
      </c>
      <c r="M138" s="498">
        <f>M64</f>
        <v/>
      </c>
      <c r="N138" s="498">
        <f>N64</f>
        <v/>
      </c>
      <c r="O138" s="498">
        <f>O64</f>
        <v/>
      </c>
      <c r="P138" s="498">
        <f>P64</f>
        <v/>
      </c>
      <c r="Q138" s="873" t="n"/>
      <c r="R138" s="873" t="n"/>
      <c r="S138" s="873" t="n"/>
      <c r="T138" s="873" t="n"/>
    </row>
    <row r="139">
      <c r="A139" s="873" t="n"/>
      <c r="B139" s="386">
        <f>($B$66)</f>
        <v/>
      </c>
      <c r="C139" s="498">
        <f>C67</f>
        <v/>
      </c>
      <c r="D139" s="498">
        <f>D67</f>
        <v/>
      </c>
      <c r="E139" s="498">
        <f>E67</f>
        <v/>
      </c>
      <c r="F139" s="498">
        <f>F67</f>
        <v/>
      </c>
      <c r="G139" s="498">
        <f>G67</f>
        <v/>
      </c>
      <c r="H139" s="498">
        <f>H67</f>
        <v/>
      </c>
      <c r="I139" s="498">
        <f>I67</f>
        <v/>
      </c>
      <c r="J139" s="498">
        <f>J67</f>
        <v/>
      </c>
      <c r="K139" s="498">
        <f>K67</f>
        <v/>
      </c>
      <c r="L139" s="498">
        <f>L67</f>
        <v/>
      </c>
      <c r="M139" s="498">
        <f>M67</f>
        <v/>
      </c>
      <c r="N139" s="498">
        <f>N67</f>
        <v/>
      </c>
      <c r="O139" s="498">
        <f>O67</f>
        <v/>
      </c>
      <c r="P139" s="498">
        <f>P67</f>
        <v/>
      </c>
      <c r="Q139" s="873" t="n"/>
      <c r="R139" s="873" t="n"/>
      <c r="S139" s="873" t="n"/>
      <c r="T139" s="873" t="n"/>
    </row>
    <row r="140">
      <c r="A140" s="873" t="n"/>
      <c r="B140" s="386">
        <f>($B$69)</f>
        <v/>
      </c>
      <c r="C140" s="498">
        <f>C70</f>
        <v/>
      </c>
      <c r="D140" s="498">
        <f>D70</f>
        <v/>
      </c>
      <c r="E140" s="498">
        <f>E70</f>
        <v/>
      </c>
      <c r="F140" s="498">
        <f>F70</f>
        <v/>
      </c>
      <c r="G140" s="498">
        <f>G70</f>
        <v/>
      </c>
      <c r="H140" s="498">
        <f>H70</f>
        <v/>
      </c>
      <c r="I140" s="498">
        <f>I70</f>
        <v/>
      </c>
      <c r="J140" s="498">
        <f>J70</f>
        <v/>
      </c>
      <c r="K140" s="498">
        <f>K70</f>
        <v/>
      </c>
      <c r="L140" s="498">
        <f>L70</f>
        <v/>
      </c>
      <c r="M140" s="498">
        <f>M70</f>
        <v/>
      </c>
      <c r="N140" s="498">
        <f>N70</f>
        <v/>
      </c>
      <c r="O140" s="498">
        <f>O70</f>
        <v/>
      </c>
      <c r="P140" s="498">
        <f>P70</f>
        <v/>
      </c>
      <c r="Q140" s="873" t="n"/>
      <c r="R140" s="873" t="n"/>
      <c r="S140" s="873" t="n"/>
      <c r="T140" s="873" t="n"/>
    </row>
    <row r="141">
      <c r="A141" s="873" t="n"/>
      <c r="B141" s="386">
        <f>($B$72)</f>
        <v/>
      </c>
      <c r="C141" s="498">
        <f>C73</f>
        <v/>
      </c>
      <c r="D141" s="498">
        <f>D73</f>
        <v/>
      </c>
      <c r="E141" s="498">
        <f>E73</f>
        <v/>
      </c>
      <c r="F141" s="498">
        <f>F73</f>
        <v/>
      </c>
      <c r="G141" s="498">
        <f>G73</f>
        <v/>
      </c>
      <c r="H141" s="498">
        <f>H73</f>
        <v/>
      </c>
      <c r="I141" s="498">
        <f>I73</f>
        <v/>
      </c>
      <c r="J141" s="498">
        <f>J73</f>
        <v/>
      </c>
      <c r="K141" s="498">
        <f>K73</f>
        <v/>
      </c>
      <c r="L141" s="498">
        <f>L73</f>
        <v/>
      </c>
      <c r="M141" s="498">
        <f>N73</f>
        <v/>
      </c>
      <c r="N141" s="498">
        <f>#REF!</f>
        <v/>
      </c>
      <c r="O141" s="498">
        <f>O73</f>
        <v/>
      </c>
      <c r="P141" s="498">
        <f>P73</f>
        <v/>
      </c>
      <c r="Q141" s="873" t="n"/>
      <c r="R141" s="873" t="n"/>
      <c r="S141" s="873" t="n"/>
      <c r="T141" s="873" t="n"/>
    </row>
    <row r="142">
      <c r="A142" s="873" t="n"/>
      <c r="B142" s="386">
        <f>($B$75)</f>
        <v/>
      </c>
      <c r="C142" s="498">
        <f>C76</f>
        <v/>
      </c>
      <c r="D142" s="498">
        <f>D76</f>
        <v/>
      </c>
      <c r="E142" s="498">
        <f>E76</f>
        <v/>
      </c>
      <c r="F142" s="498">
        <f>F76</f>
        <v/>
      </c>
      <c r="G142" s="498">
        <f>G76</f>
        <v/>
      </c>
      <c r="H142" s="498">
        <f>H76</f>
        <v/>
      </c>
      <c r="I142" s="498">
        <f>I76</f>
        <v/>
      </c>
      <c r="J142" s="498">
        <f>J76</f>
        <v/>
      </c>
      <c r="K142" s="498">
        <f>K76</f>
        <v/>
      </c>
      <c r="L142" s="498">
        <f>L76</f>
        <v/>
      </c>
      <c r="M142" s="498">
        <f>M76</f>
        <v/>
      </c>
      <c r="N142" s="498">
        <f>N76</f>
        <v/>
      </c>
      <c r="O142" s="498">
        <f>O76</f>
        <v/>
      </c>
      <c r="P142" s="498">
        <f>P76</f>
        <v/>
      </c>
      <c r="Q142" s="873" t="n"/>
      <c r="R142" s="873" t="n"/>
      <c r="S142" s="873" t="n"/>
      <c r="T142" s="873" t="n"/>
    </row>
    <row r="143">
      <c r="A143" s="873" t="n"/>
      <c r="B143" s="386">
        <f>($B$78)</f>
        <v/>
      </c>
      <c r="C143" s="498">
        <f>C79</f>
        <v/>
      </c>
      <c r="D143" s="498">
        <f>D79</f>
        <v/>
      </c>
      <c r="E143" s="498">
        <f>E79</f>
        <v/>
      </c>
      <c r="F143" s="498">
        <f>F79</f>
        <v/>
      </c>
      <c r="G143" s="498">
        <f>G79</f>
        <v/>
      </c>
      <c r="H143" s="498">
        <f>H79</f>
        <v/>
      </c>
      <c r="I143" s="498">
        <f>I79</f>
        <v/>
      </c>
      <c r="J143" s="498">
        <f>J79</f>
        <v/>
      </c>
      <c r="K143" s="498">
        <f>K79</f>
        <v/>
      </c>
      <c r="L143" s="498">
        <f>L79</f>
        <v/>
      </c>
      <c r="M143" s="498">
        <f>M79</f>
        <v/>
      </c>
      <c r="N143" s="498">
        <f>N79</f>
        <v/>
      </c>
      <c r="O143" s="498">
        <f>O79</f>
        <v/>
      </c>
      <c r="P143" s="498">
        <f>P79</f>
        <v/>
      </c>
      <c r="Q143" s="873" t="n"/>
      <c r="R143" s="873" t="n"/>
      <c r="S143" s="873" t="n"/>
      <c r="T143" s="873" t="n"/>
    </row>
    <row r="144">
      <c r="A144" s="873" t="n"/>
      <c r="B144" s="386">
        <f>($B$81)</f>
        <v/>
      </c>
      <c r="C144" s="498">
        <f>C82</f>
        <v/>
      </c>
      <c r="D144" s="498">
        <f>D82</f>
        <v/>
      </c>
      <c r="E144" s="498">
        <f>E82</f>
        <v/>
      </c>
      <c r="F144" s="498">
        <f>F82</f>
        <v/>
      </c>
      <c r="G144" s="498">
        <f>G82</f>
        <v/>
      </c>
      <c r="H144" s="498">
        <f>H82</f>
        <v/>
      </c>
      <c r="I144" s="498">
        <f>I82</f>
        <v/>
      </c>
      <c r="J144" s="498">
        <f>J82</f>
        <v/>
      </c>
      <c r="K144" s="498">
        <f>K82</f>
        <v/>
      </c>
      <c r="L144" s="498">
        <f>L82</f>
        <v/>
      </c>
      <c r="M144" s="498">
        <f>M82</f>
        <v/>
      </c>
      <c r="N144" s="498">
        <f>N82</f>
        <v/>
      </c>
      <c r="O144" s="498">
        <f>O82</f>
        <v/>
      </c>
      <c r="P144" s="498">
        <f>P82</f>
        <v/>
      </c>
      <c r="Q144" s="873" t="n"/>
      <c r="R144" s="873" t="n"/>
      <c r="S144" s="873" t="n"/>
      <c r="T144" s="873" t="n"/>
    </row>
    <row r="145">
      <c r="A145" s="873" t="n"/>
      <c r="B145" s="386">
        <f>($B$84)</f>
        <v/>
      </c>
      <c r="C145" s="498">
        <f>C85</f>
        <v/>
      </c>
      <c r="D145" s="498">
        <f>D85</f>
        <v/>
      </c>
      <c r="E145" s="498">
        <f>E85</f>
        <v/>
      </c>
      <c r="F145" s="498">
        <f>F85</f>
        <v/>
      </c>
      <c r="G145" s="498">
        <f>G85</f>
        <v/>
      </c>
      <c r="H145" s="498">
        <f>H85</f>
        <v/>
      </c>
      <c r="I145" s="498">
        <f>I85</f>
        <v/>
      </c>
      <c r="J145" s="498">
        <f>J85</f>
        <v/>
      </c>
      <c r="K145" s="498">
        <f>K85</f>
        <v/>
      </c>
      <c r="L145" s="498">
        <f>L85</f>
        <v/>
      </c>
      <c r="M145" s="498">
        <f>M85</f>
        <v/>
      </c>
      <c r="N145" s="498">
        <f>N85</f>
        <v/>
      </c>
      <c r="O145" s="498">
        <f>O85</f>
        <v/>
      </c>
      <c r="P145" s="498">
        <f>P85</f>
        <v/>
      </c>
      <c r="Q145" s="873" t="n"/>
      <c r="R145" s="873" t="n"/>
      <c r="S145" s="873" t="n"/>
      <c r="T145" s="873" t="n"/>
    </row>
    <row r="146">
      <c r="A146" s="873" t="n"/>
      <c r="B146" s="386">
        <f>($B$87)</f>
        <v/>
      </c>
      <c r="C146" s="498">
        <f>C88</f>
        <v/>
      </c>
      <c r="D146" s="498">
        <f>D88</f>
        <v/>
      </c>
      <c r="E146" s="498">
        <f>E88</f>
        <v/>
      </c>
      <c r="F146" s="498">
        <f>F88</f>
        <v/>
      </c>
      <c r="G146" s="498">
        <f>G88</f>
        <v/>
      </c>
      <c r="H146" s="498">
        <f>H88</f>
        <v/>
      </c>
      <c r="I146" s="498">
        <f>I88</f>
        <v/>
      </c>
      <c r="J146" s="498">
        <f>J88</f>
        <v/>
      </c>
      <c r="K146" s="498">
        <f>K88</f>
        <v/>
      </c>
      <c r="L146" s="498">
        <f>L88</f>
        <v/>
      </c>
      <c r="M146" s="498">
        <f>M88</f>
        <v/>
      </c>
      <c r="N146" s="498">
        <f>N88</f>
        <v/>
      </c>
      <c r="O146" s="498">
        <f>O88</f>
        <v/>
      </c>
      <c r="P146" s="498">
        <f>P88</f>
        <v/>
      </c>
      <c r="Q146" s="873" t="n"/>
      <c r="R146" s="873" t="n"/>
      <c r="S146" s="873" t="n"/>
      <c r="T146" s="873" t="n"/>
    </row>
    <row r="147">
      <c r="A147" s="873" t="n"/>
      <c r="B147" s="386">
        <f>($B$90)</f>
        <v/>
      </c>
      <c r="C147" s="498">
        <f>C91</f>
        <v/>
      </c>
      <c r="D147" s="498">
        <f>D91</f>
        <v/>
      </c>
      <c r="E147" s="498">
        <f>E91</f>
        <v/>
      </c>
      <c r="F147" s="498">
        <f>F91</f>
        <v/>
      </c>
      <c r="G147" s="498">
        <f>G91</f>
        <v/>
      </c>
      <c r="H147" s="498">
        <f>H91</f>
        <v/>
      </c>
      <c r="I147" s="498">
        <f>I91</f>
        <v/>
      </c>
      <c r="J147" s="498">
        <f>J91</f>
        <v/>
      </c>
      <c r="K147" s="498">
        <f>K91</f>
        <v/>
      </c>
      <c r="L147" s="498">
        <f>L91</f>
        <v/>
      </c>
      <c r="M147" s="498">
        <f>M91</f>
        <v/>
      </c>
      <c r="N147" s="498">
        <f>N91</f>
        <v/>
      </c>
      <c r="O147" s="498">
        <f>O91</f>
        <v/>
      </c>
      <c r="P147" s="498">
        <f>P91</f>
        <v/>
      </c>
      <c r="Q147" s="873" t="n"/>
      <c r="R147" s="873" t="n"/>
      <c r="S147" s="873" t="n"/>
      <c r="T147" s="873" t="n"/>
    </row>
    <row r="148">
      <c r="A148" s="873" t="n"/>
      <c r="B148" s="386">
        <f>($B$93)</f>
        <v/>
      </c>
      <c r="C148" s="498">
        <f>C94</f>
        <v/>
      </c>
      <c r="D148" s="498">
        <f>D94</f>
        <v/>
      </c>
      <c r="E148" s="498">
        <f>E94</f>
        <v/>
      </c>
      <c r="F148" s="498">
        <f>F94</f>
        <v/>
      </c>
      <c r="G148" s="498">
        <f>G94</f>
        <v/>
      </c>
      <c r="H148" s="498">
        <f>H94</f>
        <v/>
      </c>
      <c r="I148" s="498">
        <f>I94</f>
        <v/>
      </c>
      <c r="J148" s="498">
        <f>J94</f>
        <v/>
      </c>
      <c r="K148" s="498">
        <f>K94</f>
        <v/>
      </c>
      <c r="L148" s="498">
        <f>L94</f>
        <v/>
      </c>
      <c r="M148" s="498">
        <f>M94</f>
        <v/>
      </c>
      <c r="N148" s="498">
        <f>N94</f>
        <v/>
      </c>
      <c r="O148" s="498">
        <f>O94</f>
        <v/>
      </c>
      <c r="P148" s="498">
        <f>P94</f>
        <v/>
      </c>
      <c r="Q148" s="873" t="n"/>
      <c r="R148" s="873" t="n"/>
      <c r="S148" s="873" t="n"/>
      <c r="T148" s="873" t="n"/>
    </row>
    <row r="149">
      <c r="A149" s="873" t="n"/>
      <c r="B149" s="386">
        <f>($B$96)</f>
        <v/>
      </c>
      <c r="C149" s="498">
        <f>C97</f>
        <v/>
      </c>
      <c r="D149" s="498">
        <f>D97</f>
        <v/>
      </c>
      <c r="E149" s="498">
        <f>E97</f>
        <v/>
      </c>
      <c r="F149" s="498">
        <f>F97</f>
        <v/>
      </c>
      <c r="G149" s="498">
        <f>G97</f>
        <v/>
      </c>
      <c r="H149" s="498">
        <f>H97</f>
        <v/>
      </c>
      <c r="I149" s="498">
        <f>I97</f>
        <v/>
      </c>
      <c r="J149" s="498">
        <f>J97</f>
        <v/>
      </c>
      <c r="K149" s="498">
        <f>K97</f>
        <v/>
      </c>
      <c r="L149" s="498">
        <f>L97</f>
        <v/>
      </c>
      <c r="M149" s="498">
        <f>M97</f>
        <v/>
      </c>
      <c r="N149" s="498">
        <f>N97</f>
        <v/>
      </c>
      <c r="O149" s="498">
        <f>O97</f>
        <v/>
      </c>
      <c r="P149" s="498">
        <f>P97</f>
        <v/>
      </c>
      <c r="Q149" s="873" t="n"/>
      <c r="R149" s="873" t="n"/>
      <c r="S149" s="873" t="n"/>
      <c r="T149" s="873" t="n"/>
    </row>
    <row r="150">
      <c r="A150" s="873" t="n"/>
      <c r="B150" s="386">
        <f>($B$99)</f>
        <v/>
      </c>
      <c r="C150" s="498">
        <f>C100</f>
        <v/>
      </c>
      <c r="D150" s="498">
        <f>D100</f>
        <v/>
      </c>
      <c r="E150" s="498">
        <f>E100</f>
        <v/>
      </c>
      <c r="F150" s="498">
        <f>F100</f>
        <v/>
      </c>
      <c r="G150" s="498">
        <f>G100</f>
        <v/>
      </c>
      <c r="H150" s="498">
        <f>H100</f>
        <v/>
      </c>
      <c r="I150" s="498">
        <f>I100</f>
        <v/>
      </c>
      <c r="J150" s="498">
        <f>J100</f>
        <v/>
      </c>
      <c r="K150" s="498">
        <f>K100</f>
        <v/>
      </c>
      <c r="L150" s="498">
        <f>L100</f>
        <v/>
      </c>
      <c r="M150" s="498">
        <f>M100</f>
        <v/>
      </c>
      <c r="N150" s="498">
        <f>N100</f>
        <v/>
      </c>
      <c r="O150" s="498">
        <f>O100</f>
        <v/>
      </c>
      <c r="P150" s="498">
        <f>P100</f>
        <v/>
      </c>
      <c r="Q150" s="873" t="n"/>
      <c r="R150" s="873" t="n"/>
      <c r="S150" s="873" t="n"/>
      <c r="T150" s="873" t="n"/>
    </row>
    <row r="151">
      <c r="A151" s="873" t="n"/>
      <c r="B151" s="386">
        <f>($B$102)</f>
        <v/>
      </c>
      <c r="C151" s="498">
        <f>C103</f>
        <v/>
      </c>
      <c r="D151" s="498">
        <f>D103</f>
        <v/>
      </c>
      <c r="E151" s="498">
        <f>E103</f>
        <v/>
      </c>
      <c r="F151" s="498">
        <f>F103</f>
        <v/>
      </c>
      <c r="G151" s="498">
        <f>G103</f>
        <v/>
      </c>
      <c r="H151" s="498">
        <f>H103</f>
        <v/>
      </c>
      <c r="I151" s="498">
        <f>I103</f>
        <v/>
      </c>
      <c r="J151" s="498">
        <f>J103</f>
        <v/>
      </c>
      <c r="K151" s="498">
        <f>K103</f>
        <v/>
      </c>
      <c r="L151" s="498">
        <f>L103</f>
        <v/>
      </c>
      <c r="M151" s="498">
        <f>M103</f>
        <v/>
      </c>
      <c r="N151" s="498">
        <f>N103</f>
        <v/>
      </c>
      <c r="O151" s="498">
        <f>O103</f>
        <v/>
      </c>
      <c r="P151" s="498">
        <f>P103</f>
        <v/>
      </c>
      <c r="Q151" s="873" t="n"/>
      <c r="R151" s="873" t="n"/>
      <c r="S151" s="873" t="n"/>
      <c r="T151" s="873" t="n"/>
    </row>
    <row r="152">
      <c r="A152" s="873" t="n"/>
      <c r="B152" s="386">
        <f>($B$105)</f>
        <v/>
      </c>
      <c r="C152" s="498">
        <f>C104</f>
        <v/>
      </c>
      <c r="D152" s="498">
        <f>D106</f>
        <v/>
      </c>
      <c r="E152" s="498">
        <f>E106</f>
        <v/>
      </c>
      <c r="F152" s="498">
        <f>F106</f>
        <v/>
      </c>
      <c r="G152" s="498">
        <f>G106</f>
        <v/>
      </c>
      <c r="H152" s="498">
        <f>H106</f>
        <v/>
      </c>
      <c r="I152" s="498">
        <f>I106</f>
        <v/>
      </c>
      <c r="J152" s="498">
        <f>J106</f>
        <v/>
      </c>
      <c r="K152" s="498">
        <f>K106</f>
        <v/>
      </c>
      <c r="L152" s="498">
        <f>L106</f>
        <v/>
      </c>
      <c r="M152" s="498">
        <f>M106</f>
        <v/>
      </c>
      <c r="N152" s="498">
        <f>N106</f>
        <v/>
      </c>
      <c r="O152" s="498">
        <f>O106</f>
        <v/>
      </c>
      <c r="P152" s="498">
        <f>P106</f>
        <v/>
      </c>
      <c r="Q152" s="873" t="n"/>
      <c r="R152" s="873" t="n"/>
      <c r="S152" s="873" t="n"/>
      <c r="T152" s="873" t="n"/>
    </row>
    <row r="153">
      <c r="A153" s="873" t="n"/>
      <c r="B153" s="386">
        <f>($B$108)</f>
        <v/>
      </c>
      <c r="C153" s="498">
        <f>C105</f>
        <v/>
      </c>
      <c r="D153" s="498">
        <f>D109</f>
        <v/>
      </c>
      <c r="E153" s="498">
        <f>E109</f>
        <v/>
      </c>
      <c r="F153" s="498">
        <f>F109</f>
        <v/>
      </c>
      <c r="G153" s="498">
        <f>G109</f>
        <v/>
      </c>
      <c r="H153" s="498">
        <f>H109</f>
        <v/>
      </c>
      <c r="I153" s="498">
        <f>I109</f>
        <v/>
      </c>
      <c r="J153" s="498">
        <f>J109</f>
        <v/>
      </c>
      <c r="K153" s="498">
        <f>K109</f>
        <v/>
      </c>
      <c r="L153" s="498">
        <f>L109</f>
        <v/>
      </c>
      <c r="M153" s="498">
        <f>M109</f>
        <v/>
      </c>
      <c r="N153" s="498">
        <f>N109</f>
        <v/>
      </c>
      <c r="O153" s="498">
        <f>O109</f>
        <v/>
      </c>
      <c r="P153" s="498">
        <f>P109</f>
        <v/>
      </c>
      <c r="Q153" s="873" t="n"/>
      <c r="R153" s="873" t="n"/>
      <c r="S153" s="873" t="n"/>
      <c r="T153" s="873" t="n"/>
    </row>
    <row r="154">
      <c r="A154" s="873" t="n"/>
      <c r="B154" s="386">
        <f>($B$111)</f>
        <v/>
      </c>
      <c r="C154" s="498">
        <f>C106</f>
        <v/>
      </c>
      <c r="D154" s="498">
        <f>D112</f>
        <v/>
      </c>
      <c r="E154" s="498">
        <f>E112</f>
        <v/>
      </c>
      <c r="F154" s="498">
        <f>F112</f>
        <v/>
      </c>
      <c r="G154" s="498">
        <f>G112</f>
        <v/>
      </c>
      <c r="H154" s="498">
        <f>H112</f>
        <v/>
      </c>
      <c r="I154" s="498">
        <f>I112</f>
        <v/>
      </c>
      <c r="J154" s="498">
        <f>J112</f>
        <v/>
      </c>
      <c r="K154" s="498">
        <f>K112</f>
        <v/>
      </c>
      <c r="L154" s="498">
        <f>L112</f>
        <v/>
      </c>
      <c r="M154" s="498">
        <f>M112</f>
        <v/>
      </c>
      <c r="N154" s="498">
        <f>N112</f>
        <v/>
      </c>
      <c r="O154" s="498">
        <f>O112</f>
        <v/>
      </c>
      <c r="P154" s="498">
        <f>P112</f>
        <v/>
      </c>
      <c r="Q154" s="873" t="n"/>
      <c r="R154" s="873" t="n"/>
      <c r="S154" s="873" t="n"/>
      <c r="T154" s="873" t="n"/>
    </row>
    <row r="155">
      <c r="A155" s="873" t="n"/>
      <c r="B155" s="873" t="n"/>
      <c r="C155" s="873" t="n"/>
      <c r="D155" s="292" t="n"/>
      <c r="E155" s="292" t="n"/>
      <c r="F155" s="292" t="n"/>
      <c r="G155" s="292" t="n"/>
      <c r="H155" s="292" t="n"/>
      <c r="I155" s="292" t="n"/>
      <c r="J155" s="292" t="n"/>
      <c r="K155" s="292" t="n"/>
      <c r="L155" s="292" t="n"/>
      <c r="M155" s="292" t="n"/>
      <c r="N155" s="292" t="n"/>
      <c r="O155" s="292" t="n"/>
      <c r="P155" s="292" t="n"/>
      <c r="Q155" s="873" t="n"/>
      <c r="R155" s="873" t="n"/>
      <c r="S155" s="873" t="n"/>
      <c r="T155" s="873" t="n"/>
    </row>
    <row r="156">
      <c r="A156" s="873" t="n"/>
      <c r="B156" s="873" t="n"/>
      <c r="C156" s="873" t="n"/>
      <c r="D156" s="292" t="n"/>
      <c r="E156" s="292" t="n"/>
      <c r="F156" s="292" t="n"/>
      <c r="G156" s="292" t="n"/>
      <c r="H156" s="292" t="n"/>
      <c r="I156" s="292" t="n"/>
      <c r="J156" s="292" t="n"/>
      <c r="K156" s="292" t="n"/>
      <c r="L156" s="292" t="n"/>
      <c r="M156" s="292" t="n"/>
      <c r="N156" s="292" t="n"/>
      <c r="O156" s="292" t="n"/>
      <c r="P156" s="292" t="n"/>
      <c r="Q156" s="873" t="n"/>
      <c r="R156" s="873" t="n"/>
      <c r="S156" s="873" t="n"/>
      <c r="T156" s="873" t="n"/>
    </row>
    <row r="157">
      <c r="A157" s="873" t="n"/>
      <c r="B157" s="873" t="n"/>
      <c r="C157" s="873" t="n"/>
      <c r="D157" s="292" t="n"/>
      <c r="E157" s="292" t="n"/>
      <c r="F157" s="292" t="n"/>
      <c r="G157" s="292" t="n"/>
      <c r="H157" s="292" t="n"/>
      <c r="I157" s="292" t="n"/>
      <c r="J157" s="292" t="n"/>
      <c r="K157" s="292" t="n"/>
      <c r="L157" s="292" t="n"/>
      <c r="M157" s="292" t="n"/>
      <c r="N157" s="292" t="n"/>
      <c r="O157" s="292" t="n"/>
      <c r="P157" s="292" t="n"/>
      <c r="Q157" s="873" t="n"/>
      <c r="R157" s="873" t="n"/>
      <c r="S157" s="873" t="n"/>
      <c r="T157" s="873" t="n"/>
    </row>
    <row r="158">
      <c r="A158" s="873" t="n"/>
      <c r="B158" s="873" t="n"/>
      <c r="C158" s="873" t="n"/>
      <c r="D158" s="292" t="n"/>
      <c r="E158" s="292" t="n"/>
      <c r="F158" s="292" t="n"/>
      <c r="G158" s="292" t="n"/>
      <c r="H158" s="292" t="n"/>
      <c r="I158" s="292" t="n"/>
      <c r="J158" s="292" t="n"/>
      <c r="K158" s="292" t="n"/>
      <c r="L158" s="292" t="n"/>
      <c r="M158" s="292" t="n"/>
      <c r="N158" s="292" t="n"/>
      <c r="O158" s="292" t="n"/>
      <c r="P158" s="292" t="n"/>
      <c r="Q158" s="873" t="n"/>
      <c r="R158" s="873" t="n"/>
      <c r="S158" s="873" t="n"/>
      <c r="T158" s="873" t="n"/>
    </row>
    <row r="159">
      <c r="A159" s="873" t="n"/>
      <c r="B159" s="873" t="n"/>
      <c r="C159" s="873" t="n"/>
      <c r="D159" s="292" t="n"/>
      <c r="E159" s="292" t="n"/>
      <c r="F159" s="292" t="n"/>
      <c r="G159" s="292" t="n"/>
      <c r="H159" s="292" t="n"/>
      <c r="I159" s="292" t="n"/>
      <c r="J159" s="292" t="n"/>
      <c r="K159" s="292" t="n"/>
      <c r="L159" s="292" t="n"/>
      <c r="M159" s="292" t="n"/>
      <c r="N159" s="292" t="n"/>
      <c r="O159" s="292" t="n"/>
      <c r="P159" s="292" t="n"/>
      <c r="Q159" s="873" t="n"/>
      <c r="R159" s="873" t="n"/>
      <c r="S159" s="873" t="n"/>
      <c r="T159" s="873" t="n"/>
    </row>
    <row r="160">
      <c r="A160" s="873" t="n"/>
      <c r="B160" s="873" t="n"/>
      <c r="C160" s="873" t="n"/>
      <c r="D160" s="292" t="n"/>
      <c r="E160" s="292" t="n"/>
      <c r="F160" s="292" t="n"/>
      <c r="G160" s="292" t="n"/>
      <c r="H160" s="292" t="n"/>
      <c r="I160" s="292" t="n"/>
      <c r="J160" s="292" t="n"/>
      <c r="K160" s="292" t="n"/>
      <c r="L160" s="292" t="n"/>
      <c r="M160" s="292" t="n"/>
      <c r="N160" s="292" t="n"/>
      <c r="O160" s="292" t="n"/>
      <c r="P160" s="292" t="n"/>
      <c r="Q160" s="873" t="n"/>
      <c r="R160" s="873" t="n"/>
      <c r="S160" s="873" t="n"/>
      <c r="T160" s="873" t="n"/>
    </row>
    <row r="161">
      <c r="A161" s="873" t="n"/>
      <c r="B161" s="873" t="n"/>
      <c r="C161" s="873" t="n"/>
      <c r="D161" s="292" t="n"/>
      <c r="E161" s="292" t="n"/>
      <c r="F161" s="292" t="n"/>
      <c r="G161" s="292" t="n"/>
      <c r="H161" s="292" t="n"/>
      <c r="I161" s="292" t="n"/>
      <c r="J161" s="292" t="n"/>
      <c r="K161" s="292" t="n"/>
      <c r="L161" s="292" t="n"/>
      <c r="M161" s="292" t="n"/>
      <c r="N161" s="292" t="n"/>
      <c r="O161" s="292" t="n"/>
      <c r="P161" s="292" t="n"/>
      <c r="Q161" s="873" t="n"/>
      <c r="R161" s="873" t="n"/>
      <c r="S161" s="873" t="n"/>
      <c r="T161" s="873" t="n"/>
    </row>
    <row r="162">
      <c r="A162" s="873" t="n"/>
      <c r="B162" s="873" t="n"/>
      <c r="C162" s="873" t="n"/>
      <c r="D162" s="292" t="n"/>
      <c r="E162" s="292" t="n"/>
      <c r="F162" s="292" t="n"/>
      <c r="G162" s="292" t="n"/>
      <c r="H162" s="292" t="n"/>
      <c r="I162" s="292" t="n"/>
      <c r="J162" s="292" t="n"/>
      <c r="K162" s="292" t="n"/>
      <c r="L162" s="292" t="n"/>
      <c r="M162" s="292" t="n"/>
      <c r="N162" s="292" t="n"/>
      <c r="O162" s="292" t="n"/>
      <c r="P162" s="292" t="n"/>
      <c r="Q162" s="873" t="n"/>
      <c r="R162" s="873" t="n"/>
      <c r="S162" s="873" t="n"/>
      <c r="T162" s="873" t="n"/>
    </row>
    <row r="163">
      <c r="A163" s="873" t="n"/>
      <c r="B163" s="873" t="n"/>
      <c r="C163" s="873" t="n"/>
      <c r="D163" s="292" t="n"/>
      <c r="E163" s="292" t="n"/>
      <c r="F163" s="292" t="n"/>
      <c r="G163" s="292" t="n"/>
      <c r="H163" s="292" t="n"/>
      <c r="I163" s="292" t="n"/>
      <c r="J163" s="292" t="n"/>
      <c r="K163" s="292" t="n"/>
      <c r="L163" s="292" t="n"/>
      <c r="M163" s="292" t="n"/>
      <c r="N163" s="292" t="n"/>
      <c r="O163" s="292" t="n"/>
      <c r="P163" s="292" t="n"/>
      <c r="Q163" s="873" t="n"/>
      <c r="R163" s="873" t="n"/>
      <c r="S163" s="873" t="n"/>
      <c r="T163" s="873" t="n"/>
    </row>
    <row r="164">
      <c r="A164" s="873" t="n"/>
      <c r="B164" s="873" t="n"/>
      <c r="C164" s="873" t="n"/>
      <c r="D164" s="292" t="n"/>
      <c r="E164" s="292" t="n"/>
      <c r="F164" s="292" t="n"/>
      <c r="G164" s="292" t="n"/>
      <c r="H164" s="292" t="n"/>
      <c r="I164" s="292" t="n"/>
      <c r="J164" s="292" t="n"/>
      <c r="K164" s="292" t="n"/>
      <c r="L164" s="292" t="n"/>
      <c r="M164" s="292" t="n"/>
      <c r="N164" s="292" t="n"/>
      <c r="O164" s="292" t="n"/>
      <c r="P164" s="292" t="n"/>
      <c r="Q164" s="873" t="n"/>
      <c r="R164" s="873" t="n"/>
      <c r="S164" s="873" t="n"/>
      <c r="T164" s="873" t="n"/>
    </row>
    <row r="165">
      <c r="A165" s="873" t="n"/>
      <c r="B165" s="873" t="n"/>
      <c r="C165" s="873" t="n"/>
      <c r="D165" s="292" t="n"/>
      <c r="E165" s="292" t="n"/>
      <c r="F165" s="292" t="n"/>
      <c r="G165" s="292" t="n"/>
      <c r="H165" s="292" t="n"/>
      <c r="I165" s="292" t="n"/>
      <c r="J165" s="292" t="n"/>
      <c r="K165" s="292" t="n"/>
      <c r="L165" s="292" t="n"/>
      <c r="M165" s="292" t="n"/>
      <c r="N165" s="292" t="n"/>
      <c r="O165" s="292" t="n"/>
      <c r="P165" s="292" t="n"/>
      <c r="Q165" s="873" t="n"/>
      <c r="R165" s="873" t="n"/>
      <c r="S165" s="873" t="n"/>
      <c r="T165" s="873" t="n"/>
    </row>
    <row r="166">
      <c r="A166" s="873" t="n"/>
      <c r="B166" s="873" t="n"/>
      <c r="C166" s="873" t="n"/>
      <c r="D166" s="292" t="n"/>
      <c r="E166" s="292" t="n"/>
      <c r="F166" s="292" t="n"/>
      <c r="G166" s="292" t="n"/>
      <c r="H166" s="292" t="n"/>
      <c r="I166" s="292" t="n"/>
      <c r="J166" s="292" t="n"/>
      <c r="K166" s="292" t="n"/>
      <c r="L166" s="292" t="n"/>
      <c r="M166" s="292" t="n"/>
      <c r="N166" s="292" t="n"/>
      <c r="O166" s="292" t="n"/>
      <c r="P166" s="292" t="n"/>
      <c r="Q166" s="873" t="n"/>
      <c r="R166" s="873" t="n"/>
      <c r="S166" s="873" t="n"/>
      <c r="T166" s="873" t="n"/>
    </row>
    <row r="167">
      <c r="A167" s="873" t="n"/>
      <c r="B167" s="873" t="n"/>
      <c r="C167" s="873" t="n"/>
      <c r="D167" s="292" t="n"/>
      <c r="E167" s="292" t="n"/>
      <c r="F167" s="292" t="n"/>
      <c r="G167" s="292" t="n"/>
      <c r="H167" s="292" t="n"/>
      <c r="I167" s="292" t="n"/>
      <c r="J167" s="292" t="n"/>
      <c r="K167" s="292" t="n"/>
      <c r="L167" s="292" t="n"/>
      <c r="M167" s="292" t="n"/>
      <c r="N167" s="292" t="n"/>
      <c r="O167" s="292" t="n"/>
      <c r="P167" s="292" t="n"/>
      <c r="Q167" s="873" t="n"/>
      <c r="R167" s="873" t="n"/>
      <c r="S167" s="873" t="n"/>
      <c r="T167" s="873" t="n"/>
    </row>
    <row r="168">
      <c r="A168" s="873" t="n"/>
      <c r="B168" s="873" t="n"/>
      <c r="C168" s="873" t="n"/>
      <c r="D168" s="292" t="n"/>
      <c r="E168" s="292" t="n"/>
      <c r="F168" s="292" t="n"/>
      <c r="G168" s="292" t="n"/>
      <c r="H168" s="292" t="n"/>
      <c r="I168" s="292" t="n"/>
      <c r="J168" s="292" t="n"/>
      <c r="K168" s="292" t="n"/>
      <c r="L168" s="292" t="n"/>
      <c r="M168" s="292" t="n"/>
      <c r="N168" s="292" t="n"/>
      <c r="O168" s="292" t="n"/>
      <c r="P168" s="292" t="n"/>
      <c r="Q168" s="873" t="n"/>
      <c r="R168" s="873" t="n"/>
      <c r="S168" s="873" t="n"/>
      <c r="T168" s="873" t="n"/>
    </row>
    <row r="169">
      <c r="A169" s="873" t="n"/>
      <c r="B169" s="873" t="n"/>
      <c r="C169" s="873" t="n"/>
      <c r="D169" s="292" t="n"/>
      <c r="E169" s="292" t="n"/>
      <c r="F169" s="292" t="n"/>
      <c r="G169" s="292" t="n"/>
      <c r="H169" s="292" t="n"/>
      <c r="I169" s="292" t="n"/>
      <c r="J169" s="292" t="n"/>
      <c r="K169" s="292" t="n"/>
      <c r="L169" s="292" t="n"/>
      <c r="M169" s="292" t="n"/>
      <c r="N169" s="292" t="n"/>
      <c r="O169" s="292" t="n"/>
      <c r="P169" s="292" t="n"/>
      <c r="Q169" s="873" t="n"/>
      <c r="R169" s="873" t="n"/>
      <c r="S169" s="873" t="n"/>
      <c r="T169" s="873" t="n"/>
    </row>
    <row r="170">
      <c r="A170" s="873" t="n"/>
      <c r="B170" s="873" t="n"/>
      <c r="C170" s="873" t="n"/>
      <c r="D170" s="292" t="n"/>
      <c r="E170" s="292" t="n"/>
      <c r="F170" s="292" t="n"/>
      <c r="G170" s="292" t="n"/>
      <c r="H170" s="292" t="n"/>
      <c r="I170" s="292" t="n"/>
      <c r="J170" s="292" t="n"/>
      <c r="K170" s="292" t="n"/>
      <c r="L170" s="292" t="n"/>
      <c r="M170" s="292" t="n"/>
      <c r="N170" s="292" t="n"/>
      <c r="O170" s="292" t="n"/>
      <c r="P170" s="292" t="n"/>
      <c r="Q170" s="873" t="n"/>
      <c r="R170" s="873" t="n"/>
      <c r="S170" s="873" t="n"/>
      <c r="T170" s="873" t="n"/>
    </row>
    <row r="171">
      <c r="A171" s="873" t="n"/>
      <c r="B171" s="873" t="n"/>
      <c r="C171" s="873" t="n"/>
      <c r="D171" s="292" t="n"/>
      <c r="E171" s="292" t="n"/>
      <c r="F171" s="292" t="n"/>
      <c r="G171" s="292" t="n"/>
      <c r="H171" s="292" t="n"/>
      <c r="I171" s="292" t="n"/>
      <c r="J171" s="292" t="n"/>
      <c r="K171" s="292" t="n"/>
      <c r="L171" s="292" t="n"/>
      <c r="M171" s="292" t="n"/>
      <c r="N171" s="292" t="n"/>
      <c r="O171" s="292" t="n"/>
      <c r="P171" s="292" t="n"/>
      <c r="Q171" s="873" t="n"/>
      <c r="R171" s="873" t="n"/>
      <c r="S171" s="873" t="n"/>
      <c r="T171" s="873" t="n"/>
    </row>
    <row r="172">
      <c r="A172" s="873" t="n"/>
      <c r="B172" s="873" t="n"/>
      <c r="C172" s="873" t="n"/>
      <c r="D172" s="292" t="n"/>
      <c r="E172" s="292" t="n"/>
      <c r="F172" s="292" t="n"/>
      <c r="G172" s="292" t="n"/>
      <c r="H172" s="292" t="n"/>
      <c r="I172" s="292" t="n"/>
      <c r="J172" s="292" t="n"/>
      <c r="K172" s="292" t="n"/>
      <c r="L172" s="292" t="n"/>
      <c r="M172" s="292" t="n"/>
      <c r="N172" s="292" t="n"/>
      <c r="O172" s="292" t="n"/>
      <c r="P172" s="292" t="n"/>
      <c r="Q172" s="873" t="n"/>
      <c r="R172" s="873" t="n"/>
      <c r="S172" s="873" t="n"/>
      <c r="T172" s="873" t="n"/>
    </row>
    <row r="173">
      <c r="A173" s="873" t="n"/>
      <c r="B173" s="873" t="n"/>
      <c r="C173" s="192" t="inlineStr">
        <is>
          <t>※自動入力</t>
        </is>
      </c>
      <c r="D173" s="292" t="n"/>
      <c r="E173" s="292" t="n"/>
      <c r="F173" s="292" t="n"/>
      <c r="G173" s="292" t="n"/>
      <c r="H173" s="292" t="n"/>
      <c r="I173" s="292" t="n"/>
      <c r="J173" s="292" t="n"/>
      <c r="K173" s="292" t="n"/>
      <c r="L173" s="292" t="n"/>
      <c r="M173" s="292" t="n"/>
      <c r="N173" s="292" t="n"/>
      <c r="O173" s="292" t="n"/>
      <c r="P173" s="292" t="n"/>
      <c r="Q173" s="873" t="n"/>
      <c r="R173" s="873" t="n"/>
      <c r="S173" s="873" t="n"/>
      <c r="T173" s="873" t="n"/>
    </row>
    <row r="174" ht="15" customHeight="1" s="1062" thickBot="1">
      <c r="A174" s="873" t="n"/>
      <c r="B174" s="873" t="n"/>
      <c r="C174" s="873" t="n"/>
      <c r="D174" s="328" t="inlineStr">
        <is>
          <t>1月</t>
        </is>
      </c>
      <c r="E174" s="329" t="inlineStr">
        <is>
          <t>2月</t>
        </is>
      </c>
      <c r="F174" s="328" t="inlineStr">
        <is>
          <t>3月</t>
        </is>
      </c>
      <c r="G174" s="328" t="inlineStr">
        <is>
          <t>4月</t>
        </is>
      </c>
      <c r="H174" s="328" t="inlineStr">
        <is>
          <t>5月</t>
        </is>
      </c>
      <c r="I174" s="328" t="inlineStr">
        <is>
          <t>6月</t>
        </is>
      </c>
      <c r="J174" s="328" t="inlineStr">
        <is>
          <t>7月</t>
        </is>
      </c>
      <c r="K174" s="328" t="inlineStr">
        <is>
          <t>8月</t>
        </is>
      </c>
      <c r="L174" s="328" t="inlineStr">
        <is>
          <t>9月</t>
        </is>
      </c>
      <c r="M174" s="328" t="inlineStr">
        <is>
          <t>10月</t>
        </is>
      </c>
      <c r="N174" s="328" t="inlineStr">
        <is>
          <t>11月</t>
        </is>
      </c>
      <c r="O174" s="328" t="inlineStr">
        <is>
          <t>12月</t>
        </is>
      </c>
      <c r="P174" s="328" t="inlineStr">
        <is>
          <t>Lũy kế</t>
        </is>
      </c>
      <c r="Q174" s="873" t="n"/>
      <c r="R174" s="873" t="n"/>
      <c r="S174" s="873" t="n"/>
      <c r="T174" s="873" t="n"/>
    </row>
    <row r="175" ht="15" customHeight="1" s="1062" thickTop="1">
      <c r="A175" s="873" t="n"/>
      <c r="B175" s="330">
        <f>($B$12)</f>
        <v/>
      </c>
      <c r="C175" s="332">
        <f>C14</f>
        <v/>
      </c>
      <c r="D175" s="331">
        <f>D14</f>
        <v/>
      </c>
      <c r="E175" s="331">
        <f>E14</f>
        <v/>
      </c>
      <c r="F175" s="331">
        <f>F14</f>
        <v/>
      </c>
      <c r="G175" s="331">
        <f>G14</f>
        <v/>
      </c>
      <c r="H175" s="331">
        <f>H14</f>
        <v/>
      </c>
      <c r="I175" s="331">
        <f>I14</f>
        <v/>
      </c>
      <c r="J175" s="331">
        <f>J14</f>
        <v/>
      </c>
      <c r="K175" s="331">
        <f>K14</f>
        <v/>
      </c>
      <c r="L175" s="331">
        <f>L14</f>
        <v/>
      </c>
      <c r="M175" s="331">
        <f>M14</f>
        <v/>
      </c>
      <c r="N175" s="331">
        <f>N14</f>
        <v/>
      </c>
      <c r="O175" s="331">
        <f>O14</f>
        <v/>
      </c>
      <c r="P175" s="331">
        <f>P14</f>
        <v/>
      </c>
      <c r="Q175" s="873" t="n"/>
      <c r="R175" s="873" t="n"/>
      <c r="S175" s="873" t="n"/>
      <c r="T175" s="873" t="n"/>
    </row>
    <row r="176">
      <c r="A176" s="873" t="n"/>
      <c r="B176" s="386">
        <f>($B$15)</f>
        <v/>
      </c>
      <c r="C176" s="331">
        <f>C17</f>
        <v/>
      </c>
      <c r="D176" s="331">
        <f>D17</f>
        <v/>
      </c>
      <c r="E176" s="331">
        <f>E17</f>
        <v/>
      </c>
      <c r="F176" s="331">
        <f>F17</f>
        <v/>
      </c>
      <c r="G176" s="331">
        <f>G17</f>
        <v/>
      </c>
      <c r="H176" s="331">
        <f>H17</f>
        <v/>
      </c>
      <c r="I176" s="331">
        <f>I17</f>
        <v/>
      </c>
      <c r="J176" s="331">
        <f>J17</f>
        <v/>
      </c>
      <c r="K176" s="331">
        <f>K17</f>
        <v/>
      </c>
      <c r="L176" s="331">
        <f>L17</f>
        <v/>
      </c>
      <c r="M176" s="331">
        <f>M17</f>
        <v/>
      </c>
      <c r="N176" s="331">
        <f>N17</f>
        <v/>
      </c>
      <c r="O176" s="331">
        <f>O17</f>
        <v/>
      </c>
      <c r="P176" s="331">
        <f>P17</f>
        <v/>
      </c>
      <c r="Q176" s="873" t="n"/>
      <c r="R176" s="873" t="n"/>
      <c r="S176" s="873" t="n"/>
      <c r="T176" s="873" t="n"/>
    </row>
    <row r="177">
      <c r="A177" s="873" t="n"/>
      <c r="B177" s="386">
        <f>($B$18)</f>
        <v/>
      </c>
      <c r="C177" s="331">
        <f>C20</f>
        <v/>
      </c>
      <c r="D177" s="331">
        <f>D20</f>
        <v/>
      </c>
      <c r="E177" s="331">
        <f>E20</f>
        <v/>
      </c>
      <c r="F177" s="331">
        <f>F20</f>
        <v/>
      </c>
      <c r="G177" s="331">
        <f>G20</f>
        <v/>
      </c>
      <c r="H177" s="331">
        <f>H20</f>
        <v/>
      </c>
      <c r="I177" s="331">
        <f>I20</f>
        <v/>
      </c>
      <c r="J177" s="331">
        <f>J20</f>
        <v/>
      </c>
      <c r="K177" s="331">
        <f>K20</f>
        <v/>
      </c>
      <c r="L177" s="331">
        <f>L20</f>
        <v/>
      </c>
      <c r="M177" s="331">
        <f>M20</f>
        <v/>
      </c>
      <c r="N177" s="331">
        <f>N20</f>
        <v/>
      </c>
      <c r="O177" s="331">
        <f>O20</f>
        <v/>
      </c>
      <c r="P177" s="331">
        <f>P20</f>
        <v/>
      </c>
      <c r="Q177" s="873" t="n"/>
      <c r="R177" s="873" t="n"/>
      <c r="S177" s="873" t="n"/>
      <c r="T177" s="873" t="n"/>
    </row>
    <row r="178">
      <c r="A178" s="873" t="n"/>
      <c r="B178" s="386">
        <f>($B$21)</f>
        <v/>
      </c>
      <c r="C178" s="331">
        <f>C23</f>
        <v/>
      </c>
      <c r="D178" s="331">
        <f>D23</f>
        <v/>
      </c>
      <c r="E178" s="331">
        <f>E23</f>
        <v/>
      </c>
      <c r="F178" s="331">
        <f>F23</f>
        <v/>
      </c>
      <c r="G178" s="331">
        <f>G23</f>
        <v/>
      </c>
      <c r="H178" s="331">
        <f>H23</f>
        <v/>
      </c>
      <c r="I178" s="331">
        <f>I23</f>
        <v/>
      </c>
      <c r="J178" s="331">
        <f>J23</f>
        <v/>
      </c>
      <c r="K178" s="331">
        <f>K23</f>
        <v/>
      </c>
      <c r="L178" s="331">
        <f>L23</f>
        <v/>
      </c>
      <c r="M178" s="331">
        <f>M23</f>
        <v/>
      </c>
      <c r="N178" s="331">
        <f>N23</f>
        <v/>
      </c>
      <c r="O178" s="331">
        <f>O23</f>
        <v/>
      </c>
      <c r="P178" s="331">
        <f>P23</f>
        <v/>
      </c>
      <c r="Q178" s="873" t="n"/>
      <c r="R178" s="873" t="n"/>
      <c r="S178" s="873" t="n"/>
      <c r="T178" s="873" t="n"/>
    </row>
    <row r="179">
      <c r="A179" s="873" t="n"/>
      <c r="B179" s="386">
        <f>($B$24)</f>
        <v/>
      </c>
      <c r="C179" s="331">
        <f>C26</f>
        <v/>
      </c>
      <c r="D179" s="331">
        <f>D26</f>
        <v/>
      </c>
      <c r="E179" s="331">
        <f>E26</f>
        <v/>
      </c>
      <c r="F179" s="331">
        <f>F26</f>
        <v/>
      </c>
      <c r="G179" s="331">
        <f>G26</f>
        <v/>
      </c>
      <c r="H179" s="331">
        <f>H26</f>
        <v/>
      </c>
      <c r="I179" s="331">
        <f>I26</f>
        <v/>
      </c>
      <c r="J179" s="331">
        <f>J26</f>
        <v/>
      </c>
      <c r="K179" s="331">
        <f>K26</f>
        <v/>
      </c>
      <c r="L179" s="331">
        <f>L26</f>
        <v/>
      </c>
      <c r="M179" s="331">
        <f>M26</f>
        <v/>
      </c>
      <c r="N179" s="331">
        <f>N26</f>
        <v/>
      </c>
      <c r="O179" s="331">
        <f>O26</f>
        <v/>
      </c>
      <c r="P179" s="331">
        <f>P26</f>
        <v/>
      </c>
      <c r="Q179" s="873" t="n"/>
      <c r="R179" s="873" t="n"/>
      <c r="S179" s="873" t="n"/>
      <c r="T179" s="873" t="n"/>
    </row>
    <row r="180">
      <c r="A180" s="873" t="n"/>
      <c r="B180" s="386">
        <f>($B$27)</f>
        <v/>
      </c>
      <c r="C180" s="331">
        <f>C29</f>
        <v/>
      </c>
      <c r="D180" s="331">
        <f>D29</f>
        <v/>
      </c>
      <c r="E180" s="331">
        <f>E29</f>
        <v/>
      </c>
      <c r="F180" s="331">
        <f>F29</f>
        <v/>
      </c>
      <c r="G180" s="331">
        <f>G29</f>
        <v/>
      </c>
      <c r="H180" s="331">
        <f>H29</f>
        <v/>
      </c>
      <c r="I180" s="331">
        <f>I29</f>
        <v/>
      </c>
      <c r="J180" s="331">
        <f>J29</f>
        <v/>
      </c>
      <c r="K180" s="331">
        <f>K29</f>
        <v/>
      </c>
      <c r="L180" s="331">
        <f>L29</f>
        <v/>
      </c>
      <c r="M180" s="331">
        <f>M29</f>
        <v/>
      </c>
      <c r="N180" s="331">
        <f>N29</f>
        <v/>
      </c>
      <c r="O180" s="331">
        <f>O29</f>
        <v/>
      </c>
      <c r="P180" s="331">
        <f>P29</f>
        <v/>
      </c>
      <c r="Q180" s="873" t="n"/>
      <c r="R180" s="873" t="n"/>
      <c r="S180" s="873" t="n"/>
      <c r="T180" s="873" t="n"/>
    </row>
    <row r="181">
      <c r="A181" s="873" t="n"/>
      <c r="B181" s="386">
        <f>($B$30)</f>
        <v/>
      </c>
      <c r="C181" s="331">
        <f>C32</f>
        <v/>
      </c>
      <c r="D181" s="331">
        <f>D32</f>
        <v/>
      </c>
      <c r="E181" s="331">
        <f>E32</f>
        <v/>
      </c>
      <c r="F181" s="331">
        <f>F32</f>
        <v/>
      </c>
      <c r="G181" s="331">
        <f>G32</f>
        <v/>
      </c>
      <c r="H181" s="331">
        <f>H32</f>
        <v/>
      </c>
      <c r="I181" s="331">
        <f>I32</f>
        <v/>
      </c>
      <c r="J181" s="331">
        <f>J32</f>
        <v/>
      </c>
      <c r="K181" s="331">
        <f>K32</f>
        <v/>
      </c>
      <c r="L181" s="331">
        <f>L32</f>
        <v/>
      </c>
      <c r="M181" s="331">
        <f>M32</f>
        <v/>
      </c>
      <c r="N181" s="331">
        <f>N32</f>
        <v/>
      </c>
      <c r="O181" s="331">
        <f>O32</f>
        <v/>
      </c>
      <c r="P181" s="331">
        <f>P32</f>
        <v/>
      </c>
      <c r="Q181" s="873" t="n"/>
      <c r="R181" s="873" t="n"/>
      <c r="S181" s="873" t="n"/>
      <c r="T181" s="873" t="n"/>
    </row>
    <row r="182">
      <c r="A182" s="873" t="n"/>
      <c r="B182" s="386">
        <f>($B$33)</f>
        <v/>
      </c>
      <c r="C182" s="331">
        <f>C35</f>
        <v/>
      </c>
      <c r="D182" s="331">
        <f>D35</f>
        <v/>
      </c>
      <c r="E182" s="331">
        <f>E35</f>
        <v/>
      </c>
      <c r="F182" s="331">
        <f>F35</f>
        <v/>
      </c>
      <c r="G182" s="331">
        <f>G35</f>
        <v/>
      </c>
      <c r="H182" s="331">
        <f>H35</f>
        <v/>
      </c>
      <c r="I182" s="331">
        <f>I35</f>
        <v/>
      </c>
      <c r="J182" s="331">
        <f>J35</f>
        <v/>
      </c>
      <c r="K182" s="331">
        <f>K35</f>
        <v/>
      </c>
      <c r="L182" s="331">
        <f>L35</f>
        <v/>
      </c>
      <c r="M182" s="331">
        <f>M35</f>
        <v/>
      </c>
      <c r="N182" s="331">
        <f>N35</f>
        <v/>
      </c>
      <c r="O182" s="331">
        <f>O35</f>
        <v/>
      </c>
      <c r="P182" s="331">
        <f>P35</f>
        <v/>
      </c>
      <c r="Q182" s="873" t="n"/>
      <c r="R182" s="873" t="n"/>
      <c r="S182" s="873" t="n"/>
      <c r="T182" s="873" t="n"/>
    </row>
    <row r="183">
      <c r="A183" s="873" t="n"/>
      <c r="B183" s="386">
        <f>($B$36)</f>
        <v/>
      </c>
      <c r="C183" s="331">
        <f>C38</f>
        <v/>
      </c>
      <c r="D183" s="331">
        <f>D38</f>
        <v/>
      </c>
      <c r="E183" s="331">
        <f>E38</f>
        <v/>
      </c>
      <c r="F183" s="331">
        <f>F38</f>
        <v/>
      </c>
      <c r="G183" s="331">
        <f>G38</f>
        <v/>
      </c>
      <c r="H183" s="331">
        <f>H38</f>
        <v/>
      </c>
      <c r="I183" s="331">
        <f>I38</f>
        <v/>
      </c>
      <c r="J183" s="331">
        <f>J38</f>
        <v/>
      </c>
      <c r="K183" s="331">
        <f>K38</f>
        <v/>
      </c>
      <c r="L183" s="331">
        <f>L38</f>
        <v/>
      </c>
      <c r="M183" s="331">
        <f>M38</f>
        <v/>
      </c>
      <c r="N183" s="331">
        <f>N38</f>
        <v/>
      </c>
      <c r="O183" s="331">
        <f>O38</f>
        <v/>
      </c>
      <c r="P183" s="331">
        <f>P38</f>
        <v/>
      </c>
      <c r="Q183" s="873" t="n"/>
      <c r="R183" s="873" t="n"/>
      <c r="S183" s="873" t="n"/>
      <c r="T183" s="873" t="n"/>
    </row>
    <row r="184">
      <c r="A184" s="873" t="n"/>
      <c r="B184" s="386">
        <f>($B$39)</f>
        <v/>
      </c>
      <c r="C184" s="331">
        <f>C41</f>
        <v/>
      </c>
      <c r="D184" s="331">
        <f>D41</f>
        <v/>
      </c>
      <c r="E184" s="331">
        <f>E41</f>
        <v/>
      </c>
      <c r="F184" s="331">
        <f>F41</f>
        <v/>
      </c>
      <c r="G184" s="331">
        <f>G41</f>
        <v/>
      </c>
      <c r="H184" s="331">
        <f>H41</f>
        <v/>
      </c>
      <c r="I184" s="331">
        <f>I41</f>
        <v/>
      </c>
      <c r="J184" s="331">
        <f>J41</f>
        <v/>
      </c>
      <c r="K184" s="331">
        <f>K41</f>
        <v/>
      </c>
      <c r="L184" s="331">
        <f>L41</f>
        <v/>
      </c>
      <c r="M184" s="331">
        <f>M41</f>
        <v/>
      </c>
      <c r="N184" s="331">
        <f>N41</f>
        <v/>
      </c>
      <c r="O184" s="331">
        <f>O41</f>
        <v/>
      </c>
      <c r="P184" s="331">
        <f>P41</f>
        <v/>
      </c>
      <c r="Q184" s="873" t="n"/>
      <c r="R184" s="873" t="n"/>
      <c r="S184" s="873" t="n"/>
      <c r="T184" s="873" t="n"/>
    </row>
    <row r="185">
      <c r="A185" s="873" t="n"/>
      <c r="B185" s="386">
        <f>($B$42)</f>
        <v/>
      </c>
      <c r="C185" s="331">
        <f>C44</f>
        <v/>
      </c>
      <c r="D185" s="331">
        <f>D44</f>
        <v/>
      </c>
      <c r="E185" s="331">
        <f>E44</f>
        <v/>
      </c>
      <c r="F185" s="331">
        <f>F44</f>
        <v/>
      </c>
      <c r="G185" s="331">
        <f>G44</f>
        <v/>
      </c>
      <c r="H185" s="331">
        <f>H44</f>
        <v/>
      </c>
      <c r="I185" s="331">
        <f>I44</f>
        <v/>
      </c>
      <c r="J185" s="331">
        <f>J44</f>
        <v/>
      </c>
      <c r="K185" s="331">
        <f>K44</f>
        <v/>
      </c>
      <c r="L185" s="331">
        <f>L44</f>
        <v/>
      </c>
      <c r="M185" s="331">
        <f>M44</f>
        <v/>
      </c>
      <c r="N185" s="331">
        <f>N44</f>
        <v/>
      </c>
      <c r="O185" s="331">
        <f>O44</f>
        <v/>
      </c>
      <c r="P185" s="331">
        <f>P44</f>
        <v/>
      </c>
      <c r="Q185" s="873" t="n"/>
      <c r="R185" s="873" t="n"/>
      <c r="S185" s="873" t="n"/>
      <c r="T185" s="873" t="n"/>
    </row>
    <row r="186">
      <c r="A186" s="873" t="n"/>
      <c r="B186" s="386">
        <f>($B$45)</f>
        <v/>
      </c>
      <c r="C186" s="331">
        <f>C47</f>
        <v/>
      </c>
      <c r="D186" s="331">
        <f>D47</f>
        <v/>
      </c>
      <c r="E186" s="331">
        <f>E47</f>
        <v/>
      </c>
      <c r="F186" s="331">
        <f>F47</f>
        <v/>
      </c>
      <c r="G186" s="331">
        <f>G47</f>
        <v/>
      </c>
      <c r="H186" s="331">
        <f>H47</f>
        <v/>
      </c>
      <c r="I186" s="331">
        <f>I47</f>
        <v/>
      </c>
      <c r="J186" s="331">
        <f>J47</f>
        <v/>
      </c>
      <c r="K186" s="331">
        <f>K47</f>
        <v/>
      </c>
      <c r="L186" s="331">
        <f>L47</f>
        <v/>
      </c>
      <c r="M186" s="331">
        <f>M47</f>
        <v/>
      </c>
      <c r="N186" s="331">
        <f>N47</f>
        <v/>
      </c>
      <c r="O186" s="331">
        <f>O47</f>
        <v/>
      </c>
      <c r="P186" s="331">
        <f>P47</f>
        <v/>
      </c>
      <c r="Q186" s="873" t="n"/>
      <c r="R186" s="873" t="n"/>
      <c r="S186" s="873" t="n"/>
      <c r="T186" s="873" t="n"/>
    </row>
    <row r="187">
      <c r="A187" s="873" t="n"/>
      <c r="B187" s="386">
        <f>($B$48)</f>
        <v/>
      </c>
      <c r="C187" s="331">
        <f>C50</f>
        <v/>
      </c>
      <c r="D187" s="331">
        <f>D50</f>
        <v/>
      </c>
      <c r="E187" s="331">
        <f>E50</f>
        <v/>
      </c>
      <c r="F187" s="331">
        <f>F50</f>
        <v/>
      </c>
      <c r="G187" s="331">
        <f>G50</f>
        <v/>
      </c>
      <c r="H187" s="331">
        <f>H50</f>
        <v/>
      </c>
      <c r="I187" s="331">
        <f>I50</f>
        <v/>
      </c>
      <c r="J187" s="331">
        <f>J50</f>
        <v/>
      </c>
      <c r="K187" s="331">
        <f>K50</f>
        <v/>
      </c>
      <c r="L187" s="331">
        <f>L50</f>
        <v/>
      </c>
      <c r="M187" s="331">
        <f>M50</f>
        <v/>
      </c>
      <c r="N187" s="331">
        <f>N50</f>
        <v/>
      </c>
      <c r="O187" s="331">
        <f>O50</f>
        <v/>
      </c>
      <c r="P187" s="331">
        <f>P50</f>
        <v/>
      </c>
      <c r="Q187" s="873" t="n"/>
      <c r="R187" s="873" t="n"/>
      <c r="S187" s="873" t="n"/>
      <c r="T187" s="873" t="n"/>
    </row>
    <row r="188">
      <c r="A188" s="873" t="n"/>
      <c r="B188" s="386">
        <f>($B$51)</f>
        <v/>
      </c>
      <c r="C188" s="331">
        <f>C53</f>
        <v/>
      </c>
      <c r="D188" s="331">
        <f>D53</f>
        <v/>
      </c>
      <c r="E188" s="331">
        <f>E53</f>
        <v/>
      </c>
      <c r="F188" s="331">
        <f>F53</f>
        <v/>
      </c>
      <c r="G188" s="331">
        <f>G53</f>
        <v/>
      </c>
      <c r="H188" s="331">
        <f>H53</f>
        <v/>
      </c>
      <c r="I188" s="331">
        <f>I53</f>
        <v/>
      </c>
      <c r="J188" s="331">
        <f>J53</f>
        <v/>
      </c>
      <c r="K188" s="331">
        <f>K53</f>
        <v/>
      </c>
      <c r="L188" s="331">
        <f>L53</f>
        <v/>
      </c>
      <c r="M188" s="331">
        <f>M53</f>
        <v/>
      </c>
      <c r="N188" s="331">
        <f>N53</f>
        <v/>
      </c>
      <c r="O188" s="331">
        <f>O53</f>
        <v/>
      </c>
      <c r="P188" s="331">
        <f>P53</f>
        <v/>
      </c>
      <c r="Q188" s="873" t="n"/>
      <c r="R188" s="873" t="n"/>
      <c r="S188" s="873" t="n"/>
      <c r="T188" s="873" t="n"/>
    </row>
    <row r="189">
      <c r="A189" s="873" t="n"/>
      <c r="B189" s="386">
        <f>($B$54)</f>
        <v/>
      </c>
      <c r="C189" s="331">
        <f>C56</f>
        <v/>
      </c>
      <c r="D189" s="331">
        <f>D56</f>
        <v/>
      </c>
      <c r="E189" s="331">
        <f>E56</f>
        <v/>
      </c>
      <c r="F189" s="331">
        <f>F56</f>
        <v/>
      </c>
      <c r="G189" s="331">
        <f>G56</f>
        <v/>
      </c>
      <c r="H189" s="331">
        <f>H56</f>
        <v/>
      </c>
      <c r="I189" s="331">
        <f>I56</f>
        <v/>
      </c>
      <c r="J189" s="331">
        <f>J56</f>
        <v/>
      </c>
      <c r="K189" s="331">
        <f>K56</f>
        <v/>
      </c>
      <c r="L189" s="331">
        <f>L56</f>
        <v/>
      </c>
      <c r="M189" s="331">
        <f>M56</f>
        <v/>
      </c>
      <c r="N189" s="331">
        <f>N56</f>
        <v/>
      </c>
      <c r="O189" s="331">
        <f>O56</f>
        <v/>
      </c>
      <c r="P189" s="331">
        <f>P56</f>
        <v/>
      </c>
      <c r="Q189" s="873" t="n"/>
      <c r="R189" s="873" t="n"/>
      <c r="S189" s="873" t="n"/>
      <c r="T189" s="873" t="n"/>
    </row>
    <row r="190">
      <c r="A190" s="873" t="n"/>
      <c r="B190" s="386">
        <f>($B$57)</f>
        <v/>
      </c>
      <c r="C190" s="331">
        <f>C59</f>
        <v/>
      </c>
      <c r="D190" s="331">
        <f>D59</f>
        <v/>
      </c>
      <c r="E190" s="331">
        <f>E59</f>
        <v/>
      </c>
      <c r="F190" s="331">
        <f>F59</f>
        <v/>
      </c>
      <c r="G190" s="331">
        <f>G59</f>
        <v/>
      </c>
      <c r="H190" s="331">
        <f>H59</f>
        <v/>
      </c>
      <c r="I190" s="331">
        <f>I59</f>
        <v/>
      </c>
      <c r="J190" s="331">
        <f>J59</f>
        <v/>
      </c>
      <c r="K190" s="331">
        <f>K59</f>
        <v/>
      </c>
      <c r="L190" s="331">
        <f>L59</f>
        <v/>
      </c>
      <c r="M190" s="331">
        <f>M59</f>
        <v/>
      </c>
      <c r="N190" s="331">
        <f>N59</f>
        <v/>
      </c>
      <c r="O190" s="331">
        <f>O59</f>
        <v/>
      </c>
      <c r="P190" s="331">
        <f>P59</f>
        <v/>
      </c>
      <c r="Q190" s="873" t="n"/>
      <c r="R190" s="873" t="n"/>
      <c r="S190" s="873" t="n"/>
      <c r="T190" s="873" t="n"/>
    </row>
    <row r="191">
      <c r="A191" s="873" t="n"/>
      <c r="B191" s="386">
        <f>($B$60)</f>
        <v/>
      </c>
      <c r="C191" s="331">
        <f>C62</f>
        <v/>
      </c>
      <c r="D191" s="331">
        <f>D62</f>
        <v/>
      </c>
      <c r="E191" s="331">
        <f>E62</f>
        <v/>
      </c>
      <c r="F191" s="331">
        <f>F62</f>
        <v/>
      </c>
      <c r="G191" s="331">
        <f>G62</f>
        <v/>
      </c>
      <c r="H191" s="331">
        <f>H62</f>
        <v/>
      </c>
      <c r="I191" s="331">
        <f>I62</f>
        <v/>
      </c>
      <c r="J191" s="331">
        <f>J62</f>
        <v/>
      </c>
      <c r="K191" s="331">
        <f>K62</f>
        <v/>
      </c>
      <c r="L191" s="331">
        <f>L62</f>
        <v/>
      </c>
      <c r="M191" s="331">
        <f>M62</f>
        <v/>
      </c>
      <c r="N191" s="331">
        <f>N62</f>
        <v/>
      </c>
      <c r="O191" s="331">
        <f>O62</f>
        <v/>
      </c>
      <c r="P191" s="331">
        <f>P62</f>
        <v/>
      </c>
      <c r="Q191" s="873" t="n"/>
      <c r="R191" s="873" t="n"/>
      <c r="S191" s="873" t="n"/>
      <c r="T191" s="873" t="n"/>
    </row>
    <row r="192">
      <c r="A192" s="873" t="n"/>
      <c r="B192" s="386">
        <f>($B$63)</f>
        <v/>
      </c>
      <c r="C192" s="331">
        <f>C65</f>
        <v/>
      </c>
      <c r="D192" s="331">
        <f>D65</f>
        <v/>
      </c>
      <c r="E192" s="331">
        <f>E65</f>
        <v/>
      </c>
      <c r="F192" s="331">
        <f>F65</f>
        <v/>
      </c>
      <c r="G192" s="331">
        <f>G65</f>
        <v/>
      </c>
      <c r="H192" s="331">
        <f>H65</f>
        <v/>
      </c>
      <c r="I192" s="331">
        <f>I65</f>
        <v/>
      </c>
      <c r="J192" s="331">
        <f>J65</f>
        <v/>
      </c>
      <c r="K192" s="331">
        <f>K65</f>
        <v/>
      </c>
      <c r="L192" s="331">
        <f>L65</f>
        <v/>
      </c>
      <c r="M192" s="331">
        <f>M65</f>
        <v/>
      </c>
      <c r="N192" s="331">
        <f>N65</f>
        <v/>
      </c>
      <c r="O192" s="331">
        <f>O65</f>
        <v/>
      </c>
      <c r="P192" s="331">
        <f>P65</f>
        <v/>
      </c>
      <c r="Q192" s="873" t="n"/>
      <c r="R192" s="873" t="n"/>
      <c r="S192" s="873" t="n"/>
      <c r="T192" s="873" t="n"/>
    </row>
    <row r="193">
      <c r="A193" s="873" t="n"/>
      <c r="B193" s="386">
        <f>($B$66)</f>
        <v/>
      </c>
      <c r="C193" s="331">
        <f>C68</f>
        <v/>
      </c>
      <c r="D193" s="331">
        <f>D68</f>
        <v/>
      </c>
      <c r="E193" s="331">
        <f>E68</f>
        <v/>
      </c>
      <c r="F193" s="331">
        <f>F68</f>
        <v/>
      </c>
      <c r="G193" s="331">
        <f>G68</f>
        <v/>
      </c>
      <c r="H193" s="331">
        <f>H68</f>
        <v/>
      </c>
      <c r="I193" s="331">
        <f>I68</f>
        <v/>
      </c>
      <c r="J193" s="331">
        <f>J68</f>
        <v/>
      </c>
      <c r="K193" s="331">
        <f>K68</f>
        <v/>
      </c>
      <c r="L193" s="331">
        <f>L68</f>
        <v/>
      </c>
      <c r="M193" s="331">
        <f>M68</f>
        <v/>
      </c>
      <c r="N193" s="331">
        <f>N68</f>
        <v/>
      </c>
      <c r="O193" s="331">
        <f>O68</f>
        <v/>
      </c>
      <c r="P193" s="331">
        <f>P68</f>
        <v/>
      </c>
      <c r="Q193" s="873" t="n"/>
      <c r="R193" s="873" t="n"/>
      <c r="S193" s="873" t="n"/>
      <c r="T193" s="873" t="n"/>
    </row>
    <row r="194">
      <c r="A194" s="873" t="n"/>
      <c r="B194" s="386">
        <f>($B$69)</f>
        <v/>
      </c>
      <c r="C194" s="331">
        <f>C71</f>
        <v/>
      </c>
      <c r="D194" s="331">
        <f>D71</f>
        <v/>
      </c>
      <c r="E194" s="331">
        <f>E71</f>
        <v/>
      </c>
      <c r="F194" s="331">
        <f>F71</f>
        <v/>
      </c>
      <c r="G194" s="331">
        <f>G71</f>
        <v/>
      </c>
      <c r="H194" s="331">
        <f>H71</f>
        <v/>
      </c>
      <c r="I194" s="331">
        <f>I71</f>
        <v/>
      </c>
      <c r="J194" s="331">
        <f>J71</f>
        <v/>
      </c>
      <c r="K194" s="331">
        <f>K71</f>
        <v/>
      </c>
      <c r="L194" s="331">
        <f>L71</f>
        <v/>
      </c>
      <c r="M194" s="331">
        <f>M71</f>
        <v/>
      </c>
      <c r="N194" s="331">
        <f>N71</f>
        <v/>
      </c>
      <c r="O194" s="331">
        <f>O71</f>
        <v/>
      </c>
      <c r="P194" s="331">
        <f>P71</f>
        <v/>
      </c>
      <c r="Q194" s="873" t="n"/>
      <c r="R194" s="873" t="n"/>
      <c r="S194" s="873" t="n"/>
      <c r="T194" s="873" t="n"/>
    </row>
    <row r="195">
      <c r="A195" s="873" t="n"/>
      <c r="B195" s="386">
        <f>($B$72)</f>
        <v/>
      </c>
      <c r="C195" s="331">
        <f>C74</f>
        <v/>
      </c>
      <c r="D195" s="331">
        <f>D74</f>
        <v/>
      </c>
      <c r="E195" s="331">
        <f>E74</f>
        <v/>
      </c>
      <c r="F195" s="331">
        <f>F74</f>
        <v/>
      </c>
      <c r="G195" s="331">
        <f>G74</f>
        <v/>
      </c>
      <c r="H195" s="331">
        <f>H74</f>
        <v/>
      </c>
      <c r="I195" s="331">
        <f>I74</f>
        <v/>
      </c>
      <c r="J195" s="331">
        <f>J74</f>
        <v/>
      </c>
      <c r="K195" s="331">
        <f>K74</f>
        <v/>
      </c>
      <c r="L195" s="331">
        <f>L74</f>
        <v/>
      </c>
      <c r="M195" s="331">
        <f>M74</f>
        <v/>
      </c>
      <c r="N195" s="331">
        <f>N74</f>
        <v/>
      </c>
      <c r="O195" s="331">
        <f>O74</f>
        <v/>
      </c>
      <c r="P195" s="331">
        <f>P74</f>
        <v/>
      </c>
      <c r="Q195" s="873" t="n"/>
      <c r="R195" s="873" t="n"/>
      <c r="S195" s="873" t="n"/>
      <c r="T195" s="873" t="n"/>
    </row>
    <row r="196">
      <c r="A196" s="873" t="n"/>
      <c r="B196" s="386">
        <f>($B$75)</f>
        <v/>
      </c>
      <c r="C196" s="331">
        <f>C77</f>
        <v/>
      </c>
      <c r="D196" s="331">
        <f>D77</f>
        <v/>
      </c>
      <c r="E196" s="331">
        <f>E77</f>
        <v/>
      </c>
      <c r="F196" s="331">
        <f>F77</f>
        <v/>
      </c>
      <c r="G196" s="331">
        <f>G77</f>
        <v/>
      </c>
      <c r="H196" s="331">
        <f>H77</f>
        <v/>
      </c>
      <c r="I196" s="331">
        <f>I77</f>
        <v/>
      </c>
      <c r="J196" s="331">
        <f>J77</f>
        <v/>
      </c>
      <c r="K196" s="331">
        <f>K77</f>
        <v/>
      </c>
      <c r="L196" s="331">
        <f>L77</f>
        <v/>
      </c>
      <c r="M196" s="331">
        <f>M77</f>
        <v/>
      </c>
      <c r="N196" s="331">
        <f>N77</f>
        <v/>
      </c>
      <c r="O196" s="331">
        <f>O77</f>
        <v/>
      </c>
      <c r="P196" s="331">
        <f>P77</f>
        <v/>
      </c>
      <c r="Q196" s="873" t="n"/>
      <c r="R196" s="873" t="n"/>
      <c r="S196" s="873" t="n"/>
      <c r="T196" s="873" t="n"/>
    </row>
    <row r="197">
      <c r="A197" s="873" t="n"/>
      <c r="B197" s="386">
        <f>($B$78)</f>
        <v/>
      </c>
      <c r="C197" s="331">
        <f>C80</f>
        <v/>
      </c>
      <c r="D197" s="331">
        <f>D80</f>
        <v/>
      </c>
      <c r="E197" s="331">
        <f>E80</f>
        <v/>
      </c>
      <c r="F197" s="331">
        <f>F80</f>
        <v/>
      </c>
      <c r="G197" s="331">
        <f>G80</f>
        <v/>
      </c>
      <c r="H197" s="331">
        <f>H80</f>
        <v/>
      </c>
      <c r="I197" s="331">
        <f>I80</f>
        <v/>
      </c>
      <c r="J197" s="331">
        <f>J80</f>
        <v/>
      </c>
      <c r="K197" s="331">
        <f>K80</f>
        <v/>
      </c>
      <c r="L197" s="331">
        <f>L80</f>
        <v/>
      </c>
      <c r="M197" s="331">
        <f>M80</f>
        <v/>
      </c>
      <c r="N197" s="331">
        <f>N80</f>
        <v/>
      </c>
      <c r="O197" s="331">
        <f>O80</f>
        <v/>
      </c>
      <c r="P197" s="331">
        <f>P80</f>
        <v/>
      </c>
      <c r="Q197" s="873" t="n"/>
      <c r="R197" s="873" t="n"/>
      <c r="S197" s="873" t="n"/>
      <c r="T197" s="873" t="n"/>
    </row>
    <row r="198">
      <c r="A198" s="873" t="n"/>
      <c r="B198" s="386">
        <f>($B$81)</f>
        <v/>
      </c>
      <c r="C198" s="331">
        <f>C83</f>
        <v/>
      </c>
      <c r="D198" s="331">
        <f>D83</f>
        <v/>
      </c>
      <c r="E198" s="331">
        <f>E83</f>
        <v/>
      </c>
      <c r="F198" s="331">
        <f>F83</f>
        <v/>
      </c>
      <c r="G198" s="331">
        <f>G83</f>
        <v/>
      </c>
      <c r="H198" s="331">
        <f>H83</f>
        <v/>
      </c>
      <c r="I198" s="331">
        <f>I83</f>
        <v/>
      </c>
      <c r="J198" s="331">
        <f>J83</f>
        <v/>
      </c>
      <c r="K198" s="331">
        <f>K83</f>
        <v/>
      </c>
      <c r="L198" s="331">
        <f>L83</f>
        <v/>
      </c>
      <c r="M198" s="331">
        <f>M83</f>
        <v/>
      </c>
      <c r="N198" s="331">
        <f>N83</f>
        <v/>
      </c>
      <c r="O198" s="331">
        <f>O83</f>
        <v/>
      </c>
      <c r="P198" s="331">
        <f>P83</f>
        <v/>
      </c>
      <c r="Q198" s="873" t="n"/>
      <c r="R198" s="873" t="n"/>
      <c r="S198" s="873" t="n"/>
      <c r="T198" s="873" t="n"/>
    </row>
    <row r="199">
      <c r="A199" s="873" t="n"/>
      <c r="B199" s="386">
        <f>($B$84)</f>
        <v/>
      </c>
      <c r="C199" s="331">
        <f>C86</f>
        <v/>
      </c>
      <c r="D199" s="331">
        <f>D86</f>
        <v/>
      </c>
      <c r="E199" s="331">
        <f>E86</f>
        <v/>
      </c>
      <c r="F199" s="331">
        <f>F86</f>
        <v/>
      </c>
      <c r="G199" s="331">
        <f>G86</f>
        <v/>
      </c>
      <c r="H199" s="331">
        <f>H86</f>
        <v/>
      </c>
      <c r="I199" s="331">
        <f>I86</f>
        <v/>
      </c>
      <c r="J199" s="331">
        <f>J86</f>
        <v/>
      </c>
      <c r="K199" s="331">
        <f>K86</f>
        <v/>
      </c>
      <c r="L199" s="331">
        <f>L86</f>
        <v/>
      </c>
      <c r="M199" s="331">
        <f>M86</f>
        <v/>
      </c>
      <c r="N199" s="331">
        <f>N86</f>
        <v/>
      </c>
      <c r="O199" s="331">
        <f>O86</f>
        <v/>
      </c>
      <c r="P199" s="331">
        <f>P86</f>
        <v/>
      </c>
      <c r="Q199" s="873" t="n"/>
      <c r="R199" s="873" t="n"/>
      <c r="S199" s="873" t="n"/>
      <c r="T199" s="873" t="n"/>
    </row>
    <row r="200">
      <c r="A200" s="873" t="n"/>
      <c r="B200" s="386">
        <f>($B$87)</f>
        <v/>
      </c>
      <c r="C200" s="331">
        <f>C89</f>
        <v/>
      </c>
      <c r="D200" s="331">
        <f>D89</f>
        <v/>
      </c>
      <c r="E200" s="331">
        <f>E89</f>
        <v/>
      </c>
      <c r="F200" s="331">
        <f>F89</f>
        <v/>
      </c>
      <c r="G200" s="331">
        <f>G89</f>
        <v/>
      </c>
      <c r="H200" s="331">
        <f>H89</f>
        <v/>
      </c>
      <c r="I200" s="331">
        <f>I89</f>
        <v/>
      </c>
      <c r="J200" s="331">
        <f>J89</f>
        <v/>
      </c>
      <c r="K200" s="331">
        <f>K89</f>
        <v/>
      </c>
      <c r="L200" s="331">
        <f>L89</f>
        <v/>
      </c>
      <c r="M200" s="331">
        <f>M89</f>
        <v/>
      </c>
      <c r="N200" s="331">
        <f>N89</f>
        <v/>
      </c>
      <c r="O200" s="331">
        <f>O89</f>
        <v/>
      </c>
      <c r="P200" s="331">
        <f>P89</f>
        <v/>
      </c>
      <c r="Q200" s="873" t="n"/>
      <c r="R200" s="873" t="n"/>
      <c r="S200" s="873" t="n"/>
      <c r="T200" s="873" t="n"/>
    </row>
    <row r="201">
      <c r="A201" s="873" t="n"/>
      <c r="B201" s="386">
        <f>($B$90)</f>
        <v/>
      </c>
      <c r="C201" s="331">
        <f>C92</f>
        <v/>
      </c>
      <c r="D201" s="331">
        <f>D92</f>
        <v/>
      </c>
      <c r="E201" s="331">
        <f>E92</f>
        <v/>
      </c>
      <c r="F201" s="331">
        <f>F92</f>
        <v/>
      </c>
      <c r="G201" s="331">
        <f>G92</f>
        <v/>
      </c>
      <c r="H201" s="331">
        <f>H92</f>
        <v/>
      </c>
      <c r="I201" s="331">
        <f>I92</f>
        <v/>
      </c>
      <c r="J201" s="331">
        <f>J92</f>
        <v/>
      </c>
      <c r="K201" s="331">
        <f>K92</f>
        <v/>
      </c>
      <c r="L201" s="331">
        <f>L92</f>
        <v/>
      </c>
      <c r="M201" s="331">
        <f>M92</f>
        <v/>
      </c>
      <c r="N201" s="331">
        <f>N92</f>
        <v/>
      </c>
      <c r="O201" s="331">
        <f>O92</f>
        <v/>
      </c>
      <c r="P201" s="331">
        <f>P92</f>
        <v/>
      </c>
      <c r="Q201" s="873" t="n"/>
      <c r="R201" s="873" t="n"/>
      <c r="S201" s="873" t="n"/>
      <c r="T201" s="873" t="n"/>
    </row>
    <row r="202">
      <c r="A202" s="873" t="n"/>
      <c r="B202" s="386">
        <f>($B$93)</f>
        <v/>
      </c>
      <c r="C202" s="331">
        <f>C95</f>
        <v/>
      </c>
      <c r="D202" s="331">
        <f>D95</f>
        <v/>
      </c>
      <c r="E202" s="331">
        <f>E95</f>
        <v/>
      </c>
      <c r="F202" s="331">
        <f>F95</f>
        <v/>
      </c>
      <c r="G202" s="331">
        <f>G95</f>
        <v/>
      </c>
      <c r="H202" s="331">
        <f>H95</f>
        <v/>
      </c>
      <c r="I202" s="331">
        <f>I95</f>
        <v/>
      </c>
      <c r="J202" s="331">
        <f>J95</f>
        <v/>
      </c>
      <c r="K202" s="331">
        <f>K95</f>
        <v/>
      </c>
      <c r="L202" s="331">
        <f>L95</f>
        <v/>
      </c>
      <c r="M202" s="331">
        <f>M95</f>
        <v/>
      </c>
      <c r="N202" s="331">
        <f>N95</f>
        <v/>
      </c>
      <c r="O202" s="331">
        <f>O95</f>
        <v/>
      </c>
      <c r="P202" s="331">
        <f>P95</f>
        <v/>
      </c>
      <c r="Q202" s="873" t="n"/>
      <c r="R202" s="873" t="n"/>
      <c r="S202" s="873" t="n"/>
      <c r="T202" s="873" t="n"/>
    </row>
    <row r="203">
      <c r="A203" s="873" t="n"/>
      <c r="B203" s="386">
        <f>($B$96)</f>
        <v/>
      </c>
      <c r="C203" s="331">
        <f>C98</f>
        <v/>
      </c>
      <c r="D203" s="331">
        <f>D98</f>
        <v/>
      </c>
      <c r="E203" s="331">
        <f>E98</f>
        <v/>
      </c>
      <c r="F203" s="331">
        <f>F98</f>
        <v/>
      </c>
      <c r="G203" s="331">
        <f>G98</f>
        <v/>
      </c>
      <c r="H203" s="331">
        <f>H98</f>
        <v/>
      </c>
      <c r="I203" s="331">
        <f>I98</f>
        <v/>
      </c>
      <c r="J203" s="331">
        <f>J98</f>
        <v/>
      </c>
      <c r="K203" s="331">
        <f>K98</f>
        <v/>
      </c>
      <c r="L203" s="331">
        <f>L98</f>
        <v/>
      </c>
      <c r="M203" s="331">
        <f>M98</f>
        <v/>
      </c>
      <c r="N203" s="331">
        <f>N98</f>
        <v/>
      </c>
      <c r="O203" s="331">
        <f>O98</f>
        <v/>
      </c>
      <c r="P203" s="331">
        <f>P98</f>
        <v/>
      </c>
      <c r="Q203" s="873" t="n"/>
      <c r="R203" s="873" t="n"/>
      <c r="S203" s="873" t="n"/>
      <c r="T203" s="873" t="n"/>
    </row>
    <row r="204">
      <c r="A204" s="873" t="n"/>
      <c r="B204" s="386">
        <f>($B$99)</f>
        <v/>
      </c>
      <c r="C204" s="331">
        <f>C101</f>
        <v/>
      </c>
      <c r="D204" s="331">
        <f>D101</f>
        <v/>
      </c>
      <c r="E204" s="331">
        <f>E101</f>
        <v/>
      </c>
      <c r="F204" s="331">
        <f>F101</f>
        <v/>
      </c>
      <c r="G204" s="331">
        <f>G101</f>
        <v/>
      </c>
      <c r="H204" s="331">
        <f>H101</f>
        <v/>
      </c>
      <c r="I204" s="331">
        <f>I101</f>
        <v/>
      </c>
      <c r="J204" s="331">
        <f>J101</f>
        <v/>
      </c>
      <c r="K204" s="331">
        <f>K101</f>
        <v/>
      </c>
      <c r="L204" s="331">
        <f>L101</f>
        <v/>
      </c>
      <c r="M204" s="331">
        <f>M101</f>
        <v/>
      </c>
      <c r="N204" s="331">
        <f>N101</f>
        <v/>
      </c>
      <c r="O204" s="331">
        <f>O101</f>
        <v/>
      </c>
      <c r="P204" s="331">
        <f>P101</f>
        <v/>
      </c>
      <c r="Q204" s="873" t="n"/>
      <c r="R204" s="873" t="n"/>
      <c r="S204" s="873" t="n"/>
      <c r="T204" s="873" t="n"/>
    </row>
    <row r="205">
      <c r="A205" s="873" t="n"/>
      <c r="B205" s="386">
        <f>($B$102)</f>
        <v/>
      </c>
      <c r="C205" s="331">
        <f>C104</f>
        <v/>
      </c>
      <c r="D205" s="331">
        <f>D104</f>
        <v/>
      </c>
      <c r="E205" s="331">
        <f>E104</f>
        <v/>
      </c>
      <c r="F205" s="331">
        <f>F104</f>
        <v/>
      </c>
      <c r="G205" s="331">
        <f>G104</f>
        <v/>
      </c>
      <c r="H205" s="331">
        <f>H104</f>
        <v/>
      </c>
      <c r="I205" s="331">
        <f>I104</f>
        <v/>
      </c>
      <c r="J205" s="331">
        <f>J104</f>
        <v/>
      </c>
      <c r="K205" s="331">
        <f>K104</f>
        <v/>
      </c>
      <c r="L205" s="331">
        <f>L104</f>
        <v/>
      </c>
      <c r="M205" s="331">
        <f>M104</f>
        <v/>
      </c>
      <c r="N205" s="331">
        <f>N104</f>
        <v/>
      </c>
      <c r="O205" s="331">
        <f>O104</f>
        <v/>
      </c>
      <c r="P205" s="331">
        <f>P104</f>
        <v/>
      </c>
      <c r="Q205" s="873" t="n"/>
      <c r="R205" s="873" t="n"/>
      <c r="S205" s="873" t="n"/>
      <c r="T205" s="873" t="n"/>
    </row>
    <row r="206">
      <c r="A206" s="873" t="n"/>
      <c r="B206" s="386">
        <f>($B$105)</f>
        <v/>
      </c>
      <c r="C206" s="331">
        <f>C105</f>
        <v/>
      </c>
      <c r="D206" s="331">
        <f>D107</f>
        <v/>
      </c>
      <c r="E206" s="331">
        <f>E107</f>
        <v/>
      </c>
      <c r="F206" s="331">
        <f>F107</f>
        <v/>
      </c>
      <c r="G206" s="331">
        <f>G107</f>
        <v/>
      </c>
      <c r="H206" s="331">
        <f>H107</f>
        <v/>
      </c>
      <c r="I206" s="331">
        <f>I107</f>
        <v/>
      </c>
      <c r="J206" s="331">
        <f>J107</f>
        <v/>
      </c>
      <c r="K206" s="331">
        <f>K107</f>
        <v/>
      </c>
      <c r="L206" s="331">
        <f>L107</f>
        <v/>
      </c>
      <c r="M206" s="331">
        <f>M107</f>
        <v/>
      </c>
      <c r="N206" s="331">
        <f>N107</f>
        <v/>
      </c>
      <c r="O206" s="331">
        <f>O107</f>
        <v/>
      </c>
      <c r="P206" s="331">
        <f>P107</f>
        <v/>
      </c>
      <c r="Q206" s="873" t="n"/>
      <c r="R206" s="873" t="n"/>
      <c r="S206" s="873" t="n"/>
      <c r="T206" s="873" t="n"/>
    </row>
    <row r="207">
      <c r="A207" s="873" t="n"/>
      <c r="B207" s="386">
        <f>($B$108)</f>
        <v/>
      </c>
      <c r="C207" s="331">
        <f>C106</f>
        <v/>
      </c>
      <c r="D207" s="331">
        <f>D110</f>
        <v/>
      </c>
      <c r="E207" s="331">
        <f>E110</f>
        <v/>
      </c>
      <c r="F207" s="331">
        <f>F110</f>
        <v/>
      </c>
      <c r="G207" s="331">
        <f>G110</f>
        <v/>
      </c>
      <c r="H207" s="331">
        <f>H110</f>
        <v/>
      </c>
      <c r="I207" s="331">
        <f>I110</f>
        <v/>
      </c>
      <c r="J207" s="331">
        <f>J110</f>
        <v/>
      </c>
      <c r="K207" s="331">
        <f>K110</f>
        <v/>
      </c>
      <c r="L207" s="331">
        <f>L110</f>
        <v/>
      </c>
      <c r="M207" s="331">
        <f>M110</f>
        <v/>
      </c>
      <c r="N207" s="331">
        <f>N110</f>
        <v/>
      </c>
      <c r="O207" s="331">
        <f>O110</f>
        <v/>
      </c>
      <c r="P207" s="331">
        <f>P110</f>
        <v/>
      </c>
      <c r="Q207" s="873" t="n"/>
      <c r="R207" s="873" t="n"/>
      <c r="S207" s="873" t="n"/>
      <c r="T207" s="873" t="n"/>
    </row>
    <row r="208">
      <c r="A208" s="873" t="n"/>
      <c r="B208" s="386">
        <f>($B$1111)</f>
        <v/>
      </c>
      <c r="C208" s="331">
        <f>C107</f>
        <v/>
      </c>
      <c r="D208" s="331">
        <f>D113</f>
        <v/>
      </c>
      <c r="E208" s="331">
        <f>E113</f>
        <v/>
      </c>
      <c r="F208" s="331">
        <f>F113</f>
        <v/>
      </c>
      <c r="G208" s="331">
        <f>G113</f>
        <v/>
      </c>
      <c r="H208" s="331">
        <f>H113</f>
        <v/>
      </c>
      <c r="I208" s="331">
        <f>I113</f>
        <v/>
      </c>
      <c r="J208" s="331">
        <f>J113</f>
        <v/>
      </c>
      <c r="K208" s="331">
        <f>K113</f>
        <v/>
      </c>
      <c r="L208" s="331">
        <f>L113</f>
        <v/>
      </c>
      <c r="M208" s="331">
        <f>M113</f>
        <v/>
      </c>
      <c r="N208" s="331">
        <f>N113</f>
        <v/>
      </c>
      <c r="O208" s="331">
        <f>O113</f>
        <v/>
      </c>
      <c r="P208" s="331">
        <f>P113</f>
        <v/>
      </c>
      <c r="Q208" s="873" t="n"/>
      <c r="R208" s="873" t="n"/>
      <c r="S208" s="873" t="n"/>
      <c r="T208" s="873" t="n"/>
    </row>
    <row r="209">
      <c r="A209" s="873" t="n"/>
      <c r="B209" s="384" t="n"/>
      <c r="C209" s="873" t="n"/>
      <c r="D209" s="387" t="n"/>
      <c r="E209" s="387" t="n"/>
      <c r="F209" s="387" t="n"/>
      <c r="G209" s="387" t="n"/>
      <c r="H209" s="387" t="n"/>
      <c r="I209" s="387" t="n"/>
      <c r="J209" s="387" t="n"/>
      <c r="K209" s="387" t="n"/>
      <c r="L209" s="387" t="n"/>
      <c r="M209" s="387" t="n"/>
      <c r="N209" s="387" t="n"/>
      <c r="O209" s="387" t="n"/>
      <c r="P209" s="387" t="n"/>
      <c r="Q209" s="873" t="n"/>
      <c r="R209" s="873" t="n"/>
      <c r="S209" s="873" t="n"/>
      <c r="T209" s="873" t="n"/>
    </row>
    <row r="210">
      <c r="A210" s="873" t="n"/>
      <c r="B210" s="873" t="n"/>
      <c r="C210" s="873" t="n"/>
      <c r="D210" s="292" t="n"/>
      <c r="E210" s="292" t="n"/>
      <c r="F210" s="292" t="n"/>
      <c r="G210" s="292" t="n"/>
      <c r="H210" s="292" t="n"/>
      <c r="I210" s="292" t="n"/>
      <c r="J210" s="292" t="n"/>
      <c r="K210" s="292" t="n"/>
      <c r="L210" s="292" t="n"/>
      <c r="M210" s="292" t="n"/>
      <c r="N210" s="292" t="n"/>
      <c r="O210" s="292" t="n"/>
      <c r="P210" s="292" t="n"/>
      <c r="Q210" s="873" t="n"/>
      <c r="R210" s="873" t="n"/>
      <c r="S210" s="873" t="n"/>
      <c r="T210" s="873" t="n"/>
    </row>
    <row r="211">
      <c r="A211" s="873" t="n"/>
      <c r="B211" s="873" t="n"/>
      <c r="C211" s="873" t="n"/>
      <c r="D211" s="292" t="n"/>
      <c r="E211" s="292" t="n"/>
      <c r="F211" s="292" t="n"/>
      <c r="G211" s="292" t="n"/>
      <c r="H211" s="292" t="n"/>
      <c r="I211" s="292" t="n"/>
      <c r="J211" s="292" t="n"/>
      <c r="K211" s="292" t="n"/>
      <c r="L211" s="292" t="n"/>
      <c r="M211" s="292" t="n"/>
      <c r="N211" s="292" t="n"/>
      <c r="O211" s="292" t="n"/>
      <c r="P211" s="292" t="n"/>
      <c r="Q211" s="873" t="n"/>
      <c r="R211" s="873" t="n"/>
      <c r="S211" s="873" t="n"/>
      <c r="T211" s="873" t="n"/>
    </row>
    <row r="212">
      <c r="A212" s="873" t="n"/>
      <c r="B212" s="873" t="n"/>
      <c r="C212" s="873" t="n"/>
      <c r="D212" s="292" t="n"/>
      <c r="E212" s="292" t="n"/>
      <c r="F212" s="292" t="n"/>
      <c r="G212" s="292" t="n"/>
      <c r="H212" s="292" t="n"/>
      <c r="I212" s="292" t="n"/>
      <c r="J212" s="292" t="n"/>
      <c r="K212" s="292" t="n"/>
      <c r="L212" s="292" t="n"/>
      <c r="M212" s="292" t="n"/>
      <c r="N212" s="292" t="n"/>
      <c r="O212" s="292" t="n"/>
      <c r="P212" s="292" t="n"/>
      <c r="Q212" s="873" t="n"/>
      <c r="R212" s="873" t="n"/>
      <c r="S212" s="873" t="n"/>
      <c r="T212" s="873" t="n"/>
    </row>
    <row r="213">
      <c r="A213" s="873" t="n"/>
      <c r="B213" s="873" t="n"/>
      <c r="C213" s="873" t="n"/>
      <c r="D213" s="292" t="n"/>
      <c r="E213" s="292" t="n"/>
      <c r="F213" s="292" t="n"/>
      <c r="G213" s="292" t="n"/>
      <c r="H213" s="292" t="n"/>
      <c r="I213" s="292" t="n"/>
      <c r="J213" s="292" t="n"/>
      <c r="K213" s="292" t="n"/>
      <c r="L213" s="292" t="n"/>
      <c r="M213" s="292" t="n"/>
      <c r="N213" s="292" t="n"/>
      <c r="O213" s="292" t="n"/>
      <c r="P213" s="292" t="n"/>
      <c r="Q213" s="873" t="n"/>
      <c r="R213" s="873" t="n"/>
      <c r="S213" s="873" t="n"/>
      <c r="T213" s="873" t="n"/>
    </row>
    <row r="214">
      <c r="A214" s="873" t="n"/>
      <c r="B214" s="873" t="n"/>
      <c r="C214" s="873" t="n"/>
      <c r="D214" s="292" t="n"/>
      <c r="E214" s="292" t="n"/>
      <c r="F214" s="292" t="n"/>
      <c r="G214" s="292" t="n"/>
      <c r="H214" s="292" t="n"/>
      <c r="I214" s="292" t="n"/>
      <c r="J214" s="292" t="n"/>
      <c r="K214" s="292" t="n"/>
      <c r="L214" s="292" t="n"/>
      <c r="M214" s="292" t="n"/>
      <c r="N214" s="292" t="n"/>
      <c r="O214" s="292" t="n"/>
      <c r="P214" s="292" t="n"/>
      <c r="Q214" s="873" t="n"/>
      <c r="R214" s="873" t="n"/>
      <c r="S214" s="873" t="n"/>
      <c r="T214" s="873" t="n"/>
    </row>
    <row r="215">
      <c r="A215" s="873" t="n"/>
      <c r="B215" s="873" t="n"/>
      <c r="C215" s="873" t="n"/>
      <c r="D215" s="292" t="n"/>
      <c r="E215" s="292" t="n"/>
      <c r="F215" s="292" t="n"/>
      <c r="G215" s="292" t="n"/>
      <c r="H215" s="292" t="n"/>
      <c r="I215" s="292" t="n"/>
      <c r="J215" s="292" t="n"/>
      <c r="K215" s="292" t="n"/>
      <c r="L215" s="292" t="n"/>
      <c r="M215" s="292" t="n"/>
      <c r="N215" s="292" t="n"/>
      <c r="O215" s="292" t="n"/>
      <c r="P215" s="292" t="n"/>
      <c r="Q215" s="873" t="n"/>
      <c r="R215" s="873" t="n"/>
      <c r="S215" s="873" t="n"/>
      <c r="T215" s="873" t="n"/>
    </row>
    <row r="216">
      <c r="A216" s="873" t="n"/>
      <c r="B216" s="873" t="n"/>
      <c r="C216" s="873" t="n"/>
      <c r="D216" s="292" t="n"/>
      <c r="E216" s="292" t="n"/>
      <c r="F216" s="292" t="n"/>
      <c r="G216" s="292" t="n"/>
      <c r="H216" s="292" t="n"/>
      <c r="I216" s="292" t="n"/>
      <c r="J216" s="292" t="n"/>
      <c r="K216" s="292" t="n"/>
      <c r="L216" s="292" t="n"/>
      <c r="M216" s="292" t="n"/>
      <c r="N216" s="292" t="n"/>
      <c r="O216" s="292" t="n"/>
      <c r="P216" s="292" t="n"/>
      <c r="Q216" s="873" t="n"/>
      <c r="R216" s="873" t="n"/>
      <c r="S216" s="873" t="n"/>
      <c r="T216" s="873" t="n"/>
    </row>
    <row r="217">
      <c r="A217" s="873" t="n"/>
      <c r="B217" s="873" t="n"/>
      <c r="C217" s="873" t="n"/>
      <c r="D217" s="292" t="n"/>
      <c r="E217" s="292" t="n"/>
      <c r="F217" s="292" t="n"/>
      <c r="G217" s="292" t="n"/>
      <c r="H217" s="292" t="n"/>
      <c r="I217" s="292" t="n"/>
      <c r="J217" s="292" t="n"/>
      <c r="K217" s="292" t="n"/>
      <c r="L217" s="292" t="n"/>
      <c r="M217" s="292" t="n"/>
      <c r="N217" s="292" t="n"/>
      <c r="O217" s="292" t="n"/>
      <c r="P217" s="292" t="n"/>
      <c r="Q217" s="873" t="n"/>
      <c r="R217" s="873" t="n"/>
      <c r="S217" s="873" t="n"/>
      <c r="T217" s="873" t="n"/>
    </row>
    <row r="218">
      <c r="A218" s="873" t="n"/>
      <c r="B218" s="873" t="n"/>
      <c r="C218" s="873" t="n"/>
      <c r="D218" s="292" t="n"/>
      <c r="E218" s="292" t="n"/>
      <c r="F218" s="292" t="n"/>
      <c r="G218" s="292" t="n"/>
      <c r="H218" s="292" t="n"/>
      <c r="I218" s="292" t="n"/>
      <c r="J218" s="292" t="n"/>
      <c r="K218" s="292" t="n"/>
      <c r="L218" s="292" t="n"/>
      <c r="M218" s="292" t="n"/>
      <c r="N218" s="292" t="n"/>
      <c r="O218" s="292" t="n"/>
      <c r="P218" s="292" t="n"/>
      <c r="Q218" s="873" t="n"/>
      <c r="R218" s="873" t="n"/>
      <c r="S218" s="873" t="n"/>
      <c r="T218" s="873" t="n"/>
    </row>
    <row r="219">
      <c r="A219" s="873" t="n"/>
      <c r="B219" s="873" t="n"/>
      <c r="C219" s="873" t="n"/>
      <c r="D219" s="292" t="n"/>
      <c r="E219" s="292" t="n"/>
      <c r="F219" s="292" t="n"/>
      <c r="G219" s="292" t="n"/>
      <c r="H219" s="292" t="n"/>
      <c r="I219" s="292" t="n"/>
      <c r="J219" s="292" t="n"/>
      <c r="K219" s="292" t="n"/>
      <c r="L219" s="292" t="n"/>
      <c r="M219" s="292" t="n"/>
      <c r="N219" s="292" t="n"/>
      <c r="O219" s="292" t="n"/>
      <c r="P219" s="292" t="n"/>
      <c r="Q219" s="873" t="n"/>
      <c r="R219" s="873" t="n"/>
      <c r="S219" s="873" t="n"/>
      <c r="T219" s="873" t="n"/>
    </row>
    <row r="220">
      <c r="A220" s="873" t="n"/>
      <c r="B220" s="873" t="n"/>
      <c r="C220" s="873" t="n"/>
      <c r="D220" s="292" t="n"/>
      <c r="E220" s="292" t="n"/>
      <c r="F220" s="292" t="n"/>
      <c r="G220" s="292" t="n"/>
      <c r="H220" s="292" t="n"/>
      <c r="I220" s="292" t="n"/>
      <c r="J220" s="292" t="n"/>
      <c r="K220" s="292" t="n"/>
      <c r="L220" s="292" t="n"/>
      <c r="M220" s="292" t="n"/>
      <c r="N220" s="292" t="n"/>
      <c r="O220" s="292" t="n"/>
      <c r="P220" s="292" t="n"/>
      <c r="Q220" s="873" t="n"/>
      <c r="R220" s="873" t="n"/>
      <c r="S220" s="873" t="n"/>
      <c r="T220" s="873" t="n"/>
    </row>
    <row r="221">
      <c r="A221" s="873" t="n"/>
      <c r="B221" s="873" t="n"/>
      <c r="C221" s="873" t="n"/>
      <c r="D221" s="292" t="n"/>
      <c r="E221" s="292" t="n"/>
      <c r="F221" s="292" t="n"/>
      <c r="G221" s="292" t="n"/>
      <c r="H221" s="292" t="n"/>
      <c r="I221" s="292" t="n"/>
      <c r="J221" s="292" t="n"/>
      <c r="K221" s="292" t="n"/>
      <c r="L221" s="292" t="n"/>
      <c r="M221" s="292" t="n"/>
      <c r="N221" s="292" t="n"/>
      <c r="O221" s="292" t="n"/>
      <c r="P221" s="292" t="n"/>
      <c r="Q221" s="873" t="n"/>
      <c r="R221" s="873" t="n"/>
      <c r="S221" s="873" t="n"/>
      <c r="T221" s="873" t="n"/>
    </row>
    <row r="222">
      <c r="A222" s="873" t="n"/>
      <c r="B222" s="873" t="n"/>
      <c r="C222" s="873" t="n"/>
      <c r="D222" s="292" t="n"/>
      <c r="E222" s="292" t="n"/>
      <c r="F222" s="292" t="n"/>
      <c r="G222" s="292" t="n"/>
      <c r="H222" s="292" t="n"/>
      <c r="I222" s="292" t="n"/>
      <c r="J222" s="292" t="n"/>
      <c r="K222" s="292" t="n"/>
      <c r="L222" s="292" t="n"/>
      <c r="M222" s="292" t="n"/>
      <c r="N222" s="292" t="n"/>
      <c r="O222" s="292" t="n"/>
      <c r="P222" s="292" t="n"/>
      <c r="Q222" s="873" t="n"/>
      <c r="R222" s="873" t="n"/>
      <c r="S222" s="873" t="n"/>
      <c r="T222" s="873" t="n"/>
    </row>
    <row r="223">
      <c r="A223" s="873" t="n"/>
      <c r="B223" s="873" t="n"/>
      <c r="C223" s="873" t="n"/>
      <c r="D223" s="292" t="n"/>
      <c r="E223" s="292" t="n"/>
      <c r="F223" s="292" t="n"/>
      <c r="G223" s="292" t="n"/>
      <c r="H223" s="292" t="n"/>
      <c r="I223" s="292" t="n"/>
      <c r="J223" s="292" t="n"/>
      <c r="K223" s="292" t="n"/>
      <c r="L223" s="292" t="n"/>
      <c r="M223" s="292" t="n"/>
      <c r="N223" s="292" t="n"/>
      <c r="O223" s="292" t="n"/>
      <c r="P223" s="292" t="n"/>
      <c r="Q223" s="873" t="n"/>
      <c r="R223" s="873" t="n"/>
      <c r="S223" s="873" t="n"/>
      <c r="T223" s="873" t="n"/>
    </row>
    <row r="224">
      <c r="A224" s="873" t="n"/>
      <c r="B224" s="873" t="n"/>
      <c r="C224" s="873" t="n"/>
      <c r="D224" s="292" t="n"/>
      <c r="E224" s="292" t="n"/>
      <c r="F224" s="292" t="n"/>
      <c r="G224" s="292" t="n"/>
      <c r="H224" s="292" t="n"/>
      <c r="I224" s="292" t="n"/>
      <c r="J224" s="292" t="n"/>
      <c r="K224" s="292" t="n"/>
      <c r="L224" s="292" t="n"/>
      <c r="M224" s="292" t="n"/>
      <c r="N224" s="292" t="n"/>
      <c r="O224" s="292" t="n"/>
      <c r="P224" s="292" t="n"/>
      <c r="Q224" s="873" t="n"/>
      <c r="R224" s="873" t="n"/>
      <c r="S224" s="873" t="n"/>
      <c r="T224" s="873" t="n"/>
    </row>
    <row r="225">
      <c r="A225" s="873" t="n"/>
      <c r="B225" s="873" t="n"/>
      <c r="C225" s="873" t="n"/>
      <c r="D225" s="292" t="n"/>
      <c r="E225" s="292" t="n"/>
      <c r="F225" s="292" t="n"/>
      <c r="G225" s="292" t="n"/>
      <c r="H225" s="292" t="n"/>
      <c r="I225" s="292" t="n"/>
      <c r="J225" s="292" t="n"/>
      <c r="K225" s="292" t="n"/>
      <c r="L225" s="292" t="n"/>
      <c r="M225" s="292" t="n"/>
      <c r="N225" s="292" t="n"/>
      <c r="O225" s="292" t="n"/>
      <c r="P225" s="292" t="n"/>
      <c r="Q225" s="873" t="n"/>
      <c r="R225" s="873" t="n"/>
      <c r="S225" s="873" t="n"/>
      <c r="T225" s="873" t="n"/>
    </row>
    <row r="226">
      <c r="A226" s="873" t="n"/>
      <c r="B226" s="873" t="n"/>
      <c r="C226" s="873" t="n"/>
      <c r="D226" s="292" t="n"/>
      <c r="E226" s="292" t="n"/>
      <c r="F226" s="292" t="n"/>
      <c r="G226" s="292" t="n"/>
      <c r="H226" s="292" t="n"/>
      <c r="I226" s="292" t="n"/>
      <c r="J226" s="292" t="n"/>
      <c r="K226" s="292" t="n"/>
      <c r="L226" s="292" t="n"/>
      <c r="M226" s="292" t="n"/>
      <c r="N226" s="292" t="n"/>
      <c r="O226" s="292" t="n"/>
      <c r="P226" s="292" t="n"/>
      <c r="Q226" s="873" t="n"/>
      <c r="R226" s="873" t="n"/>
      <c r="S226" s="873" t="n"/>
      <c r="T226" s="873" t="n"/>
    </row>
    <row r="227">
      <c r="A227" s="873" t="n"/>
      <c r="B227" s="873" t="n"/>
      <c r="C227" s="873" t="n"/>
      <c r="D227" s="292" t="n"/>
      <c r="E227" s="292" t="n"/>
      <c r="F227" s="292" t="n"/>
      <c r="G227" s="292" t="n"/>
      <c r="H227" s="292" t="n"/>
      <c r="I227" s="292" t="n"/>
      <c r="J227" s="292" t="n"/>
      <c r="K227" s="292" t="n"/>
      <c r="L227" s="292" t="n"/>
      <c r="M227" s="292" t="n"/>
      <c r="N227" s="292" t="n"/>
      <c r="O227" s="292" t="n"/>
      <c r="P227" s="292" t="n"/>
      <c r="Q227" s="873" t="n"/>
      <c r="R227" s="873" t="n"/>
      <c r="S227" s="873" t="n"/>
      <c r="T227" s="873" t="n"/>
    </row>
    <row r="228">
      <c r="A228" s="873" t="n"/>
      <c r="B228" s="873" t="n"/>
      <c r="C228" s="873" t="n"/>
      <c r="D228" s="292" t="n"/>
      <c r="E228" s="292" t="n"/>
      <c r="F228" s="292" t="n"/>
      <c r="G228" s="292" t="n"/>
      <c r="H228" s="292" t="n"/>
      <c r="I228" s="292" t="n"/>
      <c r="J228" s="292" t="n"/>
      <c r="K228" s="292" t="n"/>
      <c r="L228" s="292" t="n"/>
      <c r="M228" s="292" t="n"/>
      <c r="N228" s="292" t="n"/>
      <c r="O228" s="292" t="n"/>
      <c r="P228" s="292" t="n"/>
      <c r="Q228" s="873" t="n"/>
      <c r="R228" s="873" t="n"/>
      <c r="S228" s="873" t="n"/>
      <c r="T228" s="873" t="n"/>
    </row>
    <row r="229">
      <c r="A229" s="873" t="n"/>
      <c r="B229" s="873" t="n"/>
      <c r="C229" s="873" t="n"/>
      <c r="D229" s="292" t="n"/>
      <c r="E229" s="292" t="n"/>
      <c r="F229" s="292" t="n"/>
      <c r="G229" s="292" t="n"/>
      <c r="H229" s="292" t="n"/>
      <c r="I229" s="292" t="n"/>
      <c r="J229" s="292" t="n"/>
      <c r="K229" s="292" t="n"/>
      <c r="L229" s="292" t="n"/>
      <c r="M229" s="292" t="n"/>
      <c r="N229" s="292" t="n"/>
      <c r="O229" s="292" t="n"/>
      <c r="P229" s="292" t="n"/>
      <c r="Q229" s="873" t="n"/>
      <c r="R229" s="873" t="n"/>
      <c r="S229" s="873" t="n"/>
      <c r="T229" s="873" t="n"/>
    </row>
    <row r="230">
      <c r="A230" s="873" t="n"/>
      <c r="B230" s="873" t="n"/>
      <c r="C230" s="873" t="n"/>
      <c r="D230" s="292" t="n"/>
      <c r="E230" s="292" t="n"/>
      <c r="F230" s="292" t="n"/>
      <c r="G230" s="292" t="n"/>
      <c r="H230" s="292" t="n"/>
      <c r="I230" s="292" t="n"/>
      <c r="J230" s="292" t="n"/>
      <c r="K230" s="292" t="n"/>
      <c r="L230" s="292" t="n"/>
      <c r="M230" s="292" t="n"/>
      <c r="N230" s="292" t="n"/>
      <c r="O230" s="292" t="n"/>
      <c r="P230" s="292" t="n"/>
      <c r="Q230" s="873" t="n"/>
      <c r="R230" s="873" t="n"/>
      <c r="S230" s="873" t="n"/>
      <c r="T230" s="873" t="n"/>
    </row>
    <row r="231">
      <c r="A231" s="873" t="n"/>
      <c r="B231" s="873" t="n"/>
      <c r="C231" s="873" t="n"/>
      <c r="D231" s="292" t="n"/>
      <c r="E231" s="292" t="n"/>
      <c r="F231" s="292" t="n"/>
      <c r="G231" s="292" t="n"/>
      <c r="H231" s="292" t="n"/>
      <c r="I231" s="292" t="n"/>
      <c r="J231" s="292" t="n"/>
      <c r="K231" s="292" t="n"/>
      <c r="L231" s="292" t="n"/>
      <c r="M231" s="292" t="n"/>
      <c r="N231" s="292" t="n"/>
      <c r="O231" s="292" t="n"/>
      <c r="P231" s="292" t="n"/>
      <c r="Q231" s="873" t="n"/>
      <c r="R231" s="873" t="n"/>
      <c r="S231" s="873" t="n"/>
      <c r="T231" s="873" t="n"/>
    </row>
    <row r="232">
      <c r="A232" s="873" t="n"/>
      <c r="B232" s="873" t="n"/>
      <c r="C232" s="873" t="n"/>
      <c r="D232" s="292" t="n"/>
      <c r="E232" s="292" t="n"/>
      <c r="F232" s="292" t="n"/>
      <c r="G232" s="292" t="n"/>
      <c r="H232" s="292" t="n"/>
      <c r="I232" s="292" t="n"/>
      <c r="J232" s="292" t="n"/>
      <c r="K232" s="292" t="n"/>
      <c r="L232" s="292" t="n"/>
      <c r="M232" s="292" t="n"/>
      <c r="N232" s="292" t="n"/>
      <c r="O232" s="292" t="n"/>
      <c r="P232" s="292" t="n"/>
      <c r="Q232" s="873" t="n"/>
      <c r="R232" s="873" t="n"/>
      <c r="S232" s="873" t="n"/>
      <c r="T232" s="873" t="n"/>
    </row>
  </sheetData>
  <mergeCells count="70">
    <mergeCell ref="A21:A23"/>
    <mergeCell ref="B78:B80"/>
    <mergeCell ref="A12:A14"/>
    <mergeCell ref="A57:A59"/>
    <mergeCell ref="B87:B89"/>
    <mergeCell ref="B30:B32"/>
    <mergeCell ref="A33:A35"/>
    <mergeCell ref="A72:A74"/>
    <mergeCell ref="B15:B17"/>
    <mergeCell ref="B108:B110"/>
    <mergeCell ref="B33:B35"/>
    <mergeCell ref="A81:A83"/>
    <mergeCell ref="B99:B101"/>
    <mergeCell ref="B24:B26"/>
    <mergeCell ref="A63:A65"/>
    <mergeCell ref="B84:B86"/>
    <mergeCell ref="A93:A95"/>
    <mergeCell ref="B36:B38"/>
    <mergeCell ref="B54:B56"/>
    <mergeCell ref="A102:A104"/>
    <mergeCell ref="B45:B47"/>
    <mergeCell ref="A111:A113"/>
    <mergeCell ref="A96:A98"/>
    <mergeCell ref="B51:B53"/>
    <mergeCell ref="B66:B68"/>
    <mergeCell ref="A15:A17"/>
    <mergeCell ref="B63:B65"/>
    <mergeCell ref="A24:A26"/>
    <mergeCell ref="A9:A11"/>
    <mergeCell ref="A36:A38"/>
    <mergeCell ref="A30:A32"/>
    <mergeCell ref="A45:A47"/>
    <mergeCell ref="B75:B77"/>
    <mergeCell ref="A39:A41"/>
    <mergeCell ref="A48:A50"/>
    <mergeCell ref="B105:B107"/>
    <mergeCell ref="B81:B83"/>
    <mergeCell ref="B96:B98"/>
    <mergeCell ref="A84:A86"/>
    <mergeCell ref="B72:B74"/>
    <mergeCell ref="B90:B92"/>
    <mergeCell ref="A60:A62"/>
    <mergeCell ref="A51:A53"/>
    <mergeCell ref="B21:B23"/>
    <mergeCell ref="A87:A89"/>
    <mergeCell ref="A69:A71"/>
    <mergeCell ref="B12:B14"/>
    <mergeCell ref="B102:B104"/>
    <mergeCell ref="A54:A56"/>
    <mergeCell ref="B93:B95"/>
    <mergeCell ref="B111:B113"/>
    <mergeCell ref="B42:B44"/>
    <mergeCell ref="B27:B29"/>
    <mergeCell ref="A108:A110"/>
    <mergeCell ref="A66:A68"/>
    <mergeCell ref="A78:A80"/>
    <mergeCell ref="B18:B20"/>
    <mergeCell ref="A75:A77"/>
    <mergeCell ref="B39:B41"/>
    <mergeCell ref="B57:B59"/>
    <mergeCell ref="A105:A107"/>
    <mergeCell ref="B48:B50"/>
    <mergeCell ref="A99:A101"/>
    <mergeCell ref="A90:A92"/>
    <mergeCell ref="B60:B62"/>
    <mergeCell ref="B9:B11"/>
    <mergeCell ref="B69:B71"/>
    <mergeCell ref="A42:A44"/>
    <mergeCell ref="A18:A20"/>
    <mergeCell ref="A27:A29"/>
  </mergeCells>
  <conditionalFormatting sqref="D13:O13 D16:O16 D19:O19 D22:O22 D25:O25 D28:O28 D31:O31 D34:O34 D37:G37 D40:O40 D43:O43 D46:O46 D49:O49 D52:O52 D55:O55 D73:O73">
    <cfRule type="cellIs" priority="12" operator="greaterThan" dxfId="0">
      <formula>0</formula>
    </cfRule>
  </conditionalFormatting>
  <conditionalFormatting sqref="D58:O58">
    <cfRule type="cellIs" priority="11" operator="greaterThan" dxfId="0">
      <formula>0</formula>
    </cfRule>
  </conditionalFormatting>
  <conditionalFormatting sqref="D61:O61">
    <cfRule type="cellIs" priority="10" operator="greaterThan" dxfId="0">
      <formula>0</formula>
    </cfRule>
  </conditionalFormatting>
  <conditionalFormatting sqref="D64:O64">
    <cfRule type="cellIs" priority="9" operator="greaterThan" dxfId="0">
      <formula>0</formula>
    </cfRule>
  </conditionalFormatting>
  <conditionalFormatting sqref="D67:O67">
    <cfRule type="cellIs" priority="8" operator="greaterThan" dxfId="0">
      <formula>0</formula>
    </cfRule>
  </conditionalFormatting>
  <conditionalFormatting sqref="D70:O70">
    <cfRule type="cellIs" priority="7" operator="greaterThan" dxfId="0">
      <formula>0</formula>
    </cfRule>
  </conditionalFormatting>
  <conditionalFormatting sqref="D76:O76">
    <cfRule type="cellIs" priority="5" operator="greaterThan" dxfId="0">
      <formula>0</formula>
    </cfRule>
  </conditionalFormatting>
  <conditionalFormatting sqref="D79:O79">
    <cfRule type="cellIs" priority="4" operator="greaterThan" dxfId="0">
      <formula>0</formula>
    </cfRule>
  </conditionalFormatting>
  <conditionalFormatting sqref="D82:O82">
    <cfRule type="cellIs" priority="3" operator="greaterThan" dxfId="0">
      <formula>0</formula>
    </cfRule>
  </conditionalFormatting>
  <conditionalFormatting sqref="D85:O85">
    <cfRule type="cellIs" priority="2" operator="greaterThan" dxfId="0">
      <formula>0</formula>
    </cfRule>
  </conditionalFormatting>
  <conditionalFormatting sqref="D88:O88 D91:O91 D94:O94 D97:O97 D100:O100">
    <cfRule type="cellIs" priority="1" operator="greaterThan" dxfId="0">
      <formula>0</formula>
    </cfRule>
  </conditionalFormatting>
  <conditionalFormatting sqref="D103:O103 D106:O106 D109:O109 D112:O112">
    <cfRule type="cellIs" priority="13" operator="greaterThan" dxfId="0">
      <formula>0</formula>
    </cfRule>
  </conditionalFormatting>
  <conditionalFormatting sqref="D121:P154">
    <cfRule type="cellIs" priority="25" operator="greaterThan" dxfId="0">
      <formula>0</formula>
    </cfRule>
  </conditionalFormatting>
  <conditionalFormatting sqref="D175:P209">
    <cfRule type="cellIs" priority="24" operator="greaterThan" dxfId="0">
      <formula>0</formula>
    </cfRule>
  </conditionalFormatting>
  <conditionalFormatting sqref="H36:H37 I37:O37">
    <cfRule type="cellIs" priority="26" operator="greaterThan" dxfId="0">
      <formula>0</formula>
    </cfRule>
  </conditionalFormatting>
  <pageMargins left="0.7" right="0.7" top="0.75" bottom="0.75" header="0.3" footer="0.3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V177"/>
  <sheetViews>
    <sheetView zoomScaleNormal="100" workbookViewId="0">
      <pane ySplit="6" topLeftCell="A7" activePane="bottomLeft" state="frozen"/>
      <selection pane="bottomLeft" activeCell="L22" sqref="L22"/>
    </sheetView>
  </sheetViews>
  <sheetFormatPr baseColWidth="8" defaultColWidth="9" defaultRowHeight="13.2"/>
  <cols>
    <col width="8.44140625" customWidth="1" style="2" min="1" max="1"/>
    <col width="3.44140625" customWidth="1" style="2" min="2" max="2"/>
    <col width="9.109375" customWidth="1" style="40" min="3" max="5"/>
    <col width="9.33203125" customWidth="1" style="12" min="6" max="6"/>
    <col width="10.33203125" customWidth="1" style="2" min="7" max="7"/>
    <col width="10" customWidth="1" style="12" min="8" max="8"/>
    <col width="9" customWidth="1" style="12" min="9" max="9"/>
    <col width="9.5546875" customWidth="1" style="2" min="10" max="10"/>
    <col width="9.5546875" customWidth="1" style="12" min="11" max="11"/>
    <col width="9.6640625" customWidth="1" style="12" min="12" max="12"/>
    <col width="9.109375" customWidth="1" style="2" min="13" max="13"/>
    <col width="9.5546875" customWidth="1" style="2" min="14" max="14"/>
    <col width="9.33203125" customWidth="1" style="12" min="15" max="15"/>
    <col width="9.33203125" customWidth="1" style="2" min="16" max="16"/>
    <col width="9.33203125" customWidth="1" style="12" min="17" max="17"/>
    <col width="9.109375" customWidth="1" style="2" min="18" max="20"/>
    <col width="9.5546875" customWidth="1" style="2" min="21" max="21"/>
    <col width="9.109375" customWidth="1" style="2" min="22" max="259"/>
    <col width="13.6640625" customWidth="1" style="2" min="260" max="260"/>
    <col width="9.109375" customWidth="1" style="2" min="261" max="270"/>
    <col width="9.33203125" customWidth="1" style="2" min="271" max="271"/>
    <col width="9.109375" customWidth="1" style="2" min="272" max="515"/>
    <col width="13.6640625" customWidth="1" style="2" min="516" max="516"/>
    <col width="9.109375" customWidth="1" style="2" min="517" max="526"/>
    <col width="9.33203125" customWidth="1" style="2" min="527" max="527"/>
    <col width="9.109375" customWidth="1" style="2" min="528" max="771"/>
    <col width="13.6640625" customWidth="1" style="2" min="772" max="772"/>
    <col width="9.109375" customWidth="1" style="2" min="773" max="782"/>
    <col width="9.33203125" customWidth="1" style="2" min="783" max="783"/>
    <col width="9.109375" customWidth="1" style="2" min="784" max="1027"/>
    <col width="13.6640625" customWidth="1" style="2" min="1028" max="1028"/>
    <col width="9.109375" customWidth="1" style="2" min="1029" max="1038"/>
    <col width="9.33203125" customWidth="1" style="2" min="1039" max="1039"/>
    <col width="9.109375" customWidth="1" style="2" min="1040" max="1283"/>
    <col width="13.6640625" customWidth="1" style="2" min="1284" max="1284"/>
    <col width="9.109375" customWidth="1" style="2" min="1285" max="1294"/>
    <col width="9.33203125" customWidth="1" style="2" min="1295" max="1295"/>
    <col width="9.109375" customWidth="1" style="2" min="1296" max="1539"/>
    <col width="13.6640625" customWidth="1" style="2" min="1540" max="1540"/>
    <col width="9.109375" customWidth="1" style="2" min="1541" max="1550"/>
    <col width="9.33203125" customWidth="1" style="2" min="1551" max="1551"/>
    <col width="9.109375" customWidth="1" style="2" min="1552" max="1795"/>
    <col width="13.6640625" customWidth="1" style="2" min="1796" max="1796"/>
    <col width="9.109375" customWidth="1" style="2" min="1797" max="1806"/>
    <col width="9.33203125" customWidth="1" style="2" min="1807" max="1807"/>
    <col width="9.109375" customWidth="1" style="2" min="1808" max="2051"/>
    <col width="13.6640625" customWidth="1" style="2" min="2052" max="2052"/>
    <col width="9.109375" customWidth="1" style="2" min="2053" max="2062"/>
    <col width="9.33203125" customWidth="1" style="2" min="2063" max="2063"/>
    <col width="9.109375" customWidth="1" style="2" min="2064" max="2307"/>
    <col width="13.6640625" customWidth="1" style="2" min="2308" max="2308"/>
    <col width="9.109375" customWidth="1" style="2" min="2309" max="2318"/>
    <col width="9.33203125" customWidth="1" style="2" min="2319" max="2319"/>
    <col width="9.109375" customWidth="1" style="2" min="2320" max="2563"/>
    <col width="13.6640625" customWidth="1" style="2" min="2564" max="2564"/>
    <col width="9.109375" customWidth="1" style="2" min="2565" max="2574"/>
    <col width="9.33203125" customWidth="1" style="2" min="2575" max="2575"/>
    <col width="9.109375" customWidth="1" style="2" min="2576" max="2819"/>
    <col width="13.6640625" customWidth="1" style="2" min="2820" max="2820"/>
    <col width="9.109375" customWidth="1" style="2" min="2821" max="2830"/>
    <col width="9.33203125" customWidth="1" style="2" min="2831" max="2831"/>
    <col width="9.109375" customWidth="1" style="2" min="2832" max="3075"/>
    <col width="13.6640625" customWidth="1" style="2" min="3076" max="3076"/>
    <col width="9.109375" customWidth="1" style="2" min="3077" max="3086"/>
    <col width="9.33203125" customWidth="1" style="2" min="3087" max="3087"/>
    <col width="9.109375" customWidth="1" style="2" min="3088" max="3331"/>
    <col width="13.6640625" customWidth="1" style="2" min="3332" max="3332"/>
    <col width="9.109375" customWidth="1" style="2" min="3333" max="3342"/>
    <col width="9.33203125" customWidth="1" style="2" min="3343" max="3343"/>
    <col width="9.109375" customWidth="1" style="2" min="3344" max="3587"/>
    <col width="13.6640625" customWidth="1" style="2" min="3588" max="3588"/>
    <col width="9.109375" customWidth="1" style="2" min="3589" max="3598"/>
    <col width="9.33203125" customWidth="1" style="2" min="3599" max="3599"/>
    <col width="9.109375" customWidth="1" style="2" min="3600" max="3843"/>
    <col width="13.6640625" customWidth="1" style="2" min="3844" max="3844"/>
    <col width="9.109375" customWidth="1" style="2" min="3845" max="3854"/>
    <col width="9.33203125" customWidth="1" style="2" min="3855" max="3855"/>
    <col width="9.109375" customWidth="1" style="2" min="3856" max="4099"/>
    <col width="13.6640625" customWidth="1" style="2" min="4100" max="4100"/>
    <col width="9.109375" customWidth="1" style="2" min="4101" max="4110"/>
    <col width="9.33203125" customWidth="1" style="2" min="4111" max="4111"/>
    <col width="9.109375" customWidth="1" style="2" min="4112" max="4355"/>
    <col width="13.6640625" customWidth="1" style="2" min="4356" max="4356"/>
    <col width="9.109375" customWidth="1" style="2" min="4357" max="4366"/>
    <col width="9.33203125" customWidth="1" style="2" min="4367" max="4367"/>
    <col width="9.109375" customWidth="1" style="2" min="4368" max="4611"/>
    <col width="13.6640625" customWidth="1" style="2" min="4612" max="4612"/>
    <col width="9.109375" customWidth="1" style="2" min="4613" max="4622"/>
    <col width="9.33203125" customWidth="1" style="2" min="4623" max="4623"/>
    <col width="9.109375" customWidth="1" style="2" min="4624" max="4867"/>
    <col width="13.6640625" customWidth="1" style="2" min="4868" max="4868"/>
    <col width="9.109375" customWidth="1" style="2" min="4869" max="4878"/>
    <col width="9.33203125" customWidth="1" style="2" min="4879" max="4879"/>
    <col width="9.109375" customWidth="1" style="2" min="4880" max="5123"/>
    <col width="13.6640625" customWidth="1" style="2" min="5124" max="5124"/>
    <col width="9.109375" customWidth="1" style="2" min="5125" max="5134"/>
    <col width="9.33203125" customWidth="1" style="2" min="5135" max="5135"/>
    <col width="9.109375" customWidth="1" style="2" min="5136" max="5379"/>
    <col width="13.6640625" customWidth="1" style="2" min="5380" max="5380"/>
    <col width="9.109375" customWidth="1" style="2" min="5381" max="5390"/>
    <col width="9.33203125" customWidth="1" style="2" min="5391" max="5391"/>
    <col width="9.109375" customWidth="1" style="2" min="5392" max="5635"/>
    <col width="13.6640625" customWidth="1" style="2" min="5636" max="5636"/>
    <col width="9.109375" customWidth="1" style="2" min="5637" max="5646"/>
    <col width="9.33203125" customWidth="1" style="2" min="5647" max="5647"/>
    <col width="9.109375" customWidth="1" style="2" min="5648" max="5891"/>
    <col width="13.6640625" customWidth="1" style="2" min="5892" max="5892"/>
    <col width="9.109375" customWidth="1" style="2" min="5893" max="5902"/>
    <col width="9.33203125" customWidth="1" style="2" min="5903" max="5903"/>
    <col width="9.109375" customWidth="1" style="2" min="5904" max="6147"/>
    <col width="13.6640625" customWidth="1" style="2" min="6148" max="6148"/>
    <col width="9.109375" customWidth="1" style="2" min="6149" max="6158"/>
    <col width="9.33203125" customWidth="1" style="2" min="6159" max="6159"/>
    <col width="9.109375" customWidth="1" style="2" min="6160" max="6403"/>
    <col width="13.6640625" customWidth="1" style="2" min="6404" max="6404"/>
    <col width="9.109375" customWidth="1" style="2" min="6405" max="6414"/>
    <col width="9.33203125" customWidth="1" style="2" min="6415" max="6415"/>
    <col width="9.109375" customWidth="1" style="2" min="6416" max="6659"/>
    <col width="13.6640625" customWidth="1" style="2" min="6660" max="6660"/>
    <col width="9.109375" customWidth="1" style="2" min="6661" max="6670"/>
    <col width="9.33203125" customWidth="1" style="2" min="6671" max="6671"/>
    <col width="9.109375" customWidth="1" style="2" min="6672" max="6915"/>
    <col width="13.6640625" customWidth="1" style="2" min="6916" max="6916"/>
    <col width="9.109375" customWidth="1" style="2" min="6917" max="6926"/>
    <col width="9.33203125" customWidth="1" style="2" min="6927" max="6927"/>
    <col width="9.109375" customWidth="1" style="2" min="6928" max="7171"/>
    <col width="13.6640625" customWidth="1" style="2" min="7172" max="7172"/>
    <col width="9.109375" customWidth="1" style="2" min="7173" max="7182"/>
    <col width="9.33203125" customWidth="1" style="2" min="7183" max="7183"/>
    <col width="9.109375" customWidth="1" style="2" min="7184" max="7427"/>
    <col width="13.6640625" customWidth="1" style="2" min="7428" max="7428"/>
    <col width="9.109375" customWidth="1" style="2" min="7429" max="7438"/>
    <col width="9.33203125" customWidth="1" style="2" min="7439" max="7439"/>
    <col width="9.109375" customWidth="1" style="2" min="7440" max="7683"/>
    <col width="13.6640625" customWidth="1" style="2" min="7684" max="7684"/>
    <col width="9.109375" customWidth="1" style="2" min="7685" max="7694"/>
    <col width="9.33203125" customWidth="1" style="2" min="7695" max="7695"/>
    <col width="9.109375" customWidth="1" style="2" min="7696" max="7939"/>
    <col width="13.6640625" customWidth="1" style="2" min="7940" max="7940"/>
    <col width="9.109375" customWidth="1" style="2" min="7941" max="7950"/>
    <col width="9.33203125" customWidth="1" style="2" min="7951" max="7951"/>
    <col width="9.109375" customWidth="1" style="2" min="7952" max="8195"/>
    <col width="13.6640625" customWidth="1" style="2" min="8196" max="8196"/>
    <col width="9.109375" customWidth="1" style="2" min="8197" max="8206"/>
    <col width="9.33203125" customWidth="1" style="2" min="8207" max="8207"/>
    <col width="9.109375" customWidth="1" style="2" min="8208" max="8451"/>
    <col width="13.6640625" customWidth="1" style="2" min="8452" max="8452"/>
    <col width="9.109375" customWidth="1" style="2" min="8453" max="8462"/>
    <col width="9.33203125" customWidth="1" style="2" min="8463" max="8463"/>
    <col width="9.109375" customWidth="1" style="2" min="8464" max="8707"/>
    <col width="13.6640625" customWidth="1" style="2" min="8708" max="8708"/>
    <col width="9.109375" customWidth="1" style="2" min="8709" max="8718"/>
    <col width="9.33203125" customWidth="1" style="2" min="8719" max="8719"/>
    <col width="9.109375" customWidth="1" style="2" min="8720" max="8963"/>
    <col width="13.6640625" customWidth="1" style="2" min="8964" max="8964"/>
    <col width="9.109375" customWidth="1" style="2" min="8965" max="8974"/>
    <col width="9.33203125" customWidth="1" style="2" min="8975" max="8975"/>
    <col width="9.109375" customWidth="1" style="2" min="8976" max="9219"/>
    <col width="13.6640625" customWidth="1" style="2" min="9220" max="9220"/>
    <col width="9.109375" customWidth="1" style="2" min="9221" max="9230"/>
    <col width="9.33203125" customWidth="1" style="2" min="9231" max="9231"/>
    <col width="9.109375" customWidth="1" style="2" min="9232" max="9475"/>
    <col width="13.6640625" customWidth="1" style="2" min="9476" max="9476"/>
    <col width="9.109375" customWidth="1" style="2" min="9477" max="9486"/>
    <col width="9.33203125" customWidth="1" style="2" min="9487" max="9487"/>
    <col width="9.109375" customWidth="1" style="2" min="9488" max="9731"/>
    <col width="13.6640625" customWidth="1" style="2" min="9732" max="9732"/>
    <col width="9.109375" customWidth="1" style="2" min="9733" max="9742"/>
    <col width="9.33203125" customWidth="1" style="2" min="9743" max="9743"/>
    <col width="9.109375" customWidth="1" style="2" min="9744" max="9987"/>
    <col width="13.6640625" customWidth="1" style="2" min="9988" max="9988"/>
    <col width="9.109375" customWidth="1" style="2" min="9989" max="9998"/>
    <col width="9.33203125" customWidth="1" style="2" min="9999" max="9999"/>
    <col width="9.109375" customWidth="1" style="2" min="10000" max="10243"/>
    <col width="13.6640625" customWidth="1" style="2" min="10244" max="10244"/>
    <col width="9.109375" customWidth="1" style="2" min="10245" max="10254"/>
    <col width="9.33203125" customWidth="1" style="2" min="10255" max="10255"/>
    <col width="9.109375" customWidth="1" style="2" min="10256" max="10499"/>
    <col width="13.6640625" customWidth="1" style="2" min="10500" max="10500"/>
    <col width="9.109375" customWidth="1" style="2" min="10501" max="10510"/>
    <col width="9.33203125" customWidth="1" style="2" min="10511" max="10511"/>
    <col width="9.109375" customWidth="1" style="2" min="10512" max="10755"/>
    <col width="13.6640625" customWidth="1" style="2" min="10756" max="10756"/>
    <col width="9.109375" customWidth="1" style="2" min="10757" max="10766"/>
    <col width="9.33203125" customWidth="1" style="2" min="10767" max="10767"/>
    <col width="9.109375" customWidth="1" style="2" min="10768" max="11011"/>
    <col width="13.6640625" customWidth="1" style="2" min="11012" max="11012"/>
    <col width="9.109375" customWidth="1" style="2" min="11013" max="11022"/>
    <col width="9.33203125" customWidth="1" style="2" min="11023" max="11023"/>
    <col width="9.109375" customWidth="1" style="2" min="11024" max="11267"/>
    <col width="13.6640625" customWidth="1" style="2" min="11268" max="11268"/>
    <col width="9.109375" customWidth="1" style="2" min="11269" max="11278"/>
    <col width="9.33203125" customWidth="1" style="2" min="11279" max="11279"/>
    <col width="9.109375" customWidth="1" style="2" min="11280" max="11523"/>
    <col width="13.6640625" customWidth="1" style="2" min="11524" max="11524"/>
    <col width="9.109375" customWidth="1" style="2" min="11525" max="11534"/>
    <col width="9.33203125" customWidth="1" style="2" min="11535" max="11535"/>
    <col width="9.109375" customWidth="1" style="2" min="11536" max="11779"/>
    <col width="13.6640625" customWidth="1" style="2" min="11780" max="11780"/>
    <col width="9.109375" customWidth="1" style="2" min="11781" max="11790"/>
    <col width="9.33203125" customWidth="1" style="2" min="11791" max="11791"/>
    <col width="9.109375" customWidth="1" style="2" min="11792" max="12035"/>
    <col width="13.6640625" customWidth="1" style="2" min="12036" max="12036"/>
    <col width="9.109375" customWidth="1" style="2" min="12037" max="12046"/>
    <col width="9.33203125" customWidth="1" style="2" min="12047" max="12047"/>
    <col width="9.109375" customWidth="1" style="2" min="12048" max="12291"/>
    <col width="13.6640625" customWidth="1" style="2" min="12292" max="12292"/>
    <col width="9.109375" customWidth="1" style="2" min="12293" max="12302"/>
    <col width="9.33203125" customWidth="1" style="2" min="12303" max="12303"/>
    <col width="9.109375" customWidth="1" style="2" min="12304" max="12547"/>
    <col width="13.6640625" customWidth="1" style="2" min="12548" max="12548"/>
    <col width="9.109375" customWidth="1" style="2" min="12549" max="12558"/>
    <col width="9.33203125" customWidth="1" style="2" min="12559" max="12559"/>
    <col width="9.109375" customWidth="1" style="2" min="12560" max="12803"/>
    <col width="13.6640625" customWidth="1" style="2" min="12804" max="12804"/>
    <col width="9.109375" customWidth="1" style="2" min="12805" max="12814"/>
    <col width="9.33203125" customWidth="1" style="2" min="12815" max="12815"/>
    <col width="9.109375" customWidth="1" style="2" min="12816" max="13059"/>
    <col width="13.6640625" customWidth="1" style="2" min="13060" max="13060"/>
    <col width="9.109375" customWidth="1" style="2" min="13061" max="13070"/>
    <col width="9.33203125" customWidth="1" style="2" min="13071" max="13071"/>
    <col width="9.109375" customWidth="1" style="2" min="13072" max="13315"/>
    <col width="13.6640625" customWidth="1" style="2" min="13316" max="13316"/>
    <col width="9.109375" customWidth="1" style="2" min="13317" max="13326"/>
    <col width="9.33203125" customWidth="1" style="2" min="13327" max="13327"/>
    <col width="9.109375" customWidth="1" style="2" min="13328" max="13571"/>
    <col width="13.6640625" customWidth="1" style="2" min="13572" max="13572"/>
    <col width="9.109375" customWidth="1" style="2" min="13573" max="13582"/>
    <col width="9.33203125" customWidth="1" style="2" min="13583" max="13583"/>
    <col width="9.109375" customWidth="1" style="2" min="13584" max="13827"/>
    <col width="13.6640625" customWidth="1" style="2" min="13828" max="13828"/>
    <col width="9.109375" customWidth="1" style="2" min="13829" max="13838"/>
    <col width="9.33203125" customWidth="1" style="2" min="13839" max="13839"/>
    <col width="9.109375" customWidth="1" style="2" min="13840" max="14083"/>
    <col width="13.6640625" customWidth="1" style="2" min="14084" max="14084"/>
    <col width="9.109375" customWidth="1" style="2" min="14085" max="14094"/>
    <col width="9.33203125" customWidth="1" style="2" min="14095" max="14095"/>
    <col width="9.109375" customWidth="1" style="2" min="14096" max="14339"/>
    <col width="13.6640625" customWidth="1" style="2" min="14340" max="14340"/>
    <col width="9.109375" customWidth="1" style="2" min="14341" max="14350"/>
    <col width="9.33203125" customWidth="1" style="2" min="14351" max="14351"/>
    <col width="9.109375" customWidth="1" style="2" min="14352" max="14595"/>
    <col width="13.6640625" customWidth="1" style="2" min="14596" max="14596"/>
    <col width="9.109375" customWidth="1" style="2" min="14597" max="14606"/>
    <col width="9.33203125" customWidth="1" style="2" min="14607" max="14607"/>
    <col width="9.109375" customWidth="1" style="2" min="14608" max="14851"/>
    <col width="13.6640625" customWidth="1" style="2" min="14852" max="14852"/>
    <col width="9.109375" customWidth="1" style="2" min="14853" max="14862"/>
    <col width="9.33203125" customWidth="1" style="2" min="14863" max="14863"/>
    <col width="9.109375" customWidth="1" style="2" min="14864" max="15107"/>
    <col width="13.6640625" customWidth="1" style="2" min="15108" max="15108"/>
    <col width="9.109375" customWidth="1" style="2" min="15109" max="15118"/>
    <col width="9.33203125" customWidth="1" style="2" min="15119" max="15119"/>
    <col width="9.109375" customWidth="1" style="2" min="15120" max="15363"/>
    <col width="13.6640625" customWidth="1" style="2" min="15364" max="15364"/>
    <col width="9.109375" customWidth="1" style="2" min="15365" max="15374"/>
    <col width="9.33203125" customWidth="1" style="2" min="15375" max="15375"/>
    <col width="9.109375" customWidth="1" style="2" min="15376" max="15618"/>
    <col width="13.6640625" customWidth="1" style="2" min="15619" max="15619"/>
    <col width="9.109375" customWidth="1" style="2" min="15620" max="15629"/>
    <col width="9.33203125" customWidth="1" style="2" min="15630" max="15630"/>
    <col width="9.109375" customWidth="1" style="2" min="15631" max="15874"/>
    <col width="13.6640625" customWidth="1" style="2" min="15875" max="15875"/>
    <col width="9.109375" customWidth="1" style="2" min="15876" max="15885"/>
    <col width="9.33203125" customWidth="1" style="2" min="15886" max="15886"/>
    <col width="9.109375" customWidth="1" style="2" min="15887" max="16130"/>
    <col width="13.6640625" customWidth="1" style="2" min="16131" max="16131"/>
    <col width="9.109375" customWidth="1" style="2" min="16132" max="16141"/>
    <col width="9.33203125" customWidth="1" style="2" min="16142" max="16142"/>
    <col width="9.109375" customWidth="1" style="2" min="16143" max="16380"/>
    <col width="9.109375" customWidth="1" style="2" min="16381" max="16384"/>
  </cols>
  <sheetData>
    <row r="1" ht="14.4" customHeight="1" s="1062">
      <c r="E1" s="5" t="inlineStr">
        <is>
          <t>☆月末時点の仕事の残工数を表しているものです。</t>
        </is>
      </c>
    </row>
    <row r="2" ht="19.2" customHeight="1" s="1062">
      <c r="E2" s="6" t="inlineStr">
        <is>
          <t>①每天的负荷时间（分）图表的追加・・・可视化</t>
        </is>
      </c>
      <c r="F2" s="7" t="n"/>
      <c r="G2" s="8" t="n"/>
      <c r="O2" s="42" t="n"/>
      <c r="P2" s="12" t="n"/>
      <c r="Q2" s="2" t="n"/>
    </row>
    <row r="3" ht="19.2" customHeight="1" s="1062">
      <c r="E3" s="9" t="n"/>
      <c r="F3" s="10" t="inlineStr">
        <is>
          <t>相对工程能力的工程別負荷時間（日均）图表追加・・・可視化</t>
        </is>
      </c>
      <c r="G3" s="8" t="n"/>
      <c r="O3" s="42" t="n"/>
      <c r="P3" s="24" t="n"/>
      <c r="Q3" s="2" t="n"/>
    </row>
    <row r="4" ht="19.2" customHeight="1" s="1062">
      <c r="E4" s="6" t="inlineStr">
        <is>
          <t>②負荷日数图表的追加・・・仕掛天数的可視化</t>
        </is>
      </c>
      <c r="F4" s="7" t="n"/>
      <c r="G4" s="8" t="n"/>
      <c r="O4" s="42" t="n"/>
      <c r="P4" s="24" t="n"/>
      <c r="Q4" s="2" t="n"/>
    </row>
    <row r="5" ht="19.2" customHeight="1" s="1062">
      <c r="E5" s="8" t="n"/>
      <c r="F5" s="7" t="n"/>
      <c r="G5" s="8" t="inlineStr">
        <is>
          <t>※目標値的追加・・・L/T短縮的意識</t>
        </is>
      </c>
      <c r="O5" s="42" t="n"/>
      <c r="P5" s="24" t="n"/>
      <c r="Q5" s="2" t="n"/>
    </row>
    <row r="6" ht="19.2" customHeight="1" s="1062">
      <c r="E6" s="6" t="inlineStr">
        <is>
          <t>③图表是以切削系、研削系、放電系、NC系来分類・・・可視化</t>
        </is>
      </c>
      <c r="F6" s="7" t="n"/>
      <c r="G6" s="8" t="n"/>
      <c r="O6" s="42" t="n"/>
      <c r="P6" s="24" t="n"/>
      <c r="Q6" s="2" t="n"/>
    </row>
    <row r="7" ht="9" customHeight="1" s="1062">
      <c r="E7" s="41" t="n"/>
      <c r="O7" s="42" t="n"/>
      <c r="Q7" s="2" t="n"/>
    </row>
    <row r="8">
      <c r="C8" s="40" t="inlineStr">
        <is>
          <t>別紙4</t>
        </is>
      </c>
      <c r="F8" s="40" t="inlineStr">
        <is>
          <t>工程毎負荷時間（単位=分）</t>
        </is>
      </c>
      <c r="H8" s="12" t="n"/>
      <c r="U8" s="46" t="inlineStr">
        <is>
          <t>【自動入力】</t>
        </is>
      </c>
    </row>
    <row r="9" ht="24" customHeight="1" s="1062">
      <c r="D9" s="1201" t="inlineStr">
        <is>
          <t>Ngày làm việc</t>
        </is>
      </c>
      <c r="E9" s="616" t="inlineStr">
        <is>
          <t>Day</t>
        </is>
      </c>
      <c r="F9" s="636">
        <f>機械別実績!L2</f>
        <v/>
      </c>
      <c r="G9" s="636">
        <f>機械別実績!M2</f>
        <v/>
      </c>
      <c r="H9" s="636">
        <f>機械別実績!N2</f>
        <v/>
      </c>
      <c r="I9" s="636">
        <f>機械別実績!O2</f>
        <v/>
      </c>
      <c r="J9" s="636">
        <f>機械別実績!P2</f>
        <v/>
      </c>
      <c r="K9" s="636">
        <f>機械別実績!Q2</f>
        <v/>
      </c>
      <c r="L9" s="636">
        <f>機械別実績!R2</f>
        <v/>
      </c>
      <c r="M9" s="636">
        <f>機械別実績!S2</f>
        <v/>
      </c>
      <c r="N9" s="636">
        <f>機械別実績!T2</f>
        <v/>
      </c>
      <c r="O9" s="636">
        <f>機械別実績!U2</f>
        <v/>
      </c>
      <c r="P9" s="636">
        <f>機械別実績!V2</f>
        <v/>
      </c>
      <c r="Q9" s="636">
        <f>機械別実績!W2</f>
        <v/>
      </c>
      <c r="S9" s="47" t="inlineStr">
        <is>
          <t>１日工数</t>
        </is>
      </c>
      <c r="T9" s="48" t="n">
        <v>910</v>
      </c>
    </row>
    <row r="10" hidden="1" ht="23.25" customHeight="1" s="1062">
      <c r="D10" s="1080" t="n"/>
      <c r="E10" s="617" t="inlineStr">
        <is>
          <t>F,G</t>
        </is>
      </c>
      <c r="F10" s="637">
        <f>機械別実績!L3</f>
        <v/>
      </c>
      <c r="G10" s="637">
        <f>機械別実績!M3</f>
        <v/>
      </c>
      <c r="H10" s="637">
        <f>機械別実績!N3</f>
        <v/>
      </c>
      <c r="I10" s="637">
        <f>機械別実績!O3</f>
        <v/>
      </c>
      <c r="J10" s="637">
        <f>機械別実績!P3</f>
        <v/>
      </c>
      <c r="K10" s="637">
        <f>機械別実績!Q3</f>
        <v/>
      </c>
      <c r="L10" s="637">
        <f>機械別実績!R3</f>
        <v/>
      </c>
      <c r="M10" s="637">
        <f>機械別実績!S3</f>
        <v/>
      </c>
      <c r="N10" s="637">
        <f>機械別実績!T3</f>
        <v/>
      </c>
      <c r="O10" s="637">
        <f>機械別実績!U3</f>
        <v/>
      </c>
      <c r="P10" s="637">
        <f>機械別実績!V3</f>
        <v/>
      </c>
      <c r="Q10" s="637">
        <f>機械別実績!W3</f>
        <v/>
      </c>
      <c r="S10" s="47" t="n"/>
      <c r="T10" s="48" t="n"/>
    </row>
    <row r="11" customFormat="1" s="1">
      <c r="C11" s="13" t="inlineStr">
        <is>
          <t>工程</t>
        </is>
      </c>
      <c r="D11" s="14" t="inlineStr">
        <is>
          <t>担当人数</t>
        </is>
      </c>
      <c r="E11" s="15" t="inlineStr">
        <is>
          <t>保有台数</t>
        </is>
      </c>
      <c r="F11" s="16" t="inlineStr">
        <is>
          <t>1月</t>
        </is>
      </c>
      <c r="G11" s="16" t="inlineStr">
        <is>
          <t>2月</t>
        </is>
      </c>
      <c r="H11" s="16" t="inlineStr">
        <is>
          <t>3月</t>
        </is>
      </c>
      <c r="I11" s="16" t="inlineStr">
        <is>
          <t>4月</t>
        </is>
      </c>
      <c r="J11" s="16" t="inlineStr">
        <is>
          <t>5月</t>
        </is>
      </c>
      <c r="K11" s="16" t="inlineStr">
        <is>
          <t>6月</t>
        </is>
      </c>
      <c r="L11" s="43" t="inlineStr">
        <is>
          <t>7月</t>
        </is>
      </c>
      <c r="M11" s="43" t="inlineStr">
        <is>
          <t>8月</t>
        </is>
      </c>
      <c r="N11" s="16" t="inlineStr">
        <is>
          <t>9月</t>
        </is>
      </c>
      <c r="O11" s="16" t="inlineStr">
        <is>
          <t>10月</t>
        </is>
      </c>
      <c r="P11" s="16" t="inlineStr">
        <is>
          <t>11月</t>
        </is>
      </c>
      <c r="Q11" s="16" t="inlineStr">
        <is>
          <t>12月</t>
        </is>
      </c>
      <c r="S11" s="13" t="inlineStr">
        <is>
          <t>工程</t>
        </is>
      </c>
      <c r="T11" s="14" t="inlineStr">
        <is>
          <t>担当人数</t>
        </is>
      </c>
      <c r="U11" s="15" t="inlineStr">
        <is>
          <t>保有台数</t>
        </is>
      </c>
      <c r="V11" s="49" t="inlineStr">
        <is>
          <t>１日能力</t>
        </is>
      </c>
    </row>
    <row r="12">
      <c r="B12" s="1020" t="inlineStr">
        <is>
          <t>切削系</t>
        </is>
      </c>
      <c r="C12" s="17" t="inlineStr">
        <is>
          <t>LA</t>
        </is>
      </c>
      <c r="D12" s="388" t="n">
        <v>4</v>
      </c>
      <c r="E12" s="392" t="n">
        <v>3</v>
      </c>
      <c r="F12" s="377" t="n">
        <v>24467</v>
      </c>
      <c r="G12" s="377" t="n">
        <v>25947</v>
      </c>
      <c r="H12" s="1202" t="n">
        <v>41367</v>
      </c>
      <c r="I12" s="377" t="n"/>
      <c r="J12" s="377" t="n"/>
      <c r="K12" s="377" t="n"/>
      <c r="L12" s="377" t="n"/>
      <c r="M12" s="377" t="n"/>
      <c r="N12" s="377" t="n"/>
      <c r="O12" s="377" t="n"/>
      <c r="P12" s="378" t="n"/>
      <c r="Q12" s="379" t="n"/>
      <c r="S12" s="13" t="inlineStr">
        <is>
          <t>LA</t>
        </is>
      </c>
      <c r="T12" s="51">
        <f>SUM(D12)</f>
        <v/>
      </c>
      <c r="U12" s="52">
        <f>SUM(E12)</f>
        <v/>
      </c>
      <c r="V12" s="53">
        <f>SUM($T$9*U12)</f>
        <v/>
      </c>
    </row>
    <row r="13">
      <c r="B13" s="1069" t="n"/>
      <c r="C13" s="638" t="inlineStr">
        <is>
          <t>LN</t>
        </is>
      </c>
      <c r="D13" s="388" t="n">
        <v>4</v>
      </c>
      <c r="E13" s="392" t="n">
        <v>2</v>
      </c>
      <c r="F13" s="377" t="n">
        <v>135259</v>
      </c>
      <c r="G13" s="377" t="n">
        <v>127472</v>
      </c>
      <c r="H13" s="1202" t="n">
        <v>130586</v>
      </c>
      <c r="I13" s="377" t="n"/>
      <c r="J13" s="377" t="n"/>
      <c r="K13" s="377" t="n"/>
      <c r="L13" s="377" t="n"/>
      <c r="M13" s="377" t="n"/>
      <c r="N13" s="377" t="n"/>
      <c r="O13" s="377" t="n"/>
      <c r="P13" s="378" t="n"/>
      <c r="Q13" s="379" t="n"/>
      <c r="S13" s="13" t="inlineStr">
        <is>
          <t>LN</t>
        </is>
      </c>
      <c r="T13" s="51">
        <f>SUM(D13)</f>
        <v/>
      </c>
      <c r="U13" s="52">
        <f>SUM(E13)</f>
        <v/>
      </c>
      <c r="V13" s="53">
        <f>SUM($T$9*U13)</f>
        <v/>
      </c>
    </row>
    <row r="14">
      <c r="B14" s="1069" t="n"/>
      <c r="C14" s="17" t="inlineStr">
        <is>
          <t>MA</t>
        </is>
      </c>
      <c r="D14" s="388" t="n">
        <v>5</v>
      </c>
      <c r="E14" s="392" t="n">
        <v>4</v>
      </c>
      <c r="F14" s="377" t="n">
        <v>31666</v>
      </c>
      <c r="G14" s="377" t="n">
        <v>34927</v>
      </c>
      <c r="H14" s="1202" t="n">
        <v>41214</v>
      </c>
      <c r="I14" s="377" t="n"/>
      <c r="J14" s="377" t="n"/>
      <c r="K14" s="377" t="n"/>
      <c r="L14" s="377" t="n"/>
      <c r="M14" s="377" t="n"/>
      <c r="N14" s="377" t="n"/>
      <c r="O14" s="377" t="n"/>
      <c r="P14" s="378" t="n"/>
      <c r="Q14" s="379" t="n"/>
      <c r="S14" s="13" t="inlineStr">
        <is>
          <t>MA</t>
        </is>
      </c>
      <c r="T14" s="51">
        <f>SUM(D14)</f>
        <v/>
      </c>
      <c r="U14" s="52">
        <f>SUM(E14)</f>
        <v/>
      </c>
      <c r="V14" s="53">
        <f>SUM($T$9*U14)</f>
        <v/>
      </c>
    </row>
    <row r="15">
      <c r="B15" s="1069" t="n"/>
      <c r="C15" s="17" t="inlineStr">
        <is>
          <t>BJ</t>
        </is>
      </c>
      <c r="D15" s="388" t="n">
        <v>9</v>
      </c>
      <c r="E15" s="392" t="n">
        <v>5</v>
      </c>
      <c r="F15" s="377" t="n">
        <v>96199</v>
      </c>
      <c r="G15" s="377" t="n">
        <v>97510</v>
      </c>
      <c r="H15" s="1202" t="n">
        <v>127753</v>
      </c>
      <c r="I15" s="377" t="n"/>
      <c r="J15" s="377" t="n"/>
      <c r="K15" s="377" t="n"/>
      <c r="L15" s="377" t="n"/>
      <c r="M15" s="377" t="n"/>
      <c r="N15" s="377" t="n"/>
      <c r="O15" s="377" t="n"/>
      <c r="P15" s="378" t="n"/>
      <c r="Q15" s="379" t="n"/>
      <c r="S15" s="13" t="inlineStr">
        <is>
          <t>BJ</t>
        </is>
      </c>
      <c r="T15" s="51">
        <f>SUM(D15)</f>
        <v/>
      </c>
      <c r="U15" s="52">
        <f>SUM(E15)</f>
        <v/>
      </c>
      <c r="V15" s="53">
        <f>SUM($T$9*U15)</f>
        <v/>
      </c>
    </row>
    <row r="16">
      <c r="B16" s="1069" t="n"/>
      <c r="C16" s="17" t="inlineStr">
        <is>
          <t>DA</t>
        </is>
      </c>
      <c r="D16" s="388" t="n">
        <v>2</v>
      </c>
      <c r="E16" s="392" t="n">
        <v>2</v>
      </c>
      <c r="F16" s="377" t="n">
        <v>7558</v>
      </c>
      <c r="G16" s="377" t="n">
        <v>8294</v>
      </c>
      <c r="H16" s="1202" t="n">
        <v>10671</v>
      </c>
      <c r="I16" s="377" t="n"/>
      <c r="J16" s="377" t="n"/>
      <c r="K16" s="377" t="n"/>
      <c r="L16" s="377" t="n"/>
      <c r="M16" s="377" t="n"/>
      <c r="N16" s="377" t="n"/>
      <c r="O16" s="377" t="n"/>
      <c r="P16" s="378" t="n"/>
      <c r="Q16" s="379" t="n"/>
      <c r="S16" s="13" t="inlineStr">
        <is>
          <t>DA</t>
        </is>
      </c>
      <c r="T16" s="51">
        <f>SUM(D16)</f>
        <v/>
      </c>
      <c r="U16" s="52">
        <f>SUM(E16)</f>
        <v/>
      </c>
      <c r="V16" s="53">
        <f>SUM($T$9*U16)</f>
        <v/>
      </c>
    </row>
    <row r="17">
      <c r="B17" s="1080" t="n"/>
      <c r="C17" s="638" t="inlineStr">
        <is>
          <t>MC</t>
        </is>
      </c>
      <c r="D17" s="388" t="n">
        <v>6</v>
      </c>
      <c r="E17" s="392" t="n">
        <v>3</v>
      </c>
      <c r="F17" s="377" t="n">
        <v>151194</v>
      </c>
      <c r="G17" s="377" t="n">
        <v>150513</v>
      </c>
      <c r="H17" s="1202" t="n">
        <v>150299</v>
      </c>
      <c r="I17" s="377" t="n"/>
      <c r="J17" s="377" t="n"/>
      <c r="K17" s="377" t="n"/>
      <c r="L17" s="377" t="n"/>
      <c r="M17" s="377" t="n"/>
      <c r="N17" s="377" t="n"/>
      <c r="O17" s="377" t="n"/>
      <c r="P17" s="378" t="n"/>
      <c r="Q17" s="379" t="n"/>
      <c r="S17" s="13" t="inlineStr">
        <is>
          <t>MC</t>
        </is>
      </c>
      <c r="T17" s="51">
        <f>SUM(D17)</f>
        <v/>
      </c>
      <c r="U17" s="52">
        <f>SUM(E17)</f>
        <v/>
      </c>
      <c r="V17" s="53">
        <f>SUM($T$9*U17)</f>
        <v/>
      </c>
    </row>
    <row r="18">
      <c r="B18" s="1020" t="inlineStr">
        <is>
          <t>研削系</t>
        </is>
      </c>
      <c r="C18" s="17" t="inlineStr">
        <is>
          <t>GS</t>
        </is>
      </c>
      <c r="D18" s="388" t="n">
        <v>12</v>
      </c>
      <c r="E18" s="392" t="n">
        <v>7</v>
      </c>
      <c r="F18" s="376" t="n">
        <v>202884</v>
      </c>
      <c r="G18" s="377" t="n">
        <v>202277</v>
      </c>
      <c r="H18" s="1202" t="n">
        <v>231025</v>
      </c>
      <c r="I18" s="377" t="n"/>
      <c r="J18" s="377" t="n"/>
      <c r="K18" s="377" t="n"/>
      <c r="L18" s="377" t="n"/>
      <c r="M18" s="377" t="n"/>
      <c r="N18" s="377" t="n"/>
      <c r="O18" s="377" t="n"/>
      <c r="P18" s="378" t="n"/>
      <c r="Q18" s="379" t="n"/>
      <c r="S18" s="13" t="inlineStr">
        <is>
          <t>GS</t>
        </is>
      </c>
      <c r="T18" s="51">
        <f>SUM(D18)</f>
        <v/>
      </c>
      <c r="U18" s="52">
        <f>SUM(E18)</f>
        <v/>
      </c>
      <c r="V18" s="53">
        <f>SUM($T$9*U18)</f>
        <v/>
      </c>
    </row>
    <row r="19">
      <c r="B19" s="1069" t="n"/>
      <c r="C19" s="17" t="inlineStr">
        <is>
          <t>GR</t>
        </is>
      </c>
      <c r="D19" s="388" t="n">
        <v>4</v>
      </c>
      <c r="E19" s="392" t="n">
        <v>2</v>
      </c>
      <c r="F19" s="376" t="n">
        <v>78541</v>
      </c>
      <c r="G19" s="377" t="n">
        <v>67492</v>
      </c>
      <c r="H19" s="1202" t="n">
        <v>82005</v>
      </c>
      <c r="I19" s="377" t="n"/>
      <c r="J19" s="377" t="n"/>
      <c r="K19" s="377" t="n"/>
      <c r="L19" s="377" t="n"/>
      <c r="M19" s="377" t="n"/>
      <c r="N19" s="377" t="n"/>
      <c r="O19" s="377" t="n"/>
      <c r="P19" s="378" t="n"/>
      <c r="Q19" s="379" t="n"/>
      <c r="S19" s="13" t="inlineStr">
        <is>
          <t>GR</t>
        </is>
      </c>
      <c r="T19" s="51">
        <f>SUM(D19)</f>
        <v/>
      </c>
      <c r="U19" s="52">
        <f>SUM(E19)</f>
        <v/>
      </c>
      <c r="V19" s="53">
        <f>SUM($T$9*U19)</f>
        <v/>
      </c>
    </row>
    <row r="20">
      <c r="A20" s="21" t="inlineStr">
        <is>
          <t>保有無し</t>
        </is>
      </c>
      <c r="B20" s="1069" t="n"/>
      <c r="C20" s="483" t="inlineStr">
        <is>
          <t>GX</t>
        </is>
      </c>
      <c r="D20" s="485" t="n"/>
      <c r="E20" s="485" t="n">
        <v>0</v>
      </c>
      <c r="F20" s="486" t="n"/>
      <c r="G20" s="487" t="n"/>
      <c r="H20" s="487" t="n"/>
      <c r="I20" s="487" t="n"/>
      <c r="J20" s="487" t="n"/>
      <c r="K20" s="487" t="n"/>
      <c r="L20" s="487" t="n"/>
      <c r="M20" s="487" t="n"/>
      <c r="N20" s="487" t="n"/>
      <c r="O20" s="487" t="n"/>
      <c r="P20" s="488" t="n"/>
      <c r="Q20" s="489" t="n"/>
      <c r="S20" s="483" t="inlineStr">
        <is>
          <t>GX</t>
        </is>
      </c>
      <c r="T20" s="484">
        <f>SUM(D20)</f>
        <v/>
      </c>
      <c r="U20" s="484">
        <f>SUM(E20)</f>
        <v/>
      </c>
      <c r="V20" s="484">
        <f>SUM($T$9*U20)</f>
        <v/>
      </c>
    </row>
    <row r="21">
      <c r="B21" s="1069" t="n"/>
      <c r="C21" s="17" t="inlineStr">
        <is>
          <t>GC</t>
        </is>
      </c>
      <c r="D21" s="388" t="n">
        <v>2</v>
      </c>
      <c r="E21" s="392" t="n">
        <v>2</v>
      </c>
      <c r="F21" s="376" t="n">
        <v>66145</v>
      </c>
      <c r="G21" s="377" t="n">
        <v>65158</v>
      </c>
      <c r="H21" s="1202" t="n">
        <v>68653</v>
      </c>
      <c r="I21" s="377" t="n"/>
      <c r="J21" s="377" t="n"/>
      <c r="K21" s="377" t="n"/>
      <c r="L21" s="377" t="n"/>
      <c r="M21" s="377" t="n"/>
      <c r="N21" s="377" t="n"/>
      <c r="O21" s="377" t="n"/>
      <c r="P21" s="378" t="n"/>
      <c r="Q21" s="379" t="n"/>
      <c r="S21" s="380" t="inlineStr">
        <is>
          <t>GC</t>
        </is>
      </c>
      <c r="T21" s="51">
        <f>SUM(D21)</f>
        <v/>
      </c>
      <c r="U21" s="57">
        <f>SUM(E21)</f>
        <v/>
      </c>
      <c r="V21" s="381">
        <f>SUM($T$9*U21)</f>
        <v/>
      </c>
    </row>
    <row r="22">
      <c r="B22" s="1069" t="n"/>
      <c r="C22" s="638" t="inlineStr">
        <is>
          <t>GJ</t>
        </is>
      </c>
      <c r="D22" s="388" t="n">
        <v>2</v>
      </c>
      <c r="E22" s="392" t="n">
        <v>2</v>
      </c>
      <c r="F22" s="376" t="n">
        <v>48252</v>
      </c>
      <c r="G22" s="377" t="n">
        <v>42645</v>
      </c>
      <c r="H22" s="1202" t="n">
        <v>53854</v>
      </c>
      <c r="I22" s="377" t="n"/>
      <c r="J22" s="377" t="n"/>
      <c r="K22" s="377" t="n"/>
      <c r="L22" s="377" t="n"/>
      <c r="M22" s="377" t="n"/>
      <c r="N22" s="377" t="n"/>
      <c r="O22" s="377" t="n"/>
      <c r="P22" s="378" t="n"/>
      <c r="Q22" s="379" t="n"/>
      <c r="S22" s="380" t="inlineStr">
        <is>
          <t>GJ</t>
        </is>
      </c>
      <c r="T22" s="51">
        <f>SUM(D22)</f>
        <v/>
      </c>
      <c r="U22" s="57">
        <f>SUM(E22)</f>
        <v/>
      </c>
      <c r="V22" s="381">
        <f>SUM($T$9*U22)</f>
        <v/>
      </c>
    </row>
    <row r="23">
      <c r="B23" s="1080" t="n"/>
      <c r="C23" s="638" t="inlineStr">
        <is>
          <t>GP</t>
        </is>
      </c>
      <c r="D23" s="388" t="n">
        <v>4</v>
      </c>
      <c r="E23" s="392" t="n">
        <v>2</v>
      </c>
      <c r="F23" s="376" t="n">
        <v>90341</v>
      </c>
      <c r="G23" s="377" t="n">
        <v>83783</v>
      </c>
      <c r="H23" s="1202" t="n">
        <v>73627</v>
      </c>
      <c r="I23" s="377" t="n"/>
      <c r="J23" s="377" t="n"/>
      <c r="K23" s="377" t="n"/>
      <c r="L23" s="377" t="n"/>
      <c r="M23" s="377" t="n"/>
      <c r="N23" s="377" t="n"/>
      <c r="O23" s="377" t="n"/>
      <c r="P23" s="378" t="n"/>
      <c r="Q23" s="379" t="n"/>
      <c r="S23" s="13" t="inlineStr">
        <is>
          <t>GP</t>
        </is>
      </c>
      <c r="T23" s="51">
        <f>SUM(D23)</f>
        <v/>
      </c>
      <c r="U23" s="52">
        <f>SUM(E23)</f>
        <v/>
      </c>
      <c r="V23" s="53">
        <f>SUM($T$9*U23)</f>
        <v/>
      </c>
    </row>
    <row r="24">
      <c r="B24" s="1020" t="inlineStr">
        <is>
          <t>放電系</t>
        </is>
      </c>
      <c r="C24" s="638" t="inlineStr">
        <is>
          <t>EN</t>
        </is>
      </c>
      <c r="D24" s="388" t="n">
        <v>6</v>
      </c>
      <c r="E24" s="392" t="n">
        <v>4</v>
      </c>
      <c r="F24" s="22" t="n">
        <v>146102</v>
      </c>
      <c r="G24" s="23" t="n">
        <v>141898</v>
      </c>
      <c r="H24" s="1203" t="n">
        <v>158482</v>
      </c>
      <c r="I24" s="23" t="n"/>
      <c r="J24" s="23" t="n"/>
      <c r="K24" s="23" t="n"/>
      <c r="L24" s="23" t="n"/>
      <c r="M24" s="23" t="n"/>
      <c r="N24" s="377" t="n"/>
      <c r="O24" s="23" t="n"/>
      <c r="P24" s="23" t="n"/>
      <c r="Q24" s="23" t="n"/>
      <c r="S24" s="13" t="inlineStr">
        <is>
          <t>EN</t>
        </is>
      </c>
      <c r="T24" s="51">
        <f>SUM(D24)</f>
        <v/>
      </c>
      <c r="U24" s="52">
        <f>SUM(E24)</f>
        <v/>
      </c>
      <c r="V24" s="53">
        <f>SUM($T$9*U24)</f>
        <v/>
      </c>
    </row>
    <row r="25">
      <c r="A25" s="21" t="inlineStr">
        <is>
          <t>保有無し</t>
        </is>
      </c>
      <c r="B25" s="1069" t="n"/>
      <c r="C25" s="483" t="inlineStr">
        <is>
          <t>ES</t>
        </is>
      </c>
      <c r="D25" s="485" t="n"/>
      <c r="E25" s="485" t="n">
        <v>0</v>
      </c>
      <c r="F25" s="490" t="n"/>
      <c r="G25" s="490" t="n"/>
      <c r="H25" s="490" t="n"/>
      <c r="I25" s="490" t="n"/>
      <c r="J25" s="490" t="n"/>
      <c r="K25" s="490" t="n"/>
      <c r="L25" s="490" t="n"/>
      <c r="M25" s="490" t="n"/>
      <c r="N25" s="491" t="n"/>
      <c r="O25" s="490" t="n"/>
      <c r="P25" s="490" t="n"/>
      <c r="Q25" s="490" t="n"/>
      <c r="S25" s="483" t="inlineStr">
        <is>
          <t>ES</t>
        </is>
      </c>
      <c r="T25" s="484">
        <f>SUM(D25)</f>
        <v/>
      </c>
      <c r="U25" s="484">
        <f>SUM(E25)</f>
        <v/>
      </c>
      <c r="V25" s="484">
        <f>SUM($T$9*U25)</f>
        <v/>
      </c>
    </row>
    <row r="26">
      <c r="B26" s="1080" t="n"/>
      <c r="C26" s="638" t="inlineStr">
        <is>
          <t>EW</t>
        </is>
      </c>
      <c r="D26" s="388" t="n">
        <v>4</v>
      </c>
      <c r="E26" s="392" t="n">
        <v>4</v>
      </c>
      <c r="F26" s="376" t="n">
        <v>268692</v>
      </c>
      <c r="G26" s="377" t="n">
        <v>276264</v>
      </c>
      <c r="H26" s="1202" t="n">
        <v>258135</v>
      </c>
      <c r="I26" s="377" t="n"/>
      <c r="J26" s="377" t="n"/>
      <c r="K26" s="377" t="n"/>
      <c r="L26" s="377" t="n"/>
      <c r="M26" s="377" t="n"/>
      <c r="N26" s="377" t="n"/>
      <c r="O26" s="377" t="n"/>
      <c r="P26" s="378" t="n"/>
      <c r="Q26" s="379" t="n"/>
      <c r="S26" s="13" t="inlineStr">
        <is>
          <t>EW</t>
        </is>
      </c>
      <c r="T26" s="51">
        <f>SUM(D26)</f>
        <v/>
      </c>
      <c r="U26" s="52">
        <f>SUM(E26)</f>
        <v/>
      </c>
      <c r="V26" s="53">
        <f>SUM($T$9*U26)</f>
        <v/>
      </c>
    </row>
    <row r="27"/>
    <row r="28"/>
    <row r="29" ht="16.2" customHeight="1" s="1062">
      <c r="C29" s="390" t="inlineStr">
        <is>
          <t>※これより下側は【自動計算】なので入力不要</t>
        </is>
      </c>
      <c r="D29" s="24" t="n"/>
    </row>
    <row r="30" ht="16.8" customHeight="1" s="1062">
      <c r="T30" s="2" t="inlineStr">
        <is>
          <t>Số người phụ trách</t>
        </is>
      </c>
    </row>
    <row r="31">
      <c r="E31" s="25" t="inlineStr">
        <is>
          <t>※自動計算</t>
        </is>
      </c>
      <c r="G31" s="26" t="n">
        <v>455</v>
      </c>
      <c r="H31" s="27" t="n">
        <v>910</v>
      </c>
    </row>
    <row r="32">
      <c r="C32" s="28" t="inlineStr">
        <is>
          <t>１日当りの負荷時間</t>
        </is>
      </c>
      <c r="D32" s="28" t="n"/>
      <c r="E32" s="616" t="inlineStr">
        <is>
          <t>Day</t>
        </is>
      </c>
      <c r="F32" s="639">
        <f>F9</f>
        <v/>
      </c>
      <c r="G32" s="639">
        <f>G9</f>
        <v/>
      </c>
      <c r="H32" s="639">
        <f>H9</f>
        <v/>
      </c>
      <c r="I32" s="639">
        <f>I9</f>
        <v/>
      </c>
      <c r="J32" s="639">
        <f>J9</f>
        <v/>
      </c>
      <c r="K32" s="639">
        <f>K9</f>
        <v/>
      </c>
      <c r="L32" s="639">
        <f>L9</f>
        <v/>
      </c>
      <c r="M32" s="639">
        <f>M9</f>
        <v/>
      </c>
      <c r="N32" s="639">
        <f>N9</f>
        <v/>
      </c>
      <c r="O32" s="639">
        <f>O9</f>
        <v/>
      </c>
      <c r="P32" s="639">
        <f>P9</f>
        <v/>
      </c>
      <c r="Q32" s="639">
        <f>Q9</f>
        <v/>
      </c>
    </row>
    <row r="33" hidden="1" s="1062">
      <c r="C33" s="28" t="n"/>
      <c r="D33" s="28" t="n"/>
      <c r="E33" s="617" t="inlineStr">
        <is>
          <t>F,G</t>
        </is>
      </c>
      <c r="F33" s="640">
        <f>F10</f>
        <v/>
      </c>
      <c r="G33" s="640">
        <f>G10</f>
        <v/>
      </c>
      <c r="H33" s="640">
        <f>H10</f>
        <v/>
      </c>
      <c r="I33" s="640">
        <f>I10</f>
        <v/>
      </c>
      <c r="J33" s="640">
        <f>J10</f>
        <v/>
      </c>
      <c r="K33" s="640">
        <f>K10</f>
        <v/>
      </c>
      <c r="L33" s="640">
        <f>L10</f>
        <v/>
      </c>
      <c r="M33" s="640">
        <f>M10</f>
        <v/>
      </c>
      <c r="N33" s="640">
        <f>N10</f>
        <v/>
      </c>
      <c r="O33" s="640">
        <f>O10</f>
        <v/>
      </c>
      <c r="P33" s="640">
        <f>P10</f>
        <v/>
      </c>
      <c r="Q33" s="640">
        <f>Q10</f>
        <v/>
      </c>
    </row>
    <row r="34">
      <c r="C34" s="13" t="inlineStr">
        <is>
          <t>工程</t>
        </is>
      </c>
      <c r="D34" s="13" t="n"/>
      <c r="E34" s="29" t="inlineStr">
        <is>
          <t>保有台数</t>
        </is>
      </c>
      <c r="F34" s="30" t="inlineStr">
        <is>
          <t>1月</t>
        </is>
      </c>
      <c r="G34" s="30" t="inlineStr">
        <is>
          <t>2月</t>
        </is>
      </c>
      <c r="H34" s="30" t="inlineStr">
        <is>
          <t>3月</t>
        </is>
      </c>
      <c r="I34" s="30" t="inlineStr">
        <is>
          <t>4月</t>
        </is>
      </c>
      <c r="J34" s="30" t="inlineStr">
        <is>
          <t>5月</t>
        </is>
      </c>
      <c r="K34" s="30" t="inlineStr">
        <is>
          <t>6月</t>
        </is>
      </c>
      <c r="L34" s="45" t="inlineStr">
        <is>
          <t>7月</t>
        </is>
      </c>
      <c r="M34" s="45" t="inlineStr">
        <is>
          <t>8月</t>
        </is>
      </c>
      <c r="N34" s="30" t="inlineStr">
        <is>
          <t>9月</t>
        </is>
      </c>
      <c r="O34" s="30" t="inlineStr">
        <is>
          <t>10月</t>
        </is>
      </c>
      <c r="P34" s="30" t="inlineStr">
        <is>
          <t>11月</t>
        </is>
      </c>
      <c r="Q34" s="30" t="inlineStr">
        <is>
          <t>12月</t>
        </is>
      </c>
    </row>
    <row r="35" ht="13.5" customHeight="1" s="1062">
      <c r="B35" s="1020" t="inlineStr">
        <is>
          <t>切削系</t>
        </is>
      </c>
      <c r="C35" s="642" t="inlineStr">
        <is>
          <t>LA</t>
        </is>
      </c>
      <c r="D35" s="31" t="inlineStr">
        <is>
          <t>負荷</t>
        </is>
      </c>
      <c r="E35" s="29">
        <f>SUM(E12)</f>
        <v/>
      </c>
      <c r="F35" s="32">
        <f>SUM(F12/$E$35/F33)</f>
        <v/>
      </c>
      <c r="G35" s="32">
        <f>SUM(G12/$E$35/G33)</f>
        <v/>
      </c>
      <c r="H35" s="1204" t="n">
        <v>41367</v>
      </c>
      <c r="I35" s="32">
        <f>SUM(I12/$E$35/I33)</f>
        <v/>
      </c>
      <c r="J35" s="32">
        <f>SUM(J12/$E$35/J33)</f>
        <v/>
      </c>
      <c r="K35" s="32">
        <f>SUM(K12/$E$35/K33)</f>
        <v/>
      </c>
      <c r="L35" s="32">
        <f>SUM(L12/$E$35/L33)</f>
        <v/>
      </c>
      <c r="M35" s="32">
        <f>SUM(M12/$E$35/M33)</f>
        <v/>
      </c>
      <c r="N35" s="32">
        <f>SUM(N12/$E$35/N33)</f>
        <v/>
      </c>
      <c r="O35" s="32">
        <f>SUM(O12/$E$35/O33)</f>
        <v/>
      </c>
      <c r="P35" s="32">
        <f>SUM(P12/$E$35/P33)</f>
        <v/>
      </c>
      <c r="Q35" s="32">
        <f>SUM(Q12/$E$35/Q33)</f>
        <v/>
      </c>
    </row>
    <row r="36" ht="1.5" customHeight="1" s="1062">
      <c r="B36" s="1069" t="n"/>
      <c r="C36" s="33" t="inlineStr">
        <is>
          <t>LA</t>
        </is>
      </c>
      <c r="D36" s="33" t="inlineStr">
        <is>
          <t>能力</t>
        </is>
      </c>
      <c r="E36" s="29">
        <f>SUM(E35)</f>
        <v/>
      </c>
      <c r="F36" s="36">
        <f>SUM($V$12)</f>
        <v/>
      </c>
      <c r="G36" s="36">
        <f>SUM($V$12)</f>
        <v/>
      </c>
      <c r="H36" s="1205" t="n">
        <v>41367</v>
      </c>
      <c r="I36" s="36">
        <f>SUM($V$12)</f>
        <v/>
      </c>
      <c r="J36" s="36">
        <f>SUM($V$12)</f>
        <v/>
      </c>
      <c r="K36" s="36">
        <f>SUM($V$12)</f>
        <v/>
      </c>
      <c r="L36" s="36">
        <f>SUM($V$12)</f>
        <v/>
      </c>
      <c r="M36" s="36">
        <f>SUM($V$12)</f>
        <v/>
      </c>
      <c r="N36" s="36">
        <f>SUM($V$12)</f>
        <v/>
      </c>
      <c r="O36" s="36">
        <f>SUM($V$12)</f>
        <v/>
      </c>
      <c r="P36" s="36">
        <f>SUM($V$12)</f>
        <v/>
      </c>
      <c r="Q36" s="36">
        <f>SUM($V$12)</f>
        <v/>
      </c>
    </row>
    <row r="37">
      <c r="B37" s="1069" t="n"/>
      <c r="C37" s="638" t="inlineStr">
        <is>
          <t>LN</t>
        </is>
      </c>
      <c r="D37" s="31" t="inlineStr">
        <is>
          <t>負荷</t>
        </is>
      </c>
      <c r="E37" s="18">
        <f>SUM(E13)</f>
        <v/>
      </c>
      <c r="F37" s="32">
        <f>SUM(F13/$E$37/F32)</f>
        <v/>
      </c>
      <c r="G37" s="32">
        <f>SUM(G13/$E$37/G32)</f>
        <v/>
      </c>
      <c r="H37" s="1204" t="n">
        <v>130586</v>
      </c>
      <c r="I37" s="32">
        <f>SUM(I13/$E$37/I32)</f>
        <v/>
      </c>
      <c r="J37" s="32">
        <f>SUM(J13/$E$37/J32)</f>
        <v/>
      </c>
      <c r="K37" s="32">
        <f>SUM(K13/$E$37/K32)</f>
        <v/>
      </c>
      <c r="L37" s="32">
        <f>SUM(L13/$E$37/L32)</f>
        <v/>
      </c>
      <c r="M37" s="32">
        <f>SUM(M13/$E$37/M32)</f>
        <v/>
      </c>
      <c r="N37" s="32">
        <f>SUM(N13/$E$37/N32)</f>
        <v/>
      </c>
      <c r="O37" s="32">
        <f>SUM(O13/$E$37/O32)</f>
        <v/>
      </c>
      <c r="P37" s="32">
        <f>SUM(P13/$E$37/P32)</f>
        <v/>
      </c>
      <c r="Q37" s="32">
        <f>SUM(Q13/$E$37/Q32)</f>
        <v/>
      </c>
    </row>
    <row r="38" ht="2.1" customHeight="1" s="1062">
      <c r="B38" s="1069" t="n"/>
      <c r="C38" s="17" t="inlineStr">
        <is>
          <t>LN</t>
        </is>
      </c>
      <c r="D38" s="33" t="inlineStr">
        <is>
          <t>能力</t>
        </is>
      </c>
      <c r="E38" s="29">
        <f>SUM(E37)</f>
        <v/>
      </c>
      <c r="F38" s="36">
        <f>SUM($V$13)</f>
        <v/>
      </c>
      <c r="G38" s="36">
        <f>SUM($V$13)</f>
        <v/>
      </c>
      <c r="H38" s="1205" t="n">
        <v>130586</v>
      </c>
      <c r="I38" s="36">
        <f>SUM($V$13)</f>
        <v/>
      </c>
      <c r="J38" s="36">
        <f>SUM($V$13)</f>
        <v/>
      </c>
      <c r="K38" s="36">
        <f>SUM($V$13)</f>
        <v/>
      </c>
      <c r="L38" s="36">
        <f>SUM($V$13)</f>
        <v/>
      </c>
      <c r="M38" s="36">
        <f>SUM($V$13)</f>
        <v/>
      </c>
      <c r="N38" s="36">
        <f>SUM($V$13)</f>
        <v/>
      </c>
      <c r="O38" s="36">
        <f>SUM($V$13)</f>
        <v/>
      </c>
      <c r="P38" s="36">
        <f>SUM($V$13)</f>
        <v/>
      </c>
      <c r="Q38" s="36">
        <f>SUM($V$13)</f>
        <v/>
      </c>
    </row>
    <row r="39">
      <c r="B39" s="1069" t="n"/>
      <c r="C39" s="641" t="inlineStr">
        <is>
          <t>MA</t>
        </is>
      </c>
      <c r="D39" s="31" t="inlineStr">
        <is>
          <t>負荷</t>
        </is>
      </c>
      <c r="E39" s="29">
        <f>SUM(E14)</f>
        <v/>
      </c>
      <c r="F39" s="32">
        <f>SUM(F14/$E$39/F33)</f>
        <v/>
      </c>
      <c r="G39" s="32">
        <f>SUM(G14/$E$39/G33)</f>
        <v/>
      </c>
      <c r="H39" s="1204" t="n">
        <v>41214</v>
      </c>
      <c r="I39" s="32">
        <f>SUM(I14/$E$39/I33)</f>
        <v/>
      </c>
      <c r="J39" s="32">
        <f>SUM(J14/$E$39/J33)</f>
        <v/>
      </c>
      <c r="K39" s="32">
        <f>SUM(K14/$E$39/K33)</f>
        <v/>
      </c>
      <c r="L39" s="32">
        <f>SUM(L14/$E$39/L33)</f>
        <v/>
      </c>
      <c r="M39" s="32">
        <f>SUM(M14/$E$39/M33)</f>
        <v/>
      </c>
      <c r="N39" s="32">
        <f>SUM(N14/$E$39/N33)</f>
        <v/>
      </c>
      <c r="O39" s="32">
        <f>SUM(O14/$E$39/O33)</f>
        <v/>
      </c>
      <c r="P39" s="32">
        <f>SUM(P14/$E$39/P33)</f>
        <v/>
      </c>
      <c r="Q39" s="32">
        <f>SUM(Q14/$E$39/Q33)</f>
        <v/>
      </c>
    </row>
    <row r="40" ht="2.1" customHeight="1" s="1062">
      <c r="B40" s="1069" t="n"/>
      <c r="C40" s="17" t="inlineStr">
        <is>
          <t>MA</t>
        </is>
      </c>
      <c r="D40" s="33" t="inlineStr">
        <is>
          <t>能力</t>
        </is>
      </c>
      <c r="E40" s="29">
        <f>SUM(E39)</f>
        <v/>
      </c>
      <c r="F40" s="36">
        <f>SUM($V$14)</f>
        <v/>
      </c>
      <c r="G40" s="36">
        <f>SUM($V$14)</f>
        <v/>
      </c>
      <c r="H40" s="1205" t="n">
        <v>41214</v>
      </c>
      <c r="I40" s="36">
        <f>SUM($V$14)</f>
        <v/>
      </c>
      <c r="J40" s="36">
        <f>SUM($V$14)</f>
        <v/>
      </c>
      <c r="K40" s="36">
        <f>SUM($V$14)</f>
        <v/>
      </c>
      <c r="L40" s="36">
        <f>SUM($V$14)</f>
        <v/>
      </c>
      <c r="M40" s="36">
        <f>SUM($V$14)</f>
        <v/>
      </c>
      <c r="N40" s="36">
        <f>SUM($V$14)</f>
        <v/>
      </c>
      <c r="O40" s="36">
        <f>SUM($V$14)</f>
        <v/>
      </c>
      <c r="P40" s="36">
        <f>SUM($V$14)</f>
        <v/>
      </c>
      <c r="Q40" s="36">
        <f>SUM($V$14)</f>
        <v/>
      </c>
    </row>
    <row r="41">
      <c r="B41" s="1069" t="n"/>
      <c r="C41" s="641" t="inlineStr">
        <is>
          <t>BJ</t>
        </is>
      </c>
      <c r="D41" s="31" t="inlineStr">
        <is>
          <t>負荷</t>
        </is>
      </c>
      <c r="E41" s="29">
        <f>SUM(E15)</f>
        <v/>
      </c>
      <c r="F41" s="32">
        <f>SUM(F15/$E$41/F33)</f>
        <v/>
      </c>
      <c r="G41" s="32">
        <f>SUM(G15/$E$41/G33)</f>
        <v/>
      </c>
      <c r="H41" s="1204" t="n">
        <v>127753</v>
      </c>
      <c r="I41" s="32">
        <f>SUM(I15/$E$41/I33)</f>
        <v/>
      </c>
      <c r="J41" s="32">
        <f>SUM(J15/$E$41/J33)</f>
        <v/>
      </c>
      <c r="K41" s="32">
        <f>SUM(K15/$E$41/K33)</f>
        <v/>
      </c>
      <c r="L41" s="32">
        <f>SUM(L15/$E$41/L33)</f>
        <v/>
      </c>
      <c r="M41" s="32">
        <f>SUM(M15/$E$41/M33)</f>
        <v/>
      </c>
      <c r="N41" s="32">
        <f>SUM(N15/$E$41/N33)</f>
        <v/>
      </c>
      <c r="O41" s="32">
        <f>SUM(O15/$E$41/O33)</f>
        <v/>
      </c>
      <c r="P41" s="32">
        <f>SUM(P15/$E$41/P33)</f>
        <v/>
      </c>
      <c r="Q41" s="32">
        <f>SUM(Q15/$E$41/Q33)</f>
        <v/>
      </c>
    </row>
    <row r="42" ht="2.1" customHeight="1" s="1062">
      <c r="B42" s="1069" t="n"/>
      <c r="C42" s="17" t="inlineStr">
        <is>
          <t>BJ</t>
        </is>
      </c>
      <c r="D42" s="33" t="inlineStr">
        <is>
          <t>能力</t>
        </is>
      </c>
      <c r="E42" s="29">
        <f>SUM(E41)</f>
        <v/>
      </c>
      <c r="F42" s="36">
        <f>SUM($V$15)</f>
        <v/>
      </c>
      <c r="G42" s="36">
        <f>SUM($V$15)</f>
        <v/>
      </c>
      <c r="H42" s="1205" t="n">
        <v>127753</v>
      </c>
      <c r="I42" s="36">
        <f>SUM($V$15)</f>
        <v/>
      </c>
      <c r="J42" s="36">
        <f>SUM($V$15)</f>
        <v/>
      </c>
      <c r="K42" s="36">
        <f>SUM($V$15)</f>
        <v/>
      </c>
      <c r="L42" s="36">
        <f>SUM($V$15)</f>
        <v/>
      </c>
      <c r="M42" s="36">
        <f>SUM($V$15)</f>
        <v/>
      </c>
      <c r="N42" s="36">
        <f>SUM($V$15)</f>
        <v/>
      </c>
      <c r="O42" s="36">
        <f>SUM($V$15)</f>
        <v/>
      </c>
      <c r="P42" s="36">
        <f>SUM($V$15)</f>
        <v/>
      </c>
      <c r="Q42" s="36">
        <f>SUM($V$15)</f>
        <v/>
      </c>
    </row>
    <row r="43">
      <c r="B43" s="1069" t="n"/>
      <c r="C43" s="641" t="inlineStr">
        <is>
          <t>DA</t>
        </is>
      </c>
      <c r="D43" s="31" t="inlineStr">
        <is>
          <t>負荷</t>
        </is>
      </c>
      <c r="E43" s="29">
        <f>SUM(E16)</f>
        <v/>
      </c>
      <c r="F43" s="32">
        <f>SUM(F16/$E$43/F33)</f>
        <v/>
      </c>
      <c r="G43" s="32">
        <f>SUM(G16/$E$43/G33)</f>
        <v/>
      </c>
      <c r="H43" s="1204" t="n">
        <v>10671</v>
      </c>
      <c r="I43" s="32">
        <f>SUM(I16/$E$43/I33)</f>
        <v/>
      </c>
      <c r="J43" s="32">
        <f>SUM(J16/$E$43/J33)</f>
        <v/>
      </c>
      <c r="K43" s="32">
        <f>SUM(K16/$E$43/K33)</f>
        <v/>
      </c>
      <c r="L43" s="32">
        <f>SUM(L16/$E$43/L33)</f>
        <v/>
      </c>
      <c r="M43" s="32">
        <f>SUM(M16/$E$43/M33)</f>
        <v/>
      </c>
      <c r="N43" s="32">
        <f>SUM(N16/$E$43/N33)</f>
        <v/>
      </c>
      <c r="O43" s="32">
        <f>SUM(O16/$E$43/O33)</f>
        <v/>
      </c>
      <c r="P43" s="32">
        <f>SUM(P16/$E$43/P33)</f>
        <v/>
      </c>
      <c r="Q43" s="32">
        <f>SUM(Q16/$E$43/Q33)</f>
        <v/>
      </c>
    </row>
    <row r="44" ht="2.1" customHeight="1" s="1062">
      <c r="B44" s="1069" t="n"/>
      <c r="C44" s="17" t="inlineStr">
        <is>
          <t>DA</t>
        </is>
      </c>
      <c r="D44" s="33" t="inlineStr">
        <is>
          <t>能力</t>
        </is>
      </c>
      <c r="E44" s="29">
        <f>SUM(E43)</f>
        <v/>
      </c>
      <c r="F44" s="36">
        <f>SUM($V$16)</f>
        <v/>
      </c>
      <c r="G44" s="36">
        <f>SUM($V$16)</f>
        <v/>
      </c>
      <c r="H44" s="1205" t="n">
        <v>10671</v>
      </c>
      <c r="I44" s="36">
        <f>SUM($V$16)</f>
        <v/>
      </c>
      <c r="J44" s="36">
        <f>SUM($V$16)</f>
        <v/>
      </c>
      <c r="K44" s="36">
        <f>SUM($V$16)</f>
        <v/>
      </c>
      <c r="L44" s="36">
        <f>SUM($V$16)</f>
        <v/>
      </c>
      <c r="M44" s="36">
        <f>SUM($V$16)</f>
        <v/>
      </c>
      <c r="N44" s="36">
        <f>SUM($V$16)</f>
        <v/>
      </c>
      <c r="O44" s="36">
        <f>SUM($V$16)</f>
        <v/>
      </c>
      <c r="P44" s="36">
        <f>SUM($V$16)</f>
        <v/>
      </c>
      <c r="Q44" s="36">
        <f>SUM($V$16)</f>
        <v/>
      </c>
    </row>
    <row r="45">
      <c r="B45" s="1069" t="n"/>
      <c r="C45" s="638" t="inlineStr">
        <is>
          <t>MC</t>
        </is>
      </c>
      <c r="D45" s="31" t="inlineStr">
        <is>
          <t>負荷</t>
        </is>
      </c>
      <c r="E45" s="18">
        <f>SUM(E17)</f>
        <v/>
      </c>
      <c r="F45" s="32">
        <f>SUM(F17/$E$45/F32)</f>
        <v/>
      </c>
      <c r="G45" s="32">
        <f>SUM(G17/$E$45/G32)</f>
        <v/>
      </c>
      <c r="H45" s="1204" t="n">
        <v>150299</v>
      </c>
      <c r="I45" s="32">
        <f>SUM(I17/$E$45/I32)</f>
        <v/>
      </c>
      <c r="J45" s="32">
        <f>SUM(J17/$E$45/J32)</f>
        <v/>
      </c>
      <c r="K45" s="32">
        <f>SUM(K17/$E$45/K32)</f>
        <v/>
      </c>
      <c r="L45" s="32">
        <f>SUM(L17/$E$45/L32)</f>
        <v/>
      </c>
      <c r="M45" s="32">
        <f>SUM(M17/$E$45/M32)</f>
        <v/>
      </c>
      <c r="N45" s="32">
        <f>SUM(N17/$E$45/N32)</f>
        <v/>
      </c>
      <c r="O45" s="32">
        <f>SUM(O17/$E$45/O32)</f>
        <v/>
      </c>
      <c r="P45" s="32">
        <f>SUM(P17/$E$45/P32)</f>
        <v/>
      </c>
      <c r="Q45" s="32">
        <f>SUM(Q17/$E$45/Q32)</f>
        <v/>
      </c>
    </row>
    <row r="46" ht="2.1" customHeight="1" s="1062">
      <c r="B46" s="1080" t="n"/>
      <c r="C46" s="17" t="inlineStr">
        <is>
          <t>MC</t>
        </is>
      </c>
      <c r="D46" s="33" t="inlineStr">
        <is>
          <t>能力</t>
        </is>
      </c>
      <c r="E46" s="29">
        <f>SUM(E45)</f>
        <v/>
      </c>
      <c r="F46" s="36">
        <f>SUM($V$17)</f>
        <v/>
      </c>
      <c r="G46" s="36">
        <f>SUM($V$17)</f>
        <v/>
      </c>
      <c r="H46" s="1205" t="n">
        <v>150299</v>
      </c>
      <c r="I46" s="36">
        <f>SUM($V$17)</f>
        <v/>
      </c>
      <c r="J46" s="36">
        <f>SUM($V$17)</f>
        <v/>
      </c>
      <c r="K46" s="36">
        <f>SUM($V$17)</f>
        <v/>
      </c>
      <c r="L46" s="36">
        <f>SUM($V$17)</f>
        <v/>
      </c>
      <c r="M46" s="36">
        <f>SUM($V$17)</f>
        <v/>
      </c>
      <c r="N46" s="36">
        <f>SUM($V$17)</f>
        <v/>
      </c>
      <c r="O46" s="36">
        <f>SUM($V$17)</f>
        <v/>
      </c>
      <c r="P46" s="36">
        <f>SUM($V$17)</f>
        <v/>
      </c>
      <c r="Q46" s="36">
        <f>SUM($V$17)</f>
        <v/>
      </c>
    </row>
    <row r="47" ht="13.5" customHeight="1" s="1062">
      <c r="B47" s="1020" t="inlineStr">
        <is>
          <t>研削系</t>
        </is>
      </c>
      <c r="C47" s="641" t="inlineStr">
        <is>
          <t>GS</t>
        </is>
      </c>
      <c r="D47" s="31" t="inlineStr">
        <is>
          <t>負荷</t>
        </is>
      </c>
      <c r="E47" s="29">
        <f>SUM(E18)</f>
        <v/>
      </c>
      <c r="F47" s="32">
        <f>SUM(F18/$E$47/F33)</f>
        <v/>
      </c>
      <c r="G47" s="32">
        <f>SUM(G18/$E$47/G33)</f>
        <v/>
      </c>
      <c r="H47" s="1204" t="n">
        <v>231025</v>
      </c>
      <c r="I47" s="32">
        <f>SUM(I18/$E$47/I33)</f>
        <v/>
      </c>
      <c r="J47" s="32">
        <f>SUM(J18/$E$47/J33)</f>
        <v/>
      </c>
      <c r="K47" s="32">
        <f>SUM(K18/$E$47/K33)</f>
        <v/>
      </c>
      <c r="L47" s="32">
        <f>SUM(L18/$E$47/L33)</f>
        <v/>
      </c>
      <c r="M47" s="32">
        <f>SUM(M18/$E$47/M33)</f>
        <v/>
      </c>
      <c r="N47" s="32">
        <f>SUM(N18/$E$47/N33)</f>
        <v/>
      </c>
      <c r="O47" s="32">
        <f>SUM(O18/$E$47/O33)</f>
        <v/>
      </c>
      <c r="P47" s="32">
        <f>SUM(P18/$E$47/P33)</f>
        <v/>
      </c>
      <c r="Q47" s="32">
        <f>SUM(Q18/$E$47/Q33)</f>
        <v/>
      </c>
    </row>
    <row r="48" ht="2.1" customHeight="1" s="1062">
      <c r="B48" s="1069" t="n"/>
      <c r="C48" s="17" t="inlineStr">
        <is>
          <t>GS</t>
        </is>
      </c>
      <c r="D48" s="33" t="inlineStr">
        <is>
          <t>能力</t>
        </is>
      </c>
      <c r="E48" s="29">
        <f>SUM(E47)</f>
        <v/>
      </c>
      <c r="F48" s="36">
        <f>SUM($V$18)</f>
        <v/>
      </c>
      <c r="G48" s="36">
        <f>SUM($V$18)</f>
        <v/>
      </c>
      <c r="H48" s="1205" t="n">
        <v>231025</v>
      </c>
      <c r="I48" s="36">
        <f>SUM($V$18)</f>
        <v/>
      </c>
      <c r="J48" s="36">
        <f>SUM($V$18)</f>
        <v/>
      </c>
      <c r="K48" s="36">
        <f>SUM($V$18)</f>
        <v/>
      </c>
      <c r="L48" s="36">
        <f>SUM($V$18)</f>
        <v/>
      </c>
      <c r="M48" s="36">
        <f>SUM($V$18)</f>
        <v/>
      </c>
      <c r="N48" s="36">
        <f>SUM($V$18)</f>
        <v/>
      </c>
      <c r="O48" s="36">
        <f>SUM($V$18)</f>
        <v/>
      </c>
      <c r="P48" s="36">
        <f>SUM($V$18)</f>
        <v/>
      </c>
      <c r="Q48" s="36">
        <f>SUM($V$18)</f>
        <v/>
      </c>
    </row>
    <row r="49">
      <c r="B49" s="1069" t="n"/>
      <c r="C49" s="641" t="inlineStr">
        <is>
          <t>GR</t>
        </is>
      </c>
      <c r="D49" s="31" t="inlineStr">
        <is>
          <t>負荷</t>
        </is>
      </c>
      <c r="E49" s="29">
        <f>SUM(E19)</f>
        <v/>
      </c>
      <c r="F49" s="32">
        <f>SUM(F19/$E$49/F33)</f>
        <v/>
      </c>
      <c r="G49" s="32">
        <f>SUM(G19/$E$49/G33)</f>
        <v/>
      </c>
      <c r="H49" s="1204" t="n">
        <v>82005</v>
      </c>
      <c r="I49" s="32">
        <f>SUM(I19/$E$49/I33)</f>
        <v/>
      </c>
      <c r="J49" s="32">
        <f>SUM(J19/$E$49/J33)</f>
        <v/>
      </c>
      <c r="K49" s="32">
        <f>SUM(K19/$E$49/K33)</f>
        <v/>
      </c>
      <c r="L49" s="32">
        <f>SUM(L19/$E$49/L33)</f>
        <v/>
      </c>
      <c r="M49" s="32">
        <f>SUM(M19/$E$49/M33)</f>
        <v/>
      </c>
      <c r="N49" s="32">
        <f>SUM(N19/$E$49/N33)</f>
        <v/>
      </c>
      <c r="O49" s="32">
        <f>SUM(O19/$E$49/O33)</f>
        <v/>
      </c>
      <c r="P49" s="32">
        <f>SUM(P19/$E$49/P33)</f>
        <v/>
      </c>
      <c r="Q49" s="32">
        <f>SUM(Q19/$E$49/Q33)</f>
        <v/>
      </c>
    </row>
    <row r="50" ht="2.1" customHeight="1" s="1062">
      <c r="B50" s="1069" t="n"/>
      <c r="C50" s="17" t="inlineStr">
        <is>
          <t>GR</t>
        </is>
      </c>
      <c r="D50" s="33" t="inlineStr">
        <is>
          <t>能力</t>
        </is>
      </c>
      <c r="E50" s="29">
        <f>SUM(E49)</f>
        <v/>
      </c>
      <c r="F50" s="36">
        <f>SUM($V$19)</f>
        <v/>
      </c>
      <c r="G50" s="36">
        <f>SUM($V$19)</f>
        <v/>
      </c>
      <c r="H50" s="1205" t="n">
        <v>82005</v>
      </c>
      <c r="I50" s="36">
        <f>SUM($V$19)</f>
        <v/>
      </c>
      <c r="J50" s="36">
        <f>SUM($V$19)</f>
        <v/>
      </c>
      <c r="K50" s="36">
        <f>SUM($V$19)</f>
        <v/>
      </c>
      <c r="L50" s="36">
        <f>SUM($V$19)</f>
        <v/>
      </c>
      <c r="M50" s="36">
        <f>SUM($V$19)</f>
        <v/>
      </c>
      <c r="N50" s="36">
        <f>SUM($V$19)</f>
        <v/>
      </c>
      <c r="O50" s="36">
        <f>SUM($V$19)</f>
        <v/>
      </c>
      <c r="P50" s="36">
        <f>SUM($V$19)</f>
        <v/>
      </c>
      <c r="Q50" s="36">
        <f>SUM($V$19)</f>
        <v/>
      </c>
    </row>
    <row r="51">
      <c r="B51" s="1069" t="n"/>
      <c r="C51" s="483" t="inlineStr">
        <is>
          <t>GX</t>
        </is>
      </c>
      <c r="D51" s="492" t="inlineStr">
        <is>
          <t>負荷</t>
        </is>
      </c>
      <c r="E51" s="483">
        <f>SUM(E20)</f>
        <v/>
      </c>
      <c r="F51" s="493">
        <f>SUM(F20/$E$51/F33)</f>
        <v/>
      </c>
      <c r="G51" s="493">
        <f>SUM(G20/$E$51/G32)</f>
        <v/>
      </c>
      <c r="H51" s="493">
        <f>SUM(H20/$E$51/H32)</f>
        <v/>
      </c>
      <c r="I51" s="493">
        <f>SUM(I20/$E$51/I32)</f>
        <v/>
      </c>
      <c r="J51" s="493">
        <f>SUM(J20/$E$51/J32)</f>
        <v/>
      </c>
      <c r="K51" s="493">
        <f>SUM(K20/$E$51/K32)</f>
        <v/>
      </c>
      <c r="L51" s="493">
        <f>SUM(L20/$E$51/L32)</f>
        <v/>
      </c>
      <c r="M51" s="493">
        <f>SUM(M20/$E$51/M32)</f>
        <v/>
      </c>
      <c r="N51" s="493">
        <f>SUM(N20/$E$51/N32)</f>
        <v/>
      </c>
      <c r="O51" s="493">
        <f>SUM(O20/$E$51/O32)</f>
        <v/>
      </c>
      <c r="P51" s="493">
        <f>SUM(P20/$E$51/P32)</f>
        <v/>
      </c>
      <c r="Q51" s="493">
        <f>SUM(Q20/$E$51/Q32)</f>
        <v/>
      </c>
    </row>
    <row r="52" ht="2.1" customHeight="1" s="1062">
      <c r="B52" s="1069" t="n"/>
      <c r="C52" s="13" t="inlineStr">
        <is>
          <t>GX</t>
        </is>
      </c>
      <c r="D52" s="31" t="inlineStr">
        <is>
          <t>能力</t>
        </is>
      </c>
      <c r="E52" s="13">
        <f>SUM(E51)</f>
        <v/>
      </c>
      <c r="F52" s="32">
        <f>SUM($V$20)</f>
        <v/>
      </c>
      <c r="G52" s="32">
        <f>SUM($V$20)</f>
        <v/>
      </c>
      <c r="H52" s="32">
        <f>SUM($V$20)</f>
        <v/>
      </c>
      <c r="I52" s="32">
        <f>SUM($V$20)</f>
        <v/>
      </c>
      <c r="J52" s="32">
        <f>SUM($V$20)</f>
        <v/>
      </c>
      <c r="K52" s="32">
        <f>SUM($V$20)</f>
        <v/>
      </c>
      <c r="L52" s="32">
        <f>SUM($V$20)</f>
        <v/>
      </c>
      <c r="M52" s="32">
        <f>SUM($V$20)</f>
        <v/>
      </c>
      <c r="N52" s="32">
        <f>SUM($V$20)</f>
        <v/>
      </c>
      <c r="O52" s="32">
        <f>SUM($V$20)</f>
        <v/>
      </c>
      <c r="P52" s="32">
        <f>SUM($V$20)</f>
        <v/>
      </c>
      <c r="Q52" s="32">
        <f>SUM($V$20)</f>
        <v/>
      </c>
    </row>
    <row r="53">
      <c r="B53" s="1069" t="n"/>
      <c r="C53" s="641" t="inlineStr">
        <is>
          <t>GC</t>
        </is>
      </c>
      <c r="D53" s="382" t="inlineStr">
        <is>
          <t>負荷</t>
        </is>
      </c>
      <c r="E53" s="29">
        <f>SUM(E21)</f>
        <v/>
      </c>
      <c r="F53" s="383">
        <f>SUM(F21/$E$53/F33)</f>
        <v/>
      </c>
      <c r="G53" s="383">
        <f>SUM(G21/$E$53/G33)</f>
        <v/>
      </c>
      <c r="H53" s="1206" t="n">
        <v>68653</v>
      </c>
      <c r="I53" s="383">
        <f>SUM(I21/$E$53/I33)</f>
        <v/>
      </c>
      <c r="J53" s="383">
        <f>SUM(J21/$E$53/J33)</f>
        <v/>
      </c>
      <c r="K53" s="383">
        <f>SUM(K21/$E$53/K33)</f>
        <v/>
      </c>
      <c r="L53" s="383">
        <f>SUM(L21/$E$53/L33)</f>
        <v/>
      </c>
      <c r="M53" s="383">
        <f>SUM(M21/$E$53/M33)</f>
        <v/>
      </c>
      <c r="N53" s="383">
        <f>SUM(N21/$E$53/N33)</f>
        <v/>
      </c>
      <c r="O53" s="383">
        <f>SUM(O21/$E$53/O33)</f>
        <v/>
      </c>
      <c r="P53" s="383">
        <f>SUM(P21/$E$53/P33)</f>
        <v/>
      </c>
      <c r="Q53" s="383">
        <f>SUM(Q21/$E$53/Q33)</f>
        <v/>
      </c>
    </row>
    <row r="54" ht="2.1" customHeight="1" s="1062">
      <c r="B54" s="1069" t="n"/>
      <c r="C54" s="380" t="inlineStr">
        <is>
          <t>GC</t>
        </is>
      </c>
      <c r="D54" s="382" t="inlineStr">
        <is>
          <t>能力</t>
        </is>
      </c>
      <c r="E54" s="380">
        <f>SUM(E53)</f>
        <v/>
      </c>
      <c r="F54" s="383">
        <f>SUM($V$21)</f>
        <v/>
      </c>
      <c r="G54" s="383">
        <f>SUM($V$21)</f>
        <v/>
      </c>
      <c r="H54" s="1206" t="n">
        <v>68653</v>
      </c>
      <c r="I54" s="383">
        <f>SUM($V$21)</f>
        <v/>
      </c>
      <c r="J54" s="383">
        <f>SUM($V$21)</f>
        <v/>
      </c>
      <c r="K54" s="383">
        <f>SUM($V$21)</f>
        <v/>
      </c>
      <c r="L54" s="383">
        <f>SUM($V$21)</f>
        <v/>
      </c>
      <c r="M54" s="383">
        <f>SUM($V$21)</f>
        <v/>
      </c>
      <c r="N54" s="383">
        <f>SUM($V$21)</f>
        <v/>
      </c>
      <c r="O54" s="383">
        <f>SUM($V$21)</f>
        <v/>
      </c>
      <c r="P54" s="383">
        <f>SUM($V$21)</f>
        <v/>
      </c>
      <c r="Q54" s="383">
        <f>SUM($V$21)</f>
        <v/>
      </c>
    </row>
    <row r="55">
      <c r="B55" s="1069" t="n"/>
      <c r="C55" s="638" t="inlineStr">
        <is>
          <t>GJ</t>
        </is>
      </c>
      <c r="D55" s="382" t="inlineStr">
        <is>
          <t>負荷</t>
        </is>
      </c>
      <c r="E55" s="29">
        <f>SUM(E22)</f>
        <v/>
      </c>
      <c r="F55" s="383">
        <f>SUM(F22/$E$55/F32)</f>
        <v/>
      </c>
      <c r="G55" s="383">
        <f>SUM(G22/$E$55/G32)</f>
        <v/>
      </c>
      <c r="H55" s="1206" t="n">
        <v>53854</v>
      </c>
      <c r="I55" s="383">
        <f>SUM(I22/$E$55/I32)</f>
        <v/>
      </c>
      <c r="J55" s="383">
        <f>SUM(J22/$E$55/J32)</f>
        <v/>
      </c>
      <c r="K55" s="383">
        <f>SUM(K22/$E$55/K32)</f>
        <v/>
      </c>
      <c r="L55" s="383">
        <f>SUM(L22/$E$55/L32)</f>
        <v/>
      </c>
      <c r="M55" s="383">
        <f>SUM(M22/$E$55/M32)</f>
        <v/>
      </c>
      <c r="N55" s="383">
        <f>SUM(N22/$E$55/N32)</f>
        <v/>
      </c>
      <c r="O55" s="383">
        <f>SUM(O22/$E$55/O32)</f>
        <v/>
      </c>
      <c r="P55" s="383">
        <f>SUM(P22/$E$55/P32)</f>
        <v/>
      </c>
      <c r="Q55" s="383">
        <f>SUM(Q22/$E$55/Q32)</f>
        <v/>
      </c>
    </row>
    <row r="56" ht="2.1" customHeight="1" s="1062">
      <c r="B56" s="1069" t="n"/>
      <c r="C56" s="17" t="inlineStr">
        <is>
          <t>GJ</t>
        </is>
      </c>
      <c r="D56" s="33" t="inlineStr">
        <is>
          <t>能力</t>
        </is>
      </c>
      <c r="E56" s="29">
        <f>SUM(E55)</f>
        <v/>
      </c>
      <c r="F56" s="36">
        <f>SUM($V$22)</f>
        <v/>
      </c>
      <c r="G56" s="36">
        <f>SUM($V$22)</f>
        <v/>
      </c>
      <c r="H56" s="1205" t="n">
        <v>53854</v>
      </c>
      <c r="I56" s="36">
        <f>SUM($V$22)</f>
        <v/>
      </c>
      <c r="J56" s="36">
        <f>SUM($V$22)</f>
        <v/>
      </c>
      <c r="K56" s="36">
        <f>SUM($V$22)</f>
        <v/>
      </c>
      <c r="L56" s="36">
        <f>SUM($V$22)</f>
        <v/>
      </c>
      <c r="M56" s="36">
        <f>SUM($V$22)</f>
        <v/>
      </c>
      <c r="N56" s="36">
        <f>SUM($V$22)</f>
        <v/>
      </c>
      <c r="O56" s="36">
        <f>SUM($V$22)</f>
        <v/>
      </c>
      <c r="P56" s="36">
        <f>SUM($V$22)</f>
        <v/>
      </c>
      <c r="Q56" s="36">
        <f>SUM($V$22)</f>
        <v/>
      </c>
    </row>
    <row r="57">
      <c r="B57" s="1069" t="n"/>
      <c r="C57" s="638" t="inlineStr">
        <is>
          <t>GP</t>
        </is>
      </c>
      <c r="D57" s="31" t="inlineStr">
        <is>
          <t>負荷</t>
        </is>
      </c>
      <c r="E57" s="18">
        <f>SUM(E23)</f>
        <v/>
      </c>
      <c r="F57" s="32">
        <f>SUM(F23/$E$57/F32)</f>
        <v/>
      </c>
      <c r="G57" s="32">
        <f>SUM(G23/$E$57/G32)</f>
        <v/>
      </c>
      <c r="H57" s="1204" t="n">
        <v>73627</v>
      </c>
      <c r="I57" s="32">
        <f>SUM(I23/$E$57/I32)</f>
        <v/>
      </c>
      <c r="J57" s="32">
        <f>SUM(J23/$E$57/J32)</f>
        <v/>
      </c>
      <c r="K57" s="32">
        <f>SUM(K23/$E$57/K32)</f>
        <v/>
      </c>
      <c r="L57" s="32">
        <f>SUM(L23/$E$57/L32)</f>
        <v/>
      </c>
      <c r="M57" s="32">
        <f>SUM(M23/$E$57/M32)</f>
        <v/>
      </c>
      <c r="N57" s="32">
        <f>SUM(N23/$E$57/N32)</f>
        <v/>
      </c>
      <c r="O57" s="32">
        <f>SUM(O23/$E$57/O32)</f>
        <v/>
      </c>
      <c r="P57" s="32">
        <f>SUM(P23/$E$57/P32)</f>
        <v/>
      </c>
      <c r="Q57" s="32">
        <f>SUM(Q23/$E$57/Q32)</f>
        <v/>
      </c>
    </row>
    <row r="58" ht="2.1" customHeight="1" s="1062">
      <c r="B58" s="1080" t="n"/>
      <c r="C58" s="17" t="inlineStr">
        <is>
          <t>GP</t>
        </is>
      </c>
      <c r="D58" s="33" t="inlineStr">
        <is>
          <t>能力</t>
        </is>
      </c>
      <c r="E58" s="29">
        <f>SUM(E57)</f>
        <v/>
      </c>
      <c r="F58" s="36">
        <f>SUM($V$23)</f>
        <v/>
      </c>
      <c r="G58" s="36">
        <f>SUM($V$23)</f>
        <v/>
      </c>
      <c r="H58" s="1205" t="n">
        <v>73627</v>
      </c>
      <c r="I58" s="36">
        <f>SUM($V$23)</f>
        <v/>
      </c>
      <c r="J58" s="36">
        <f>SUM($V$23)</f>
        <v/>
      </c>
      <c r="K58" s="36">
        <f>SUM($V$23)</f>
        <v/>
      </c>
      <c r="L58" s="36">
        <f>SUM($V$23)</f>
        <v/>
      </c>
      <c r="M58" s="36">
        <f>SUM($V$23)</f>
        <v/>
      </c>
      <c r="N58" s="36">
        <f>SUM($V$23)</f>
        <v/>
      </c>
      <c r="O58" s="36">
        <f>SUM($V$23)</f>
        <v/>
      </c>
      <c r="P58" s="36">
        <f>SUM($V$23)</f>
        <v/>
      </c>
      <c r="Q58" s="36">
        <f>SUM($V$23)</f>
        <v/>
      </c>
    </row>
    <row r="59" ht="13.5" customHeight="1" s="1062">
      <c r="B59" s="1020" t="inlineStr">
        <is>
          <t>放電系</t>
        </is>
      </c>
      <c r="C59" s="638" t="inlineStr">
        <is>
          <t>EN</t>
        </is>
      </c>
      <c r="D59" s="31" t="inlineStr">
        <is>
          <t>負荷</t>
        </is>
      </c>
      <c r="E59" s="18">
        <f>SUM(E24)</f>
        <v/>
      </c>
      <c r="F59" s="32">
        <f>SUM(F24/$E$59/F32)</f>
        <v/>
      </c>
      <c r="G59" s="32">
        <f>SUM(G24/$E$59/G32)</f>
        <v/>
      </c>
      <c r="H59" s="1204" t="n">
        <v>158482</v>
      </c>
      <c r="I59" s="32">
        <f>SUM(I24/$E$59/I32)</f>
        <v/>
      </c>
      <c r="J59" s="32">
        <f>SUM(J24/$E$59/J32)</f>
        <v/>
      </c>
      <c r="K59" s="32">
        <f>SUM(K24/$E$59/K32)</f>
        <v/>
      </c>
      <c r="L59" s="32">
        <f>SUM(L24/$E$59/L32)</f>
        <v/>
      </c>
      <c r="M59" s="32">
        <f>SUM(M24/$E$59/M32)</f>
        <v/>
      </c>
      <c r="N59" s="32">
        <f>SUM(N24/$E$59/N32)</f>
        <v/>
      </c>
      <c r="O59" s="32">
        <f>SUM(O24/$E$59/O32)</f>
        <v/>
      </c>
      <c r="P59" s="32">
        <f>SUM(P24/$E$59/P32)</f>
        <v/>
      </c>
      <c r="Q59" s="32">
        <f>SUM(Q24/$E$59/Q32)</f>
        <v/>
      </c>
    </row>
    <row r="60" ht="2.1" customHeight="1" s="1062">
      <c r="B60" s="1069" t="n"/>
      <c r="C60" s="13" t="inlineStr">
        <is>
          <t>EN</t>
        </is>
      </c>
      <c r="D60" s="31" t="inlineStr">
        <is>
          <t>能力</t>
        </is>
      </c>
      <c r="E60" s="13">
        <f>SUM(E59)</f>
        <v/>
      </c>
      <c r="F60" s="32">
        <f>SUM($V$24)</f>
        <v/>
      </c>
      <c r="G60" s="32">
        <f>SUM($V$24)</f>
        <v/>
      </c>
      <c r="H60" s="1204" t="n">
        <v>158482</v>
      </c>
      <c r="I60" s="32">
        <f>SUM($V$24)</f>
        <v/>
      </c>
      <c r="J60" s="32">
        <f>SUM($V$24)</f>
        <v/>
      </c>
      <c r="K60" s="32">
        <f>SUM($V$24)</f>
        <v/>
      </c>
      <c r="L60" s="32">
        <f>SUM($V$24)</f>
        <v/>
      </c>
      <c r="M60" s="32">
        <f>SUM($V$24)</f>
        <v/>
      </c>
      <c r="N60" s="32">
        <f>SUM($V$24)</f>
        <v/>
      </c>
      <c r="O60" s="32">
        <f>SUM($V$24)</f>
        <v/>
      </c>
      <c r="P60" s="32">
        <f>SUM($V$24)</f>
        <v/>
      </c>
      <c r="Q60" s="32">
        <f>SUM($V$24)</f>
        <v/>
      </c>
    </row>
    <row r="61">
      <c r="B61" s="1069" t="n"/>
      <c r="C61" s="483" t="inlineStr">
        <is>
          <t>ES</t>
        </is>
      </c>
      <c r="D61" s="492" t="inlineStr">
        <is>
          <t>負荷</t>
        </is>
      </c>
      <c r="E61" s="483">
        <f>SUM(E25)</f>
        <v/>
      </c>
      <c r="F61" s="493">
        <f>SUM(F25/$E$61/F32)</f>
        <v/>
      </c>
      <c r="G61" s="493">
        <f>SUM(G25/$E$61/G32)</f>
        <v/>
      </c>
      <c r="H61" s="493">
        <f>SUM(H25/$E$61/H32)</f>
        <v/>
      </c>
      <c r="I61" s="493">
        <f>SUM(I25/$E$61/I32)</f>
        <v/>
      </c>
      <c r="J61" s="493">
        <f>SUM(J25/$E$61/J32)</f>
        <v/>
      </c>
      <c r="K61" s="493">
        <f>SUM(K25/$E$61/K32)</f>
        <v/>
      </c>
      <c r="L61" s="493">
        <f>SUM(L25/$E$61/L32)</f>
        <v/>
      </c>
      <c r="M61" s="493">
        <f>SUM(M25/$E$61/M32)</f>
        <v/>
      </c>
      <c r="N61" s="493">
        <f>SUM(N25/$E$61/N32)</f>
        <v/>
      </c>
      <c r="O61" s="493">
        <f>SUM(O25/$E$61/O32)</f>
        <v/>
      </c>
      <c r="P61" s="493">
        <f>SUM(P25/$E$61/P32)</f>
        <v/>
      </c>
      <c r="Q61" s="493">
        <f>SUM(Q25/$E$61/Q32)</f>
        <v/>
      </c>
    </row>
    <row r="62" ht="2.1" customHeight="1" s="1062">
      <c r="B62" s="1069" t="n"/>
      <c r="C62" s="37" t="inlineStr">
        <is>
          <t>ES</t>
        </is>
      </c>
      <c r="D62" s="38" t="inlineStr">
        <is>
          <t>能力</t>
        </is>
      </c>
      <c r="E62" s="37">
        <f>SUM(E61)</f>
        <v/>
      </c>
      <c r="F62" s="36">
        <f>SUM($V$25)</f>
        <v/>
      </c>
      <c r="G62" s="36">
        <f>SUM($V$25)</f>
        <v/>
      </c>
      <c r="H62" s="36">
        <f>SUM($V$25)</f>
        <v/>
      </c>
      <c r="I62" s="36">
        <f>SUM($V$25)</f>
        <v/>
      </c>
      <c r="J62" s="36">
        <f>SUM($V$25)</f>
        <v/>
      </c>
      <c r="K62" s="36">
        <f>SUM($V$25)</f>
        <v/>
      </c>
      <c r="L62" s="36">
        <f>SUM($V$25)</f>
        <v/>
      </c>
      <c r="M62" s="36">
        <f>SUM($V$25)</f>
        <v/>
      </c>
      <c r="N62" s="36">
        <f>SUM($V$25)</f>
        <v/>
      </c>
      <c r="O62" s="36">
        <f>SUM($V$25)</f>
        <v/>
      </c>
      <c r="P62" s="36">
        <f>SUM($V$25)</f>
        <v/>
      </c>
      <c r="Q62" s="36">
        <f>SUM($V$25)</f>
        <v/>
      </c>
    </row>
    <row r="63">
      <c r="B63" s="1069" t="n"/>
      <c r="C63" s="638" t="inlineStr">
        <is>
          <t>EW</t>
        </is>
      </c>
      <c r="D63" s="31" t="inlineStr">
        <is>
          <t>負荷</t>
        </is>
      </c>
      <c r="E63" s="18">
        <f>SUM(E26)</f>
        <v/>
      </c>
      <c r="F63" s="32">
        <f>SUM(F26/$E$63/F32)</f>
        <v/>
      </c>
      <c r="G63" s="32">
        <f>SUM(G26/$E$63/G32)</f>
        <v/>
      </c>
      <c r="H63" s="1204" t="n">
        <v>258135</v>
      </c>
      <c r="I63" s="32">
        <f>SUM(I26/$E$63/I32)</f>
        <v/>
      </c>
      <c r="J63" s="32">
        <f>SUM(J26/$E$63/J32)</f>
        <v/>
      </c>
      <c r="K63" s="32">
        <f>SUM(K26/$E$63/K32)</f>
        <v/>
      </c>
      <c r="L63" s="32">
        <f>SUM(L26/$E$63/L32)</f>
        <v/>
      </c>
      <c r="M63" s="32">
        <f>SUM(M26/$E$63/M32)</f>
        <v/>
      </c>
      <c r="N63" s="32">
        <f>SUM(N26/$E$63/N32)</f>
        <v/>
      </c>
      <c r="O63" s="32">
        <f>SUM(O26/$E$63/O32)</f>
        <v/>
      </c>
      <c r="P63" s="32">
        <f>SUM(P26/$E$63/P32)</f>
        <v/>
      </c>
      <c r="Q63" s="32">
        <f>SUM(Q26/$E$63/Q32)</f>
        <v/>
      </c>
    </row>
    <row r="64" ht="2.1" customHeight="1" s="1062">
      <c r="B64" s="1080" t="n"/>
      <c r="C64" s="17" t="inlineStr">
        <is>
          <t>EW</t>
        </is>
      </c>
      <c r="D64" s="17" t="inlineStr">
        <is>
          <t>能力</t>
        </is>
      </c>
      <c r="E64" s="29">
        <f>SUM(E63)</f>
        <v/>
      </c>
      <c r="F64" s="36">
        <f>SUM($V$26)</f>
        <v/>
      </c>
      <c r="G64" s="36">
        <f>SUM($V$26)</f>
        <v/>
      </c>
      <c r="H64" s="1205" t="n">
        <v>258135</v>
      </c>
      <c r="I64" s="36">
        <f>SUM($V$26)</f>
        <v/>
      </c>
      <c r="J64" s="36">
        <f>SUM($V$26)</f>
        <v/>
      </c>
      <c r="K64" s="36">
        <f>SUM($V$26)</f>
        <v/>
      </c>
      <c r="L64" s="36">
        <f>SUM($V$26)</f>
        <v/>
      </c>
      <c r="M64" s="36">
        <f>SUM($V$26)</f>
        <v/>
      </c>
      <c r="N64" s="36">
        <f>SUM($V$26)</f>
        <v/>
      </c>
      <c r="O64" s="36">
        <f>SUM($V$26)</f>
        <v/>
      </c>
      <c r="P64" s="36">
        <f>SUM($V$26)</f>
        <v/>
      </c>
      <c r="Q64" s="36">
        <f>SUM($V$26)</f>
        <v/>
      </c>
    </row>
    <row r="65" ht="14.25" customHeight="1" s="1062">
      <c r="B65" s="39" t="n"/>
      <c r="C65" s="40" t="n"/>
      <c r="D65" s="40" t="n"/>
      <c r="E65" s="40" t="n"/>
      <c r="F65" s="41" t="n"/>
      <c r="G65" s="41" t="n"/>
      <c r="H65" s="41" t="n"/>
      <c r="I65" s="41" t="n"/>
      <c r="J65" s="41" t="n"/>
      <c r="K65" s="41" t="n"/>
      <c r="L65" s="41" t="n"/>
      <c r="M65" s="41" t="n"/>
      <c r="N65" s="41" t="n"/>
      <c r="O65" s="41" t="n"/>
      <c r="P65" s="41" t="n"/>
      <c r="Q65" s="41" t="n"/>
    </row>
    <row r="66">
      <c r="B66" s="39" t="n"/>
      <c r="C66" s="40" t="n"/>
      <c r="D66" s="40" t="n"/>
      <c r="E66" s="40" t="n"/>
      <c r="F66" s="41" t="n"/>
      <c r="G66" s="41" t="n"/>
      <c r="H66" s="41" t="n"/>
      <c r="I66" s="41" t="n"/>
      <c r="J66" s="41" t="n"/>
      <c r="K66" s="41" t="n"/>
      <c r="L66" s="41" t="n"/>
      <c r="M66" s="41" t="n"/>
      <c r="N66" s="41" t="n"/>
      <c r="O66" s="41" t="n"/>
      <c r="P66" s="41" t="n"/>
      <c r="Q66" s="41" t="n"/>
    </row>
    <row r="67">
      <c r="B67" s="39" t="n"/>
      <c r="C67" s="40" t="n"/>
      <c r="D67" s="40" t="n"/>
      <c r="E67" s="40" t="n"/>
      <c r="F67" s="41" t="n"/>
      <c r="G67" s="41" t="n"/>
      <c r="H67" s="41" t="n"/>
      <c r="I67" s="41" t="n"/>
      <c r="J67" s="41" t="n"/>
      <c r="K67" s="41" t="n"/>
      <c r="L67" s="41" t="n"/>
      <c r="M67" s="41" t="n"/>
      <c r="N67" s="41" t="n"/>
      <c r="O67" s="41" t="n"/>
      <c r="P67" s="41" t="n"/>
      <c r="Q67" s="41" t="n"/>
    </row>
    <row r="68">
      <c r="B68" s="39" t="n"/>
      <c r="C68" s="40" t="n"/>
      <c r="D68" s="40" t="n"/>
      <c r="E68" s="40" t="n"/>
      <c r="F68" s="41" t="n"/>
      <c r="G68" s="41" t="n"/>
      <c r="H68" s="41" t="n"/>
      <c r="I68" s="41" t="n"/>
      <c r="J68" s="41" t="n"/>
      <c r="K68" s="41" t="n"/>
      <c r="L68" s="41" t="n"/>
      <c r="M68" s="41" t="n"/>
      <c r="N68" s="41" t="n"/>
      <c r="O68" s="41" t="n"/>
      <c r="P68" s="41" t="n"/>
      <c r="Q68" s="41" t="n"/>
    </row>
    <row r="69">
      <c r="B69" s="39" t="n"/>
      <c r="C69" s="40" t="n"/>
      <c r="D69" s="40" t="n"/>
      <c r="E69" s="40" t="n"/>
      <c r="F69" s="41" t="n"/>
      <c r="G69" s="41" t="n"/>
      <c r="H69" s="41" t="n"/>
      <c r="I69" s="41" t="n"/>
      <c r="J69" s="41" t="n"/>
      <c r="K69" s="41" t="n"/>
      <c r="L69" s="41" t="n"/>
      <c r="M69" s="41" t="n"/>
      <c r="N69" s="41" t="n"/>
      <c r="O69" s="41" t="n"/>
      <c r="P69" s="41" t="n"/>
      <c r="Q69" s="41" t="n"/>
    </row>
    <row r="70">
      <c r="B70" s="39" t="n"/>
      <c r="C70" s="40" t="n"/>
      <c r="D70" s="40" t="n"/>
      <c r="E70" s="40" t="n"/>
      <c r="F70" s="41" t="n"/>
      <c r="G70" s="41" t="n"/>
      <c r="H70" s="41" t="n"/>
      <c r="I70" s="41" t="n"/>
      <c r="J70" s="41" t="n"/>
      <c r="K70" s="41" t="n"/>
      <c r="L70" s="41" t="n"/>
      <c r="M70" s="41" t="n"/>
      <c r="N70" s="41" t="n"/>
      <c r="O70" s="41" t="n"/>
      <c r="P70" s="41" t="n"/>
      <c r="Q70" s="41" t="n"/>
    </row>
    <row r="71">
      <c r="B71" s="39" t="n"/>
      <c r="C71" s="40" t="n"/>
      <c r="D71" s="40" t="n"/>
      <c r="E71" s="40" t="n"/>
      <c r="F71" s="41" t="n"/>
      <c r="G71" s="41" t="n"/>
      <c r="H71" s="41" t="n"/>
      <c r="I71" s="41" t="n"/>
      <c r="J71" s="41" t="n"/>
      <c r="K71" s="41" t="n"/>
      <c r="L71" s="41" t="n"/>
      <c r="M71" s="41" t="n"/>
      <c r="N71" s="41" t="n"/>
      <c r="O71" s="41" t="n"/>
      <c r="P71" s="41" t="n"/>
      <c r="Q71" s="41" t="n"/>
    </row>
    <row r="72">
      <c r="B72" s="39" t="n"/>
      <c r="C72" s="40" t="n"/>
      <c r="D72" s="40" t="n"/>
      <c r="E72" s="40" t="n"/>
      <c r="F72" s="41" t="n"/>
      <c r="G72" s="41" t="n"/>
      <c r="H72" s="41" t="n"/>
      <c r="I72" s="41" t="n"/>
      <c r="J72" s="41" t="n"/>
      <c r="K72" s="41" t="n"/>
      <c r="L72" s="41" t="n"/>
      <c r="M72" s="41" t="n"/>
      <c r="N72" s="41" t="n"/>
      <c r="O72" s="41" t="n"/>
      <c r="P72" s="41" t="n"/>
      <c r="Q72" s="41" t="n"/>
    </row>
    <row r="73">
      <c r="B73" s="39" t="n"/>
      <c r="C73" s="40" t="n"/>
      <c r="D73" s="40" t="n"/>
      <c r="E73" s="40" t="n"/>
      <c r="F73" s="41" t="n"/>
      <c r="G73" s="41" t="n"/>
      <c r="H73" s="41" t="n"/>
      <c r="I73" s="41" t="n"/>
      <c r="J73" s="41" t="n"/>
      <c r="K73" s="41" t="n"/>
      <c r="L73" s="41" t="n"/>
      <c r="M73" s="41" t="n"/>
      <c r="N73" s="41" t="n"/>
      <c r="O73" s="41" t="n"/>
      <c r="P73" s="41" t="n"/>
      <c r="Q73" s="41" t="n"/>
    </row>
    <row r="74">
      <c r="B74" s="39" t="n"/>
      <c r="C74" s="40" t="n"/>
      <c r="D74" s="40" t="n"/>
      <c r="E74" s="40" t="n"/>
      <c r="F74" s="41" t="n"/>
      <c r="G74" s="41" t="n"/>
      <c r="H74" s="41" t="n"/>
      <c r="I74" s="41" t="n"/>
      <c r="J74" s="41" t="n"/>
      <c r="K74" s="41" t="n"/>
      <c r="L74" s="41" t="n"/>
      <c r="M74" s="41" t="n"/>
      <c r="N74" s="41" t="n"/>
      <c r="O74" s="41" t="n"/>
      <c r="P74" s="41" t="n"/>
      <c r="Q74" s="41" t="n"/>
    </row>
    <row r="75">
      <c r="B75" s="39" t="n"/>
      <c r="C75" s="40" t="n"/>
      <c r="D75" s="40" t="n"/>
      <c r="E75" s="40" t="n"/>
      <c r="F75" s="41" t="n"/>
      <c r="G75" s="41" t="n"/>
      <c r="H75" s="41" t="n"/>
      <c r="I75" s="41" t="n"/>
      <c r="J75" s="41" t="n"/>
      <c r="K75" s="41" t="n"/>
      <c r="L75" s="41" t="n"/>
      <c r="M75" s="41" t="n"/>
      <c r="N75" s="41" t="n"/>
      <c r="O75" s="41" t="n"/>
      <c r="P75" s="41" t="n"/>
      <c r="Q75" s="41" t="n"/>
    </row>
    <row r="76">
      <c r="B76" s="39" t="n"/>
      <c r="C76" s="40" t="n"/>
      <c r="D76" s="40" t="n"/>
      <c r="E76" s="40" t="n"/>
      <c r="F76" s="41" t="n"/>
      <c r="G76" s="41" t="n"/>
      <c r="H76" s="41" t="n"/>
      <c r="I76" s="41" t="n"/>
      <c r="J76" s="41" t="n"/>
      <c r="K76" s="41" t="n"/>
      <c r="L76" s="41" t="n"/>
      <c r="M76" s="41" t="n"/>
      <c r="N76" s="41" t="n"/>
      <c r="O76" s="41" t="n"/>
      <c r="P76" s="41" t="n"/>
      <c r="Q76" s="41" t="n"/>
    </row>
    <row r="77">
      <c r="B77" s="39" t="n"/>
      <c r="C77" s="40" t="n"/>
      <c r="D77" s="40" t="n"/>
      <c r="E77" s="40" t="n"/>
      <c r="F77" s="41" t="n"/>
      <c r="G77" s="41" t="n"/>
      <c r="H77" s="41" t="n"/>
      <c r="I77" s="41" t="n"/>
      <c r="J77" s="41" t="n"/>
      <c r="K77" s="41" t="n"/>
      <c r="L77" s="41" t="n"/>
      <c r="M77" s="41" t="n"/>
      <c r="N77" s="41" t="n"/>
      <c r="O77" s="41" t="n"/>
      <c r="P77" s="41" t="n"/>
      <c r="Q77" s="41" t="n"/>
    </row>
    <row r="78">
      <c r="B78" s="39" t="n"/>
      <c r="C78" s="40" t="n"/>
      <c r="D78" s="40" t="n"/>
      <c r="E78" s="40" t="n"/>
      <c r="F78" s="41" t="n"/>
      <c r="G78" s="41" t="n"/>
      <c r="H78" s="41" t="n"/>
      <c r="I78" s="41" t="n"/>
      <c r="J78" s="41" t="n"/>
      <c r="K78" s="41" t="n"/>
      <c r="L78" s="41" t="n"/>
      <c r="M78" s="41" t="n"/>
      <c r="N78" s="41" t="n"/>
      <c r="O78" s="41" t="n"/>
      <c r="P78" s="41" t="n"/>
      <c r="Q78" s="41" t="n"/>
    </row>
    <row r="79">
      <c r="B79" s="39" t="n"/>
      <c r="C79" s="40" t="n"/>
      <c r="D79" s="40" t="n"/>
      <c r="E79" s="40" t="n"/>
      <c r="F79" s="41" t="n"/>
      <c r="G79" s="41" t="n"/>
      <c r="H79" s="41" t="n"/>
      <c r="I79" s="41" t="n"/>
      <c r="J79" s="41" t="n"/>
      <c r="K79" s="41" t="n"/>
      <c r="L79" s="41" t="n"/>
      <c r="M79" s="41" t="n"/>
      <c r="N79" s="41" t="n"/>
      <c r="O79" s="41" t="n"/>
      <c r="P79" s="41" t="n"/>
      <c r="Q79" s="41" t="n"/>
    </row>
    <row r="80">
      <c r="B80" s="39" t="n"/>
      <c r="C80" s="40" t="n"/>
      <c r="D80" s="40" t="n"/>
      <c r="E80" s="40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</row>
    <row r="81">
      <c r="B81" s="39" t="n"/>
      <c r="C81" s="40" t="n"/>
      <c r="D81" s="40" t="n"/>
      <c r="E81" s="40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</row>
    <row r="82">
      <c r="B82" s="39" t="n"/>
      <c r="C82" s="40" t="n"/>
      <c r="D82" s="40" t="n"/>
      <c r="E82" s="40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</row>
    <row r="83">
      <c r="B83" s="39" t="n"/>
      <c r="C83" s="40" t="n"/>
      <c r="D83" s="40" t="n"/>
      <c r="E83" s="40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</row>
    <row r="84">
      <c r="B84" s="39" t="n"/>
      <c r="C84" s="40" t="n"/>
      <c r="D84" s="40" t="n"/>
      <c r="E84" s="40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1" t="n"/>
      <c r="Q84" s="41" t="n"/>
    </row>
    <row r="85">
      <c r="B85" s="39" t="n"/>
      <c r="C85" s="40" t="n"/>
      <c r="D85" s="40" t="n"/>
      <c r="E85" s="40" t="n"/>
      <c r="F85" s="41" t="n"/>
      <c r="G85" s="41" t="n"/>
      <c r="H85" s="41" t="n"/>
      <c r="I85" s="41" t="n"/>
      <c r="J85" s="41" t="n"/>
      <c r="K85" s="41" t="n"/>
      <c r="L85" s="41" t="n"/>
      <c r="M85" s="41" t="n"/>
      <c r="N85" s="41" t="n"/>
      <c r="O85" s="41" t="n"/>
      <c r="P85" s="41" t="n"/>
      <c r="Q85" s="41" t="n"/>
    </row>
    <row r="86">
      <c r="B86" s="39" t="n"/>
      <c r="C86" s="40" t="n"/>
      <c r="D86" s="40" t="n"/>
      <c r="E86" s="40" t="n"/>
      <c r="F86" s="41" t="n"/>
      <c r="G86" s="41" t="n"/>
      <c r="H86" s="41" t="n"/>
      <c r="I86" s="41" t="n"/>
      <c r="J86" s="41" t="n"/>
      <c r="K86" s="41" t="n"/>
      <c r="L86" s="41" t="n"/>
      <c r="M86" s="41" t="n"/>
      <c r="N86" s="41" t="n"/>
      <c r="O86" s="41" t="n"/>
      <c r="P86" s="41" t="n"/>
      <c r="Q86" s="41" t="n"/>
    </row>
    <row r="87">
      <c r="B87" s="39" t="n"/>
      <c r="C87" s="40" t="n"/>
      <c r="D87" s="40" t="n"/>
      <c r="E87" s="40" t="n"/>
      <c r="F87" s="41" t="n"/>
      <c r="G87" s="41" t="n"/>
      <c r="H87" s="41" t="n"/>
      <c r="I87" s="41" t="n"/>
      <c r="J87" s="41" t="n"/>
      <c r="K87" s="41" t="n"/>
      <c r="L87" s="41" t="n"/>
      <c r="M87" s="41" t="n"/>
      <c r="N87" s="41" t="n"/>
      <c r="O87" s="41" t="n"/>
      <c r="P87" s="41" t="n"/>
      <c r="Q87" s="41" t="n"/>
    </row>
    <row r="88">
      <c r="B88" s="39" t="n"/>
      <c r="C88" s="40" t="n"/>
      <c r="D88" s="40" t="n"/>
      <c r="E88" s="40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1" t="n"/>
      <c r="Q88" s="41" t="n"/>
    </row>
    <row r="89">
      <c r="B89" s="39" t="n"/>
      <c r="C89" s="40" t="n"/>
      <c r="D89" s="40" t="n"/>
      <c r="E89" s="40" t="n"/>
      <c r="F89" s="41" t="n"/>
      <c r="G89" s="41" t="n"/>
      <c r="H89" s="41" t="n"/>
      <c r="I89" s="41" t="n"/>
      <c r="J89" s="41" t="n"/>
      <c r="K89" s="41" t="n"/>
      <c r="L89" s="41" t="n"/>
      <c r="M89" s="41" t="n"/>
      <c r="N89" s="41" t="n"/>
      <c r="O89" s="41" t="n"/>
      <c r="P89" s="41" t="n"/>
      <c r="Q89" s="41" t="n"/>
    </row>
    <row r="90">
      <c r="B90" s="39" t="n"/>
      <c r="C90" s="40" t="n"/>
      <c r="D90" s="40" t="n"/>
      <c r="E90" s="40" t="n"/>
      <c r="F90" s="41" t="n"/>
      <c r="G90" s="41" t="n"/>
      <c r="H90" s="41" t="n"/>
      <c r="I90" s="41" t="n"/>
      <c r="J90" s="41" t="n"/>
      <c r="K90" s="41" t="n"/>
      <c r="L90" s="41" t="n"/>
      <c r="M90" s="41" t="n"/>
      <c r="N90" s="41" t="n"/>
      <c r="O90" s="41" t="n"/>
      <c r="P90" s="41" t="n"/>
      <c r="Q90" s="41" t="n"/>
    </row>
    <row r="91">
      <c r="B91" s="39" t="n"/>
      <c r="C91" s="40" t="n"/>
      <c r="D91" s="40" t="n"/>
      <c r="E91" s="40" t="n"/>
      <c r="F91" s="41" t="n"/>
      <c r="G91" s="41" t="n"/>
      <c r="H91" s="41" t="n"/>
      <c r="I91" s="41" t="n"/>
      <c r="J91" s="41" t="n"/>
      <c r="K91" s="41" t="n"/>
      <c r="L91" s="41" t="n"/>
      <c r="M91" s="41" t="n"/>
      <c r="N91" s="41" t="n"/>
      <c r="O91" s="41" t="n"/>
      <c r="P91" s="41" t="n"/>
      <c r="Q91" s="41" t="n"/>
    </row>
    <row r="92">
      <c r="B92" s="39" t="n"/>
      <c r="C92" s="40" t="n"/>
      <c r="D92" s="40" t="n"/>
      <c r="E92" s="40" t="n"/>
      <c r="F92" s="41" t="n"/>
      <c r="G92" s="41" t="n"/>
      <c r="H92" s="41" t="n"/>
      <c r="I92" s="41" t="n"/>
      <c r="J92" s="41" t="n"/>
      <c r="K92" s="41" t="n"/>
      <c r="L92" s="41" t="n"/>
      <c r="M92" s="41" t="n"/>
      <c r="N92" s="41" t="n"/>
      <c r="O92" s="41" t="n"/>
      <c r="P92" s="41" t="n"/>
      <c r="Q92" s="41" t="n"/>
    </row>
    <row r="93">
      <c r="B93" s="39" t="n"/>
      <c r="C93" s="40" t="n"/>
      <c r="D93" s="40" t="n"/>
      <c r="E93" s="40" t="n"/>
      <c r="F93" s="41" t="n"/>
      <c r="G93" s="41" t="n"/>
      <c r="H93" s="41" t="n"/>
      <c r="I93" s="41" t="n"/>
      <c r="J93" s="41" t="n"/>
      <c r="K93" s="41" t="n"/>
      <c r="L93" s="41" t="n"/>
      <c r="M93" s="41" t="n"/>
      <c r="N93" s="41" t="n"/>
      <c r="O93" s="41" t="n"/>
      <c r="P93" s="41" t="n"/>
      <c r="Q93" s="41" t="n"/>
    </row>
    <row r="94">
      <c r="B94" s="39" t="n"/>
      <c r="C94" s="40" t="n"/>
      <c r="D94" s="40" t="n"/>
      <c r="E94" s="40" t="n"/>
      <c r="F94" s="41" t="n"/>
      <c r="G94" s="41" t="n"/>
      <c r="H94" s="41" t="n"/>
      <c r="I94" s="41" t="n"/>
      <c r="J94" s="41" t="n"/>
      <c r="K94" s="41" t="n"/>
      <c r="L94" s="41" t="n"/>
      <c r="M94" s="41" t="n"/>
      <c r="N94" s="41" t="n"/>
      <c r="O94" s="41" t="n"/>
      <c r="P94" s="41" t="n"/>
      <c r="Q94" s="41" t="n"/>
    </row>
    <row r="95">
      <c r="B95" s="39" t="n"/>
      <c r="C95" s="40" t="n"/>
      <c r="D95" s="40" t="n"/>
      <c r="E95" s="40" t="n"/>
      <c r="F95" s="41" t="n"/>
      <c r="G95" s="41" t="n"/>
      <c r="H95" s="41" t="n"/>
      <c r="I95" s="41" t="n"/>
      <c r="J95" s="41" t="n"/>
      <c r="K95" s="41" t="n"/>
      <c r="L95" s="41" t="n"/>
      <c r="M95" s="41" t="n"/>
      <c r="N95" s="41" t="n"/>
      <c r="O95" s="41" t="n"/>
      <c r="P95" s="41" t="n"/>
      <c r="Q95" s="41" t="n"/>
    </row>
    <row r="96">
      <c r="B96" s="39" t="n"/>
      <c r="C96" s="40" t="n"/>
      <c r="D96" s="40" t="n"/>
      <c r="E96" s="40" t="n"/>
      <c r="F96" s="41" t="n"/>
      <c r="G96" s="41" t="n"/>
      <c r="H96" s="41" t="n"/>
      <c r="I96" s="41" t="n"/>
      <c r="J96" s="41" t="n"/>
      <c r="K96" s="41" t="n"/>
      <c r="L96" s="41" t="n"/>
      <c r="M96" s="41" t="n"/>
      <c r="N96" s="41" t="n"/>
      <c r="O96" s="41" t="n"/>
      <c r="P96" s="41" t="n"/>
      <c r="Q96" s="41" t="n"/>
    </row>
    <row r="97">
      <c r="B97" s="39" t="n"/>
      <c r="C97" s="40" t="n"/>
      <c r="D97" s="40" t="n"/>
      <c r="E97" s="40" t="n"/>
      <c r="F97" s="41" t="n"/>
      <c r="G97" s="41" t="n"/>
      <c r="H97" s="41" t="n"/>
      <c r="I97" s="41" t="n"/>
      <c r="J97" s="41" t="n"/>
      <c r="K97" s="41" t="n"/>
      <c r="L97" s="41" t="n"/>
      <c r="M97" s="41" t="n"/>
      <c r="N97" s="41" t="n"/>
      <c r="O97" s="41" t="n"/>
      <c r="P97" s="41" t="n"/>
      <c r="Q97" s="41" t="n"/>
    </row>
    <row r="98">
      <c r="B98" s="39" t="n"/>
      <c r="C98" s="40" t="n"/>
      <c r="D98" s="40" t="n"/>
      <c r="E98" s="40" t="n"/>
      <c r="F98" s="41" t="n"/>
      <c r="G98" s="41" t="n"/>
      <c r="H98" s="41" t="n"/>
      <c r="I98" s="41" t="n"/>
      <c r="J98" s="41" t="n"/>
      <c r="K98" s="41" t="n"/>
      <c r="L98" s="41" t="n"/>
      <c r="M98" s="41" t="n"/>
      <c r="N98" s="41" t="n"/>
      <c r="O98" s="41" t="n"/>
      <c r="P98" s="41" t="n"/>
      <c r="Q98" s="41" t="n"/>
    </row>
    <row r="99">
      <c r="B99" s="39" t="n"/>
      <c r="C99" s="40" t="n"/>
      <c r="D99" s="40" t="n"/>
      <c r="E99" s="40" t="n"/>
      <c r="F99" s="41" t="n"/>
      <c r="G99" s="41" t="n"/>
      <c r="H99" s="41" t="n"/>
      <c r="I99" s="41" t="n"/>
      <c r="J99" s="41" t="n"/>
      <c r="K99" s="41" t="n"/>
      <c r="L99" s="41" t="n"/>
      <c r="M99" s="41" t="n"/>
      <c r="N99" s="41" t="n"/>
      <c r="O99" s="41" t="n"/>
      <c r="P99" s="41" t="n"/>
      <c r="Q99" s="41" t="n"/>
    </row>
    <row r="100">
      <c r="B100" s="39" t="n"/>
      <c r="C100" s="40" t="n"/>
      <c r="D100" s="40" t="n"/>
      <c r="E100" s="40" t="n"/>
      <c r="F100" s="41" t="n"/>
      <c r="G100" s="41" t="n"/>
      <c r="H100" s="41" t="n"/>
      <c r="I100" s="41" t="n"/>
      <c r="J100" s="41" t="n"/>
      <c r="K100" s="41" t="n"/>
      <c r="L100" s="41" t="n"/>
      <c r="M100" s="41" t="n"/>
      <c r="N100" s="41" t="n"/>
      <c r="O100" s="41" t="n"/>
      <c r="P100" s="41" t="n"/>
      <c r="Q100" s="41" t="n"/>
    </row>
    <row r="101">
      <c r="B101" s="39" t="n"/>
      <c r="C101" s="40" t="n"/>
      <c r="D101" s="40" t="n"/>
      <c r="E101" s="40" t="n"/>
      <c r="F101" s="41" t="n"/>
      <c r="G101" s="41" t="n"/>
      <c r="H101" s="41" t="n"/>
      <c r="I101" s="41" t="n"/>
      <c r="J101" s="41" t="n"/>
      <c r="K101" s="41" t="n"/>
      <c r="L101" s="41" t="n"/>
      <c r="M101" s="41" t="n"/>
      <c r="N101" s="41" t="n"/>
      <c r="O101" s="41" t="n"/>
      <c r="P101" s="41" t="n"/>
      <c r="Q101" s="41" t="n"/>
    </row>
    <row r="102">
      <c r="B102" s="39" t="n"/>
      <c r="C102" s="40" t="n"/>
      <c r="D102" s="40" t="n"/>
      <c r="E102" s="40" t="n"/>
      <c r="F102" s="41" t="n"/>
      <c r="G102" s="41" t="n"/>
      <c r="H102" s="41" t="n"/>
      <c r="I102" s="41" t="n"/>
      <c r="J102" s="41" t="n"/>
      <c r="K102" s="41" t="n"/>
      <c r="L102" s="41" t="n"/>
      <c r="M102" s="41" t="n"/>
      <c r="N102" s="41" t="n"/>
      <c r="O102" s="41" t="n"/>
      <c r="P102" s="41" t="n"/>
      <c r="Q102" s="41" t="n"/>
    </row>
    <row r="103">
      <c r="B103" s="39" t="n"/>
      <c r="C103" s="40" t="n"/>
      <c r="D103" s="40" t="n"/>
      <c r="E103" s="40" t="n"/>
      <c r="F103" s="41" t="n"/>
      <c r="G103" s="41" t="n"/>
      <c r="H103" s="41" t="n"/>
      <c r="I103" s="41" t="n"/>
      <c r="J103" s="41" t="n"/>
      <c r="K103" s="41" t="n"/>
      <c r="L103" s="41" t="n"/>
      <c r="M103" s="41" t="n"/>
      <c r="N103" s="41" t="n"/>
      <c r="O103" s="41" t="n"/>
      <c r="P103" s="41" t="n"/>
      <c r="Q103" s="41" t="n"/>
    </row>
    <row r="104">
      <c r="B104" s="39" t="n"/>
      <c r="C104" s="40" t="n"/>
      <c r="D104" s="40" t="n"/>
      <c r="E104" s="40" t="n"/>
      <c r="F104" s="41" t="n"/>
      <c r="G104" s="41" t="n"/>
      <c r="H104" s="41" t="n"/>
      <c r="I104" s="41" t="n"/>
      <c r="J104" s="41" t="n"/>
      <c r="K104" s="41" t="n"/>
      <c r="L104" s="41" t="n"/>
      <c r="M104" s="41" t="n"/>
      <c r="N104" s="41" t="n"/>
      <c r="O104" s="41" t="n"/>
      <c r="P104" s="41" t="n"/>
      <c r="Q104" s="41" t="n"/>
    </row>
    <row r="105">
      <c r="B105" s="39" t="n"/>
      <c r="C105" s="40" t="n"/>
      <c r="D105" s="40" t="n"/>
      <c r="E105" s="40" t="n"/>
      <c r="F105" s="41" t="n"/>
      <c r="G105" s="41" t="n"/>
      <c r="H105" s="41" t="n"/>
      <c r="I105" s="41" t="n"/>
      <c r="J105" s="41" t="n"/>
      <c r="K105" s="41" t="n"/>
      <c r="L105" s="41" t="n"/>
      <c r="M105" s="41" t="n"/>
      <c r="N105" s="41" t="n"/>
      <c r="O105" s="41" t="n"/>
      <c r="P105" s="41" t="n"/>
      <c r="Q105" s="41" t="n"/>
    </row>
    <row r="106">
      <c r="B106" s="39" t="n"/>
      <c r="C106" s="40" t="n"/>
      <c r="D106" s="40" t="n"/>
      <c r="E106" s="40" t="n"/>
      <c r="F106" s="41" t="n"/>
      <c r="G106" s="41" t="n"/>
      <c r="H106" s="41" t="n"/>
      <c r="I106" s="41" t="n"/>
      <c r="J106" s="41" t="n"/>
      <c r="K106" s="41" t="n"/>
      <c r="L106" s="41" t="n"/>
      <c r="M106" s="41" t="n"/>
      <c r="N106" s="41" t="n"/>
      <c r="O106" s="41" t="n"/>
      <c r="P106" s="41" t="n"/>
      <c r="Q106" s="41" t="n"/>
    </row>
    <row r="107">
      <c r="B107" s="39" t="n"/>
      <c r="C107" s="40" t="n"/>
      <c r="D107" s="40" t="n"/>
      <c r="E107" s="40" t="n"/>
      <c r="F107" s="41" t="n"/>
      <c r="G107" s="41" t="n"/>
      <c r="H107" s="41" t="n"/>
      <c r="I107" s="41" t="n"/>
      <c r="J107" s="41" t="n"/>
      <c r="K107" s="41" t="n"/>
      <c r="L107" s="41" t="n"/>
      <c r="M107" s="41" t="n"/>
      <c r="N107" s="41" t="n"/>
      <c r="O107" s="41" t="n"/>
      <c r="P107" s="41" t="n"/>
      <c r="Q107" s="41" t="n"/>
    </row>
    <row r="108">
      <c r="B108" s="39" t="n"/>
      <c r="C108" s="40" t="n"/>
      <c r="D108" s="40" t="n"/>
      <c r="E108" s="40" t="n"/>
      <c r="F108" s="41" t="n"/>
      <c r="G108" s="41" t="n"/>
      <c r="H108" s="41" t="n"/>
      <c r="I108" s="41" t="n"/>
      <c r="J108" s="41" t="n"/>
      <c r="K108" s="41" t="n"/>
      <c r="L108" s="41" t="n"/>
      <c r="M108" s="41" t="n"/>
      <c r="N108" s="41" t="n"/>
      <c r="O108" s="41" t="n"/>
      <c r="P108" s="41" t="n"/>
      <c r="Q108" s="41" t="n"/>
    </row>
    <row r="109">
      <c r="B109" s="39" t="n"/>
      <c r="C109" s="40" t="n"/>
      <c r="D109" s="40" t="n"/>
      <c r="E109" s="40" t="n"/>
      <c r="F109" s="41" t="n"/>
      <c r="G109" s="41" t="n"/>
      <c r="H109" s="41" t="n"/>
      <c r="I109" s="41" t="n"/>
      <c r="J109" s="41" t="n"/>
      <c r="K109" s="41" t="n"/>
      <c r="L109" s="41" t="n"/>
      <c r="M109" s="41" t="n"/>
      <c r="N109" s="41" t="n"/>
      <c r="O109" s="41" t="n"/>
      <c r="P109" s="41" t="n"/>
      <c r="Q109" s="41" t="n"/>
    </row>
    <row r="110">
      <c r="B110" s="39" t="n"/>
      <c r="C110" s="40" t="n"/>
      <c r="D110" s="40" t="n"/>
      <c r="E110" s="40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1" t="n"/>
      <c r="P110" s="41" t="n"/>
      <c r="Q110" s="41" t="n"/>
    </row>
    <row r="111">
      <c r="B111" s="39" t="n"/>
      <c r="C111" s="40" t="n"/>
      <c r="D111" s="40" t="n"/>
      <c r="E111" s="40" t="n"/>
      <c r="F111" s="41" t="n"/>
      <c r="G111" s="41" t="n"/>
      <c r="H111" s="41" t="n"/>
      <c r="I111" s="41" t="n"/>
      <c r="J111" s="41" t="n"/>
      <c r="K111" s="41" t="n"/>
      <c r="L111" s="41" t="n"/>
      <c r="M111" s="41" t="n"/>
      <c r="N111" s="41" t="n"/>
      <c r="O111" s="41" t="n"/>
      <c r="P111" s="41" t="n"/>
      <c r="Q111" s="41" t="n"/>
    </row>
    <row r="112">
      <c r="B112" s="39" t="n"/>
      <c r="C112" s="40" t="n"/>
      <c r="D112" s="40" t="n"/>
      <c r="E112" s="40" t="n"/>
      <c r="F112" s="41" t="n"/>
      <c r="G112" s="41" t="n"/>
      <c r="H112" s="41" t="n"/>
      <c r="I112" s="41" t="n"/>
      <c r="J112" s="41" t="n"/>
      <c r="K112" s="41" t="n"/>
      <c r="L112" s="41" t="n"/>
      <c r="M112" s="41" t="n"/>
      <c r="N112" s="41" t="n"/>
      <c r="O112" s="41" t="n"/>
      <c r="P112" s="41" t="n"/>
      <c r="Q112" s="41" t="n"/>
    </row>
    <row r="113">
      <c r="B113" s="39" t="n"/>
      <c r="C113" s="40" t="n"/>
      <c r="D113" s="40" t="n"/>
      <c r="E113" s="40" t="n"/>
      <c r="F113" s="41" t="n"/>
      <c r="G113" s="41" t="n"/>
      <c r="H113" s="41" t="n"/>
      <c r="I113" s="41" t="n"/>
      <c r="J113" s="41" t="n"/>
      <c r="K113" s="41" t="n"/>
      <c r="L113" s="41" t="n"/>
      <c r="M113" s="41" t="n"/>
      <c r="N113" s="41" t="n"/>
      <c r="O113" s="41" t="n"/>
      <c r="P113" s="41" t="n"/>
      <c r="Q113" s="41" t="n"/>
    </row>
    <row r="114">
      <c r="B114" s="39" t="n"/>
      <c r="C114" s="40" t="n"/>
      <c r="D114" s="40" t="n"/>
      <c r="E114" s="40" t="n"/>
      <c r="F114" s="41" t="n"/>
      <c r="G114" s="41" t="n"/>
      <c r="H114" s="41" t="n"/>
      <c r="I114" s="41" t="n"/>
      <c r="J114" s="41" t="n"/>
      <c r="K114" s="41" t="n"/>
      <c r="L114" s="41" t="n"/>
      <c r="M114" s="41" t="n"/>
      <c r="N114" s="41" t="n"/>
      <c r="O114" s="41" t="n"/>
      <c r="P114" s="41" t="n"/>
      <c r="Q114" s="41" t="n"/>
    </row>
    <row r="115">
      <c r="B115" s="39" t="n"/>
      <c r="C115" s="40" t="n"/>
      <c r="D115" s="40" t="n"/>
      <c r="E115" s="40" t="n"/>
      <c r="F115" s="41" t="n"/>
      <c r="G115" s="41" t="n"/>
      <c r="H115" s="41" t="n"/>
      <c r="I115" s="41" t="n"/>
      <c r="J115" s="41" t="n"/>
      <c r="K115" s="41" t="n"/>
      <c r="L115" s="41" t="n"/>
      <c r="M115" s="41" t="n"/>
      <c r="N115" s="41" t="n"/>
      <c r="O115" s="41" t="n"/>
      <c r="P115" s="41" t="n"/>
      <c r="Q115" s="41" t="n"/>
    </row>
    <row r="116">
      <c r="B116" s="39" t="n"/>
      <c r="C116" s="40" t="n"/>
      <c r="D116" s="40" t="n"/>
      <c r="E116" s="40" t="n"/>
      <c r="F116" s="41" t="n"/>
      <c r="G116" s="41" t="n"/>
      <c r="H116" s="41" t="n"/>
      <c r="I116" s="41" t="n"/>
      <c r="J116" s="41" t="n"/>
      <c r="K116" s="41" t="n"/>
      <c r="L116" s="41" t="n"/>
      <c r="M116" s="41" t="n"/>
      <c r="N116" s="41" t="n"/>
      <c r="O116" s="41" t="n"/>
      <c r="P116" s="41" t="n"/>
      <c r="Q116" s="41" t="n"/>
    </row>
    <row r="117">
      <c r="B117" s="39" t="n"/>
      <c r="C117" s="40" t="n"/>
      <c r="D117" s="40" t="n"/>
      <c r="E117" s="40" t="n"/>
      <c r="F117" s="41" t="n"/>
      <c r="G117" s="41" t="n"/>
      <c r="H117" s="41" t="n"/>
      <c r="I117" s="41" t="n"/>
      <c r="J117" s="41" t="n"/>
      <c r="K117" s="41" t="n"/>
      <c r="L117" s="41" t="n"/>
      <c r="M117" s="41" t="n"/>
      <c r="N117" s="41" t="n"/>
      <c r="O117" s="41" t="n"/>
      <c r="P117" s="41" t="n"/>
      <c r="Q117" s="41" t="n"/>
    </row>
    <row r="118">
      <c r="B118" s="39" t="n"/>
      <c r="C118" s="40" t="n"/>
      <c r="D118" s="40" t="n"/>
      <c r="E118" s="40" t="n"/>
      <c r="F118" s="41" t="n"/>
      <c r="G118" s="41" t="n"/>
      <c r="H118" s="41" t="n"/>
      <c r="I118" s="41" t="n"/>
      <c r="J118" s="41" t="n"/>
      <c r="K118" s="41" t="n"/>
      <c r="L118" s="41" t="n"/>
      <c r="M118" s="41" t="n"/>
      <c r="N118" s="41" t="n"/>
      <c r="O118" s="41" t="n"/>
      <c r="P118" s="41" t="n"/>
      <c r="Q118" s="41" t="n"/>
    </row>
    <row r="119">
      <c r="B119" s="39" t="n"/>
      <c r="C119" s="40" t="n"/>
      <c r="D119" s="40" t="n"/>
      <c r="E119" s="40" t="n"/>
      <c r="F119" s="41" t="n"/>
      <c r="G119" s="41" t="n"/>
      <c r="H119" s="41" t="n"/>
      <c r="I119" s="41" t="n"/>
      <c r="J119" s="41" t="n"/>
      <c r="K119" s="41" t="n"/>
      <c r="L119" s="41" t="n"/>
      <c r="M119" s="41" t="n"/>
      <c r="N119" s="41" t="n"/>
      <c r="O119" s="41" t="n"/>
      <c r="P119" s="41" t="n"/>
      <c r="Q119" s="41" t="n"/>
    </row>
    <row r="120">
      <c r="B120" s="39" t="n"/>
      <c r="C120" s="40" t="n"/>
      <c r="D120" s="40" t="n"/>
      <c r="E120" s="40" t="n"/>
      <c r="F120" s="41" t="n"/>
      <c r="G120" s="41" t="n"/>
      <c r="H120" s="41" t="n"/>
      <c r="I120" s="41" t="n"/>
      <c r="J120" s="41" t="n"/>
      <c r="K120" s="41" t="n"/>
      <c r="L120" s="41" t="n"/>
      <c r="M120" s="41" t="n"/>
      <c r="N120" s="41" t="n"/>
      <c r="O120" s="41" t="n"/>
      <c r="P120" s="41" t="n"/>
      <c r="Q120" s="41" t="n"/>
    </row>
    <row r="121">
      <c r="B121" s="39" t="n"/>
      <c r="C121" s="40" t="n"/>
      <c r="D121" s="40" t="n"/>
      <c r="E121" s="40" t="n"/>
      <c r="F121" s="41" t="n"/>
      <c r="G121" s="41" t="n"/>
      <c r="H121" s="41" t="n"/>
      <c r="I121" s="41" t="n"/>
      <c r="J121" s="41" t="n"/>
      <c r="K121" s="41" t="n"/>
      <c r="L121" s="41" t="n"/>
      <c r="M121" s="41" t="n"/>
      <c r="N121" s="41" t="n"/>
      <c r="O121" s="41" t="n"/>
      <c r="P121" s="41" t="n"/>
      <c r="Q121" s="41" t="n"/>
    </row>
    <row r="122">
      <c r="B122" s="39" t="n"/>
      <c r="C122" s="40" t="n"/>
      <c r="D122" s="40" t="n"/>
      <c r="E122" s="40" t="n"/>
      <c r="F122" s="41" t="n"/>
      <c r="G122" s="41" t="n"/>
      <c r="H122" s="41" t="n"/>
      <c r="I122" s="41" t="n"/>
      <c r="J122" s="41" t="n"/>
      <c r="K122" s="41" t="n"/>
      <c r="L122" s="41" t="n"/>
      <c r="M122" s="41" t="n"/>
      <c r="N122" s="41" t="n"/>
      <c r="O122" s="41" t="n"/>
      <c r="P122" s="41" t="n"/>
      <c r="Q122" s="41" t="n"/>
    </row>
    <row r="123">
      <c r="B123" s="39" t="n"/>
      <c r="C123" s="40" t="n"/>
      <c r="D123" s="40" t="n"/>
      <c r="E123" s="40" t="n"/>
      <c r="F123" s="41" t="n"/>
      <c r="G123" s="41" t="n"/>
      <c r="H123" s="41" t="n"/>
      <c r="I123" s="41" t="n"/>
      <c r="J123" s="41" t="n"/>
      <c r="K123" s="41" t="n"/>
      <c r="L123" s="41" t="n"/>
      <c r="M123" s="41" t="n"/>
      <c r="N123" s="41" t="n"/>
      <c r="O123" s="41" t="n"/>
      <c r="P123" s="41" t="n"/>
      <c r="Q123" s="41" t="n"/>
    </row>
    <row r="124">
      <c r="B124" s="39" t="n"/>
      <c r="C124" s="40" t="n"/>
      <c r="D124" s="40" t="n"/>
      <c r="E124" s="40" t="n"/>
      <c r="F124" s="41" t="n"/>
      <c r="G124" s="41" t="n"/>
      <c r="H124" s="41" t="n"/>
      <c r="I124" s="41" t="n"/>
      <c r="J124" s="41" t="n"/>
      <c r="K124" s="41" t="n"/>
      <c r="L124" s="41" t="n"/>
      <c r="M124" s="41" t="n"/>
      <c r="N124" s="41" t="n"/>
      <c r="O124" s="41" t="n"/>
      <c r="P124" s="41" t="n"/>
      <c r="Q124" s="41" t="n"/>
    </row>
    <row r="125">
      <c r="B125" s="39" t="n"/>
      <c r="C125" s="40" t="n"/>
      <c r="D125" s="40" t="n"/>
      <c r="E125" s="40" t="n"/>
      <c r="F125" s="41" t="n"/>
      <c r="G125" s="41" t="n"/>
      <c r="H125" s="41" t="n"/>
      <c r="I125" s="41" t="n"/>
      <c r="J125" s="41" t="n"/>
      <c r="K125" s="41" t="n"/>
      <c r="L125" s="41" t="n"/>
      <c r="M125" s="41" t="n"/>
      <c r="N125" s="41" t="n"/>
      <c r="O125" s="41" t="n"/>
      <c r="P125" s="41" t="n"/>
      <c r="Q125" s="41" t="n"/>
    </row>
    <row r="126">
      <c r="B126" s="39" t="n"/>
      <c r="C126" s="40" t="n"/>
      <c r="D126" s="40" t="n"/>
      <c r="E126" s="40" t="n"/>
      <c r="F126" s="41" t="n"/>
      <c r="G126" s="41" t="n"/>
      <c r="H126" s="41" t="n"/>
      <c r="I126" s="41" t="n"/>
      <c r="J126" s="41" t="n"/>
      <c r="K126" s="41" t="n"/>
      <c r="L126" s="41" t="n"/>
      <c r="M126" s="41" t="n"/>
      <c r="N126" s="41" t="n"/>
      <c r="O126" s="41" t="n"/>
      <c r="P126" s="41" t="n"/>
      <c r="Q126" s="41" t="n"/>
    </row>
    <row r="127">
      <c r="B127" s="39" t="n"/>
      <c r="C127" s="40" t="n"/>
      <c r="D127" s="40" t="n"/>
      <c r="E127" s="40" t="n"/>
      <c r="F127" s="41" t="n"/>
      <c r="G127" s="41" t="n"/>
      <c r="H127" s="41" t="n"/>
      <c r="I127" s="41" t="n"/>
      <c r="J127" s="41" t="n"/>
      <c r="K127" s="41" t="n"/>
      <c r="L127" s="41" t="n"/>
      <c r="M127" s="41" t="n"/>
      <c r="N127" s="41" t="n"/>
      <c r="O127" s="41" t="n"/>
      <c r="P127" s="41" t="n"/>
      <c r="Q127" s="41" t="n"/>
    </row>
    <row r="128">
      <c r="B128" s="39" t="n"/>
      <c r="C128" s="40" t="n"/>
      <c r="D128" s="40" t="n"/>
      <c r="E128" s="40" t="n"/>
      <c r="F128" s="41" t="n"/>
      <c r="G128" s="41" t="n"/>
      <c r="H128" s="41" t="n"/>
      <c r="I128" s="41" t="n"/>
      <c r="J128" s="41" t="n"/>
      <c r="K128" s="41" t="n"/>
      <c r="L128" s="41" t="n"/>
      <c r="M128" s="41" t="n"/>
      <c r="N128" s="41" t="n"/>
      <c r="O128" s="41" t="n"/>
      <c r="P128" s="41" t="n"/>
      <c r="Q128" s="41" t="n"/>
    </row>
    <row r="129">
      <c r="B129" s="39" t="n"/>
      <c r="C129" s="40" t="n"/>
      <c r="D129" s="40" t="n"/>
      <c r="E129" s="40" t="n"/>
      <c r="F129" s="41" t="n"/>
      <c r="G129" s="41" t="n"/>
      <c r="H129" s="41" t="n"/>
      <c r="I129" s="41" t="n"/>
      <c r="J129" s="41" t="n"/>
      <c r="K129" s="41" t="n"/>
      <c r="L129" s="41" t="n"/>
      <c r="M129" s="41" t="n"/>
      <c r="N129" s="41" t="n"/>
      <c r="O129" s="41" t="n"/>
      <c r="P129" s="41" t="n"/>
      <c r="Q129" s="41" t="n"/>
    </row>
    <row r="130">
      <c r="B130" s="39" t="n"/>
      <c r="C130" s="40" t="n"/>
      <c r="D130" s="40" t="n"/>
      <c r="E130" s="40" t="n"/>
      <c r="F130" s="41" t="n"/>
      <c r="G130" s="41" t="n"/>
      <c r="H130" s="41" t="n"/>
      <c r="I130" s="41" t="n"/>
      <c r="J130" s="41" t="n"/>
      <c r="K130" s="41" t="n"/>
      <c r="L130" s="41" t="n"/>
      <c r="M130" s="41" t="n"/>
      <c r="N130" s="41" t="n"/>
      <c r="O130" s="41" t="n"/>
      <c r="P130" s="41" t="n"/>
      <c r="Q130" s="41" t="n"/>
    </row>
    <row r="131">
      <c r="B131" s="39" t="n"/>
      <c r="C131" s="40" t="n"/>
      <c r="D131" s="40" t="n"/>
      <c r="E131" s="40" t="n"/>
      <c r="F131" s="41" t="n"/>
      <c r="G131" s="41" t="n"/>
      <c r="H131" s="41" t="n"/>
      <c r="I131" s="41" t="n"/>
      <c r="J131" s="41" t="n"/>
      <c r="K131" s="41" t="n"/>
      <c r="L131" s="41" t="n"/>
      <c r="M131" s="41" t="n"/>
      <c r="N131" s="41" t="n"/>
      <c r="O131" s="41" t="n"/>
      <c r="P131" s="41" t="n"/>
      <c r="Q131" s="41" t="n"/>
    </row>
    <row r="132">
      <c r="B132" s="39" t="n"/>
      <c r="C132" s="40" t="n"/>
      <c r="D132" s="40" t="n"/>
      <c r="E132" s="40" t="n"/>
      <c r="F132" s="41" t="n"/>
      <c r="G132" s="41" t="n"/>
      <c r="H132" s="41" t="n"/>
      <c r="I132" s="41" t="n"/>
      <c r="J132" s="41" t="n"/>
      <c r="K132" s="41" t="n"/>
      <c r="L132" s="41" t="n"/>
      <c r="M132" s="41" t="n"/>
      <c r="N132" s="41" t="n"/>
      <c r="O132" s="41" t="n"/>
      <c r="P132" s="41" t="n"/>
      <c r="Q132" s="41" t="n"/>
    </row>
    <row r="133">
      <c r="B133" s="39" t="n"/>
      <c r="C133" s="40" t="n"/>
      <c r="D133" s="40" t="n"/>
      <c r="E133" s="40" t="n"/>
      <c r="F133" s="41" t="n"/>
      <c r="G133" s="41" t="n"/>
      <c r="H133" s="41" t="n"/>
      <c r="I133" s="41" t="n"/>
      <c r="J133" s="41" t="n"/>
      <c r="K133" s="41" t="n"/>
      <c r="L133" s="41" t="n"/>
      <c r="M133" s="41" t="n"/>
      <c r="N133" s="41" t="n"/>
      <c r="O133" s="41" t="n"/>
      <c r="P133" s="41" t="n"/>
      <c r="Q133" s="41" t="n"/>
    </row>
    <row r="134">
      <c r="B134" s="39" t="n"/>
      <c r="C134" s="40" t="n"/>
      <c r="D134" s="40" t="n"/>
      <c r="E134" s="40" t="n"/>
      <c r="F134" s="41" t="n"/>
      <c r="G134" s="41" t="n"/>
      <c r="H134" s="41" t="n"/>
      <c r="I134" s="41" t="n"/>
      <c r="J134" s="41" t="n"/>
      <c r="K134" s="41" t="n"/>
      <c r="L134" s="41" t="n"/>
      <c r="M134" s="41" t="n"/>
      <c r="N134" s="41" t="n"/>
      <c r="O134" s="41" t="n"/>
      <c r="P134" s="41" t="n"/>
      <c r="Q134" s="41" t="n"/>
    </row>
    <row r="135">
      <c r="B135" s="39" t="n"/>
      <c r="C135" s="40" t="n"/>
      <c r="D135" s="40" t="n"/>
      <c r="E135" s="40" t="n"/>
      <c r="F135" s="41" t="n"/>
      <c r="G135" s="41" t="n"/>
      <c r="H135" s="41" t="n"/>
      <c r="I135" s="41" t="n"/>
      <c r="J135" s="41" t="n"/>
      <c r="K135" s="41" t="n"/>
      <c r="L135" s="41" t="n"/>
      <c r="M135" s="41" t="n"/>
      <c r="N135" s="41" t="n"/>
      <c r="O135" s="41" t="n"/>
      <c r="P135" s="41" t="n"/>
      <c r="Q135" s="41" t="n"/>
    </row>
    <row r="136">
      <c r="B136" s="39" t="n"/>
      <c r="C136" s="40" t="n"/>
      <c r="D136" s="40" t="n"/>
      <c r="E136" s="40" t="n"/>
      <c r="F136" s="41" t="n"/>
      <c r="G136" s="41" t="n"/>
      <c r="H136" s="41" t="n"/>
      <c r="I136" s="41" t="n"/>
      <c r="J136" s="41" t="n"/>
      <c r="K136" s="41" t="n"/>
      <c r="L136" s="41" t="n"/>
      <c r="M136" s="41" t="n"/>
      <c r="N136" s="41" t="n"/>
      <c r="O136" s="41" t="n"/>
      <c r="P136" s="41" t="n"/>
      <c r="Q136" s="41" t="n"/>
    </row>
    <row r="137">
      <c r="B137" s="39" t="n"/>
      <c r="C137" s="40" t="n"/>
      <c r="D137" s="40" t="n"/>
      <c r="E137" s="40" t="n"/>
      <c r="F137" s="41" t="n"/>
      <c r="G137" s="41" t="n"/>
      <c r="H137" s="41" t="n"/>
      <c r="I137" s="41" t="n"/>
      <c r="J137" s="41" t="n"/>
      <c r="K137" s="41" t="n"/>
      <c r="L137" s="41" t="n"/>
      <c r="M137" s="41" t="n"/>
      <c r="N137" s="41" t="n"/>
      <c r="O137" s="41" t="n"/>
      <c r="P137" s="41" t="n"/>
      <c r="Q137" s="41" t="n"/>
    </row>
    <row r="138">
      <c r="B138" s="39" t="n"/>
      <c r="C138" s="40" t="n"/>
      <c r="D138" s="40" t="n"/>
      <c r="E138" s="40" t="n"/>
      <c r="F138" s="41" t="n"/>
      <c r="G138" s="41" t="n"/>
      <c r="H138" s="41" t="n"/>
      <c r="I138" s="41" t="n"/>
      <c r="J138" s="41" t="n"/>
      <c r="K138" s="41" t="n"/>
      <c r="L138" s="41" t="n"/>
      <c r="M138" s="41" t="n"/>
      <c r="N138" s="41" t="n"/>
      <c r="O138" s="41" t="n"/>
      <c r="P138" s="41" t="n"/>
      <c r="Q138" s="41" t="n"/>
    </row>
    <row r="139">
      <c r="B139" s="39" t="n"/>
      <c r="C139" s="40" t="n"/>
      <c r="D139" s="40" t="n"/>
      <c r="E139" s="40" t="n"/>
      <c r="F139" s="41" t="n"/>
      <c r="G139" s="41" t="n"/>
      <c r="H139" s="41" t="n"/>
      <c r="I139" s="41" t="n"/>
      <c r="J139" s="41" t="n"/>
      <c r="K139" s="41" t="n"/>
      <c r="L139" s="41" t="n"/>
      <c r="M139" s="41" t="n"/>
      <c r="N139" s="41" t="n"/>
      <c r="O139" s="41" t="n"/>
      <c r="P139" s="41" t="n"/>
      <c r="Q139" s="41" t="n"/>
    </row>
    <row r="140">
      <c r="B140" s="39" t="n"/>
      <c r="C140" s="40" t="n"/>
      <c r="D140" s="40" t="n"/>
      <c r="E140" s="40" t="n"/>
      <c r="F140" s="41" t="n"/>
      <c r="G140" s="41" t="n"/>
      <c r="H140" s="41" t="n"/>
      <c r="I140" s="41" t="n"/>
      <c r="J140" s="41" t="n"/>
      <c r="K140" s="41" t="n"/>
      <c r="L140" s="41" t="n"/>
      <c r="M140" s="41" t="n"/>
      <c r="N140" s="41" t="n"/>
      <c r="O140" s="41" t="n"/>
      <c r="P140" s="41" t="n"/>
      <c r="Q140" s="41" t="n"/>
    </row>
    <row r="141">
      <c r="B141" s="39" t="n"/>
      <c r="C141" s="40" t="n"/>
      <c r="D141" s="40" t="n"/>
      <c r="E141" s="40" t="n"/>
      <c r="F141" s="41" t="n"/>
      <c r="G141" s="41" t="n"/>
      <c r="H141" s="41" t="n"/>
      <c r="I141" s="41" t="n"/>
      <c r="J141" s="41" t="n"/>
      <c r="K141" s="41" t="n"/>
      <c r="L141" s="41" t="n"/>
      <c r="M141" s="41" t="n"/>
      <c r="N141" s="41" t="n"/>
      <c r="O141" s="41" t="n"/>
      <c r="P141" s="41" t="n"/>
      <c r="Q141" s="41" t="n"/>
    </row>
    <row r="142">
      <c r="B142" s="39" t="n"/>
      <c r="C142" s="40" t="n"/>
      <c r="D142" s="40" t="n"/>
      <c r="E142" s="40" t="n"/>
      <c r="F142" s="41" t="n"/>
      <c r="G142" s="41" t="n"/>
      <c r="H142" s="41" t="n"/>
      <c r="I142" s="41" t="n"/>
      <c r="J142" s="41" t="n"/>
      <c r="K142" s="41" t="n"/>
      <c r="L142" s="41" t="n"/>
      <c r="M142" s="41" t="n"/>
      <c r="N142" s="41" t="n"/>
      <c r="O142" s="41" t="n"/>
      <c r="P142" s="41" t="n"/>
      <c r="Q142" s="41" t="n"/>
    </row>
    <row r="143">
      <c r="B143" s="39" t="n"/>
      <c r="C143" s="40" t="n"/>
      <c r="D143" s="40" t="n"/>
      <c r="E143" s="40" t="n"/>
      <c r="F143" s="41" t="n"/>
      <c r="G143" s="41" t="n"/>
      <c r="H143" s="41" t="n"/>
      <c r="I143" s="41" t="n"/>
      <c r="J143" s="41" t="n"/>
      <c r="K143" s="41" t="n"/>
      <c r="L143" s="41" t="n"/>
      <c r="M143" s="41" t="n"/>
      <c r="N143" s="41" t="n"/>
      <c r="O143" s="41" t="n"/>
      <c r="P143" s="41" t="n"/>
      <c r="Q143" s="41" t="n"/>
    </row>
    <row r="144">
      <c r="B144" s="39" t="n"/>
      <c r="C144" s="40" t="n"/>
      <c r="D144" s="40" t="n"/>
      <c r="E144" s="40" t="n"/>
      <c r="F144" s="41" t="n"/>
      <c r="G144" s="41" t="n"/>
      <c r="H144" s="41" t="n"/>
      <c r="I144" s="41" t="n"/>
      <c r="J144" s="41" t="n"/>
      <c r="K144" s="41" t="n"/>
      <c r="L144" s="41" t="n"/>
      <c r="M144" s="41" t="n"/>
      <c r="N144" s="41" t="n"/>
      <c r="O144" s="41" t="n"/>
      <c r="P144" s="41" t="n"/>
      <c r="Q144" s="41" t="n"/>
    </row>
    <row r="145">
      <c r="B145" s="39" t="n"/>
      <c r="C145" s="40" t="n"/>
      <c r="D145" s="40" t="n"/>
      <c r="E145" s="40" t="n"/>
      <c r="F145" s="41" t="n"/>
      <c r="G145" s="41" t="n"/>
      <c r="H145" s="41" t="n"/>
      <c r="I145" s="41" t="n"/>
      <c r="J145" s="41" t="n"/>
      <c r="K145" s="41" t="n"/>
      <c r="L145" s="41" t="n"/>
      <c r="M145" s="41" t="n"/>
      <c r="N145" s="41" t="n"/>
      <c r="O145" s="41" t="n"/>
      <c r="P145" s="41" t="n"/>
      <c r="Q145" s="41" t="n"/>
    </row>
    <row r="146">
      <c r="B146" s="39" t="n"/>
      <c r="C146" s="40" t="n"/>
      <c r="D146" s="40" t="n"/>
      <c r="E146" s="40" t="n"/>
      <c r="F146" s="41" t="n"/>
      <c r="G146" s="41" t="n"/>
      <c r="H146" s="41" t="n"/>
      <c r="I146" s="41" t="n"/>
      <c r="J146" s="41" t="n"/>
      <c r="K146" s="41" t="n"/>
      <c r="L146" s="41" t="n"/>
      <c r="M146" s="41" t="n"/>
      <c r="N146" s="41" t="n"/>
      <c r="O146" s="41" t="n"/>
      <c r="P146" s="41" t="n"/>
      <c r="Q146" s="41" t="n"/>
    </row>
    <row r="147">
      <c r="B147" s="39" t="n"/>
      <c r="C147" s="40" t="n"/>
      <c r="D147" s="40" t="n"/>
      <c r="E147" s="40" t="n"/>
      <c r="F147" s="41" t="n"/>
      <c r="G147" s="41" t="n"/>
      <c r="H147" s="41" t="n"/>
      <c r="I147" s="41" t="n"/>
      <c r="J147" s="41" t="n"/>
      <c r="K147" s="41" t="n"/>
      <c r="L147" s="41" t="n"/>
      <c r="M147" s="41" t="n"/>
      <c r="N147" s="41" t="n"/>
      <c r="O147" s="41" t="n"/>
      <c r="P147" s="41" t="n"/>
      <c r="Q147" s="41" t="n"/>
    </row>
    <row r="148">
      <c r="B148" s="39" t="n"/>
      <c r="C148" s="40" t="n"/>
      <c r="D148" s="40" t="n"/>
      <c r="E148" s="40" t="n"/>
      <c r="F148" s="41" t="n"/>
      <c r="G148" s="41" t="n"/>
      <c r="H148" s="41" t="n"/>
      <c r="I148" s="41" t="n"/>
      <c r="J148" s="41" t="n"/>
      <c r="K148" s="41" t="n"/>
      <c r="L148" s="41" t="n"/>
      <c r="M148" s="41" t="n"/>
      <c r="N148" s="41" t="n"/>
      <c r="O148" s="41" t="n"/>
      <c r="P148" s="41" t="n"/>
      <c r="Q148" s="41" t="n"/>
    </row>
    <row r="149">
      <c r="B149" s="39" t="n"/>
      <c r="C149" s="40" t="n"/>
      <c r="D149" s="40" t="n"/>
      <c r="E149" s="40" t="n"/>
      <c r="F149" s="41" t="n"/>
      <c r="G149" s="41" t="n"/>
      <c r="H149" s="41" t="n"/>
      <c r="I149" s="41" t="n"/>
      <c r="J149" s="41" t="n"/>
      <c r="K149" s="41" t="n"/>
      <c r="L149" s="41" t="n"/>
      <c r="M149" s="41" t="n"/>
      <c r="N149" s="41" t="n"/>
      <c r="O149" s="41" t="n"/>
      <c r="P149" s="41" t="n"/>
      <c r="Q149" s="41" t="n"/>
    </row>
    <row r="150">
      <c r="B150" s="39" t="n"/>
      <c r="C150" s="40" t="n"/>
      <c r="D150" s="40" t="n"/>
      <c r="E150" s="40" t="n"/>
      <c r="F150" s="41" t="n"/>
      <c r="G150" s="41" t="n"/>
      <c r="H150" s="41" t="n"/>
      <c r="I150" s="41" t="n"/>
      <c r="J150" s="41" t="n"/>
      <c r="K150" s="41" t="n"/>
      <c r="L150" s="41" t="n"/>
      <c r="M150" s="41" t="n"/>
      <c r="N150" s="41" t="n"/>
      <c r="O150" s="41" t="n"/>
      <c r="P150" s="41" t="n"/>
      <c r="Q150" s="41" t="n"/>
    </row>
    <row r="151">
      <c r="B151" s="39" t="n"/>
      <c r="C151" s="40" t="n"/>
      <c r="D151" s="40" t="n"/>
      <c r="E151" s="40" t="n"/>
      <c r="F151" s="41" t="n"/>
      <c r="G151" s="41" t="n"/>
      <c r="H151" s="41" t="n"/>
      <c r="I151" s="41" t="n"/>
      <c r="J151" s="41" t="n"/>
      <c r="K151" s="41" t="n"/>
      <c r="L151" s="41" t="n"/>
      <c r="M151" s="41" t="n"/>
      <c r="N151" s="41" t="n"/>
      <c r="O151" s="41" t="n"/>
      <c r="P151" s="41" t="n"/>
      <c r="Q151" s="41" t="n"/>
    </row>
    <row r="152">
      <c r="B152" s="39" t="n"/>
      <c r="C152" s="40" t="n"/>
      <c r="D152" s="40" t="n"/>
      <c r="E152" s="40" t="n"/>
      <c r="F152" s="41" t="n"/>
      <c r="G152" s="41" t="n"/>
      <c r="H152" s="41" t="n"/>
      <c r="I152" s="41" t="n"/>
      <c r="J152" s="41" t="n"/>
      <c r="K152" s="41" t="n"/>
      <c r="L152" s="41" t="n"/>
      <c r="M152" s="41" t="n"/>
      <c r="N152" s="41" t="n"/>
      <c r="O152" s="41" t="n"/>
      <c r="P152" s="41" t="n"/>
      <c r="Q152" s="41" t="n"/>
    </row>
    <row r="153">
      <c r="B153" s="39" t="n"/>
      <c r="C153" s="40" t="n"/>
      <c r="D153" s="40" t="n"/>
      <c r="E153" s="40" t="n"/>
      <c r="F153" s="41" t="n"/>
      <c r="G153" s="41" t="n"/>
      <c r="H153" s="41" t="n"/>
      <c r="I153" s="41" t="n"/>
      <c r="J153" s="41" t="n"/>
      <c r="K153" s="41" t="n"/>
      <c r="L153" s="41" t="n"/>
      <c r="M153" s="41" t="n"/>
      <c r="N153" s="41" t="n"/>
      <c r="O153" s="41" t="n"/>
      <c r="P153" s="41" t="n"/>
      <c r="Q153" s="41" t="n"/>
    </row>
    <row r="154">
      <c r="B154" s="39" t="n"/>
      <c r="C154" s="40" t="n"/>
      <c r="D154" s="40" t="n"/>
      <c r="E154" s="40" t="n"/>
      <c r="F154" s="41" t="n"/>
      <c r="G154" s="41" t="n"/>
      <c r="H154" s="41" t="n"/>
      <c r="I154" s="41" t="n"/>
      <c r="J154" s="41" t="n"/>
      <c r="K154" s="41" t="n"/>
      <c r="L154" s="41" t="n"/>
      <c r="M154" s="41" t="n"/>
      <c r="N154" s="41" t="n"/>
      <c r="O154" s="41" t="n"/>
      <c r="P154" s="41" t="n"/>
      <c r="Q154" s="41" t="n"/>
    </row>
    <row r="155">
      <c r="B155" s="39" t="n"/>
      <c r="C155" s="40" t="n"/>
      <c r="D155" s="40" t="n"/>
      <c r="E155" s="40" t="n"/>
      <c r="F155" s="41" t="n"/>
      <c r="G155" s="41" t="n"/>
      <c r="H155" s="41" t="n"/>
      <c r="I155" s="41" t="n"/>
      <c r="J155" s="41" t="n"/>
      <c r="K155" s="41" t="n"/>
      <c r="L155" s="41" t="n"/>
      <c r="M155" s="41" t="n"/>
      <c r="N155" s="41" t="n"/>
      <c r="O155" s="41" t="n"/>
      <c r="P155" s="41" t="n"/>
      <c r="Q155" s="41" t="n"/>
    </row>
    <row r="156">
      <c r="B156" s="39" t="n"/>
      <c r="C156" s="40" t="n"/>
      <c r="D156" s="40" t="n"/>
      <c r="E156" s="40" t="n"/>
      <c r="F156" s="41" t="n"/>
      <c r="G156" s="41" t="n"/>
      <c r="H156" s="41" t="n"/>
      <c r="I156" s="41" t="n"/>
      <c r="J156" s="41" t="n"/>
      <c r="K156" s="41" t="n"/>
      <c r="L156" s="41" t="n"/>
      <c r="M156" s="41" t="n"/>
      <c r="N156" s="41" t="n"/>
      <c r="O156" s="41" t="n"/>
      <c r="P156" s="41" t="n"/>
      <c r="Q156" s="41" t="n"/>
    </row>
    <row r="157">
      <c r="B157" s="39" t="n"/>
      <c r="C157" s="40" t="n"/>
      <c r="D157" s="40" t="n"/>
      <c r="E157" s="40" t="n"/>
      <c r="F157" s="41" t="n"/>
      <c r="G157" s="41" t="n"/>
      <c r="H157" s="41" t="n"/>
      <c r="I157" s="41" t="n"/>
      <c r="J157" s="41" t="n"/>
      <c r="K157" s="41" t="n"/>
      <c r="L157" s="41" t="n"/>
      <c r="M157" s="41" t="n"/>
      <c r="N157" s="41" t="n"/>
      <c r="O157" s="41" t="n"/>
      <c r="P157" s="41" t="n"/>
      <c r="Q157" s="41" t="n"/>
    </row>
    <row r="158">
      <c r="C158" s="40" t="inlineStr">
        <is>
          <t>Number of days of process load</t>
        </is>
      </c>
      <c r="G158" s="12" t="inlineStr">
        <is>
          <t>1 Shift</t>
        </is>
      </c>
      <c r="H158" s="12" t="inlineStr">
        <is>
          <t>2 shifts</t>
        </is>
      </c>
    </row>
    <row r="159">
      <c r="E159" s="25" t="inlineStr">
        <is>
          <t>※自動計算</t>
        </is>
      </c>
      <c r="G159" s="54" t="n">
        <v>545</v>
      </c>
      <c r="H159" s="55" t="n">
        <v>1090</v>
      </c>
    </row>
    <row r="160">
      <c r="C160" s="28" t="inlineStr">
        <is>
          <t>工程負荷日数</t>
        </is>
      </c>
      <c r="D160" s="28" t="n"/>
      <c r="E160" s="616" t="inlineStr">
        <is>
          <t>A,B,C</t>
        </is>
      </c>
      <c r="F160" s="639">
        <f>F32</f>
        <v/>
      </c>
      <c r="G160" s="639">
        <f>G32</f>
        <v/>
      </c>
      <c r="H160" s="639">
        <f>H32</f>
        <v/>
      </c>
      <c r="I160" s="639">
        <f>I32</f>
        <v/>
      </c>
      <c r="J160" s="639">
        <f>J32</f>
        <v/>
      </c>
      <c r="K160" s="639">
        <f>K32</f>
        <v/>
      </c>
      <c r="L160" s="639">
        <f>L32</f>
        <v/>
      </c>
      <c r="M160" s="639">
        <f>M32</f>
        <v/>
      </c>
      <c r="N160" s="639">
        <f>N32</f>
        <v/>
      </c>
      <c r="O160" s="639">
        <f>O32</f>
        <v/>
      </c>
      <c r="P160" s="639">
        <f>P32</f>
        <v/>
      </c>
      <c r="Q160" s="639">
        <f>Q32</f>
        <v/>
      </c>
    </row>
    <row r="161">
      <c r="C161" s="28" t="n"/>
      <c r="D161" s="28" t="n"/>
      <c r="E161" s="617" t="inlineStr">
        <is>
          <t>F,G</t>
        </is>
      </c>
      <c r="F161" s="640">
        <f>F33</f>
        <v/>
      </c>
      <c r="G161" s="640">
        <f>G33</f>
        <v/>
      </c>
      <c r="H161" s="640">
        <f>H33</f>
        <v/>
      </c>
      <c r="I161" s="640">
        <f>I33</f>
        <v/>
      </c>
      <c r="J161" s="640">
        <f>J33</f>
        <v/>
      </c>
      <c r="K161" s="640">
        <f>K33</f>
        <v/>
      </c>
      <c r="L161" s="640">
        <f>L33</f>
        <v/>
      </c>
      <c r="M161" s="640">
        <f>M33</f>
        <v/>
      </c>
      <c r="N161" s="640">
        <f>N33</f>
        <v/>
      </c>
      <c r="O161" s="640">
        <f>O33</f>
        <v/>
      </c>
      <c r="P161" s="640">
        <f>P33</f>
        <v/>
      </c>
      <c r="Q161" s="640">
        <f>Q33</f>
        <v/>
      </c>
    </row>
    <row r="162">
      <c r="C162" s="13" t="inlineStr">
        <is>
          <t>工程</t>
        </is>
      </c>
      <c r="D162" s="13" t="n"/>
      <c r="E162" s="29" t="inlineStr">
        <is>
          <t>保有台数</t>
        </is>
      </c>
      <c r="F162" s="30" t="inlineStr">
        <is>
          <t>1月</t>
        </is>
      </c>
      <c r="G162" s="30" t="inlineStr">
        <is>
          <t>2月</t>
        </is>
      </c>
      <c r="H162" s="30" t="inlineStr">
        <is>
          <t>3月</t>
        </is>
      </c>
      <c r="I162" s="30" t="inlineStr">
        <is>
          <t>4月</t>
        </is>
      </c>
      <c r="J162" s="30" t="inlineStr">
        <is>
          <t>5月</t>
        </is>
      </c>
      <c r="K162" s="30" t="inlineStr">
        <is>
          <t>6月</t>
        </is>
      </c>
      <c r="L162" s="45" t="inlineStr">
        <is>
          <t>7月</t>
        </is>
      </c>
      <c r="M162" s="45" t="inlineStr">
        <is>
          <t>8月</t>
        </is>
      </c>
      <c r="N162" s="30" t="inlineStr">
        <is>
          <t>9月</t>
        </is>
      </c>
      <c r="O162" s="30" t="inlineStr">
        <is>
          <t>10月</t>
        </is>
      </c>
      <c r="P162" s="30" t="inlineStr">
        <is>
          <t>11月</t>
        </is>
      </c>
      <c r="Q162" s="30" t="inlineStr">
        <is>
          <t>12月</t>
        </is>
      </c>
      <c r="R162" s="56" t="inlineStr">
        <is>
          <t>目標値</t>
        </is>
      </c>
    </row>
    <row r="163">
      <c r="B163" s="1020" t="inlineStr">
        <is>
          <t>切削系</t>
        </is>
      </c>
      <c r="C163" s="641" t="inlineStr">
        <is>
          <t>LA</t>
        </is>
      </c>
      <c r="D163" s="17" t="n"/>
      <c r="E163" s="18">
        <f>SUM(E35)</f>
        <v/>
      </c>
      <c r="F163" s="36">
        <f>SUM(F12/$E$163/$H$159)</f>
        <v/>
      </c>
      <c r="G163" s="36">
        <f>SUM(G12/$E$163/$H$159)</f>
        <v/>
      </c>
      <c r="H163" s="1205" t="n">
        <v>41367</v>
      </c>
      <c r="I163" s="36">
        <f>SUM(I12/$E$163/$H$159)</f>
        <v/>
      </c>
      <c r="J163" s="36">
        <f>SUM(J12/$E$163/$H$159)</f>
        <v/>
      </c>
      <c r="K163" s="36">
        <f>SUM(K12/$E$163/$H$159)</f>
        <v/>
      </c>
      <c r="L163" s="36">
        <f>SUM(L12/$E$163/$H$159)</f>
        <v/>
      </c>
      <c r="M163" s="36">
        <f>SUM(M12/$E$163/$H$159)</f>
        <v/>
      </c>
      <c r="N163" s="36">
        <f>SUM(N12/$E$163/$H$159)</f>
        <v/>
      </c>
      <c r="O163" s="36">
        <f>SUM(O12/$E$163/$H$159)</f>
        <v/>
      </c>
      <c r="P163" s="36">
        <f>SUM(P12/$E$163/$H$159)</f>
        <v/>
      </c>
      <c r="Q163" s="36">
        <f>SUM(Q12/$E$163/$H$159)</f>
        <v/>
      </c>
      <c r="R163" s="57" t="n">
        <v>30</v>
      </c>
    </row>
    <row r="164">
      <c r="B164" s="1069" t="n"/>
      <c r="C164" s="638" t="inlineStr">
        <is>
          <t>LN</t>
        </is>
      </c>
      <c r="D164" s="17" t="n"/>
      <c r="E164" s="18">
        <f>SUM(E37)</f>
        <v/>
      </c>
      <c r="F164" s="36">
        <f>SUM(F13/$E$164/$H$159)</f>
        <v/>
      </c>
      <c r="G164" s="36">
        <f>SUM(G13/$E$164/$H$159)</f>
        <v/>
      </c>
      <c r="H164" s="1205" t="n">
        <v>130586</v>
      </c>
      <c r="I164" s="36">
        <f>SUM(I13/$E$164/$H$159)</f>
        <v/>
      </c>
      <c r="J164" s="36">
        <f>SUM(J13/$E$164/$H$159)</f>
        <v/>
      </c>
      <c r="K164" s="36">
        <f>SUM(K13/$E$164/$H$159)</f>
        <v/>
      </c>
      <c r="L164" s="36">
        <f>SUM(L13/$E$164/$H$159)</f>
        <v/>
      </c>
      <c r="M164" s="36">
        <f>SUM(M13/$E$164/$H$159)</f>
        <v/>
      </c>
      <c r="N164" s="36">
        <f>SUM(N13/$E$164/$H$159)</f>
        <v/>
      </c>
      <c r="O164" s="36">
        <f>SUM(O13/$E$164/$H$159)</f>
        <v/>
      </c>
      <c r="P164" s="36">
        <f>SUM(P13/$E$164/$H$159)</f>
        <v/>
      </c>
      <c r="Q164" s="36">
        <f>SUM(Q13/$E$164/$H$159)</f>
        <v/>
      </c>
      <c r="R164" s="57" t="n">
        <v>30</v>
      </c>
    </row>
    <row r="165">
      <c r="B165" s="1069" t="n"/>
      <c r="C165" s="641" t="inlineStr">
        <is>
          <t>MA</t>
        </is>
      </c>
      <c r="D165" s="17" t="n"/>
      <c r="E165" s="18">
        <f>SUM(E39)</f>
        <v/>
      </c>
      <c r="F165" s="36">
        <f>SUM(F14/$E$165/$H$159)</f>
        <v/>
      </c>
      <c r="G165" s="36">
        <f>SUM(G14/$E$165/$H$159)</f>
        <v/>
      </c>
      <c r="H165" s="1205" t="n">
        <v>41214</v>
      </c>
      <c r="I165" s="36">
        <f>SUM(I14/$E$165/$H$159)</f>
        <v/>
      </c>
      <c r="J165" s="36">
        <f>SUM(J14/$E$165/$H$159)</f>
        <v/>
      </c>
      <c r="K165" s="36">
        <f>SUM(K14/$E$165/$H$159)</f>
        <v/>
      </c>
      <c r="L165" s="36">
        <f>SUM(L14/$E$165/$H$159)</f>
        <v/>
      </c>
      <c r="M165" s="36">
        <f>SUM(M14/$E$165/$H$159)</f>
        <v/>
      </c>
      <c r="N165" s="36">
        <f>SUM(N14/$E$165/$H$159)</f>
        <v/>
      </c>
      <c r="O165" s="36">
        <f>SUM(O14/$E$165/$H$159)</f>
        <v/>
      </c>
      <c r="P165" s="36">
        <f>SUM(P14/$E$165/$H$159)</f>
        <v/>
      </c>
      <c r="Q165" s="36">
        <f>SUM(Q14/$E$165/$H$159)</f>
        <v/>
      </c>
      <c r="R165" s="57" t="n">
        <v>30</v>
      </c>
    </row>
    <row r="166">
      <c r="B166" s="1069" t="n"/>
      <c r="C166" s="641" t="inlineStr">
        <is>
          <t>BJ</t>
        </is>
      </c>
      <c r="D166" s="17" t="n"/>
      <c r="E166" s="18">
        <f>SUM(E41)</f>
        <v/>
      </c>
      <c r="F166" s="36">
        <f>SUM(F15/$E$166/$H$159)</f>
        <v/>
      </c>
      <c r="G166" s="36">
        <f>SUM(G15/$E$166/$H$159)</f>
        <v/>
      </c>
      <c r="H166" s="1205" t="n">
        <v>127753</v>
      </c>
      <c r="I166" s="36">
        <f>SUM(I15/$E$166/$H$159)</f>
        <v/>
      </c>
      <c r="J166" s="36">
        <f>SUM(J15/$E$166/$H$159)</f>
        <v/>
      </c>
      <c r="K166" s="36">
        <f>SUM(K15/$E$166/$H$159)</f>
        <v/>
      </c>
      <c r="L166" s="36">
        <f>SUM(L15/$E$166/$H$159)</f>
        <v/>
      </c>
      <c r="M166" s="36">
        <f>SUM(M15/$E$166/$H$159)</f>
        <v/>
      </c>
      <c r="N166" s="36">
        <f>SUM(N15/$E$166/$H$159)</f>
        <v/>
      </c>
      <c r="O166" s="36">
        <f>SUM(O15/$E$166/$H$159)</f>
        <v/>
      </c>
      <c r="P166" s="36">
        <f>SUM(P15/$E$166/$H$159)</f>
        <v/>
      </c>
      <c r="Q166" s="36">
        <f>SUM(Q15/$E$166/$H$159)</f>
        <v/>
      </c>
      <c r="R166" s="57" t="n">
        <v>30</v>
      </c>
    </row>
    <row r="167">
      <c r="B167" s="1069" t="n"/>
      <c r="C167" s="641" t="inlineStr">
        <is>
          <t>DA</t>
        </is>
      </c>
      <c r="D167" s="17" t="n"/>
      <c r="E167" s="18">
        <f>SUM(E43)</f>
        <v/>
      </c>
      <c r="F167" s="36">
        <f>SUM(F16/$E$167/$H$159)</f>
        <v/>
      </c>
      <c r="G167" s="36">
        <f>SUM(G16/$E$167/$H$159)</f>
        <v/>
      </c>
      <c r="H167" s="1205" t="n">
        <v>10671</v>
      </c>
      <c r="I167" s="36">
        <f>SUM(I16/$E$167/$H$159)</f>
        <v/>
      </c>
      <c r="J167" s="36">
        <f>SUM(J16/$E$167/$H$159)</f>
        <v/>
      </c>
      <c r="K167" s="36">
        <f>SUM(K16/$E$167/$H$159)</f>
        <v/>
      </c>
      <c r="L167" s="36">
        <f>SUM(L16/$E$167/$H$159)</f>
        <v/>
      </c>
      <c r="M167" s="36">
        <f>SUM(M16/$E$167/$H$159)</f>
        <v/>
      </c>
      <c r="N167" s="36">
        <f>SUM(N16/$E$167/$H$159)</f>
        <v/>
      </c>
      <c r="O167" s="36">
        <f>SUM(O16/$E$167/$H$159)</f>
        <v/>
      </c>
      <c r="P167" s="36">
        <f>SUM(P16/$E$167/$H$159)</f>
        <v/>
      </c>
      <c r="Q167" s="36">
        <f>SUM(Q16/$E$167/$H$159)</f>
        <v/>
      </c>
      <c r="R167" s="57" t="n">
        <v>30</v>
      </c>
    </row>
    <row r="168">
      <c r="B168" s="1080" t="n"/>
      <c r="C168" s="638" t="inlineStr">
        <is>
          <t>MC</t>
        </is>
      </c>
      <c r="D168" s="17" t="n"/>
      <c r="E168" s="18">
        <f>SUM(E45)</f>
        <v/>
      </c>
      <c r="F168" s="36">
        <f>SUM(F17/$E$168/$H$159)</f>
        <v/>
      </c>
      <c r="G168" s="36">
        <f>SUM(G17/$E$168/$H$159)</f>
        <v/>
      </c>
      <c r="H168" s="1205" t="n">
        <v>150299</v>
      </c>
      <c r="I168" s="36">
        <f>SUM(I17/$E$168/$H$159)</f>
        <v/>
      </c>
      <c r="J168" s="36">
        <f>SUM(J17/$E$168/$H$159)</f>
        <v/>
      </c>
      <c r="K168" s="36">
        <f>SUM(K17/$E$168/$H$159)</f>
        <v/>
      </c>
      <c r="L168" s="36">
        <f>SUM(L17/$E$168/$H$159)</f>
        <v/>
      </c>
      <c r="M168" s="36">
        <f>SUM(M17/$E$168/$H$159)</f>
        <v/>
      </c>
      <c r="N168" s="36">
        <f>SUM(N17/$E$168/$H$159)</f>
        <v/>
      </c>
      <c r="O168" s="36">
        <f>SUM(O17/$E$168/$H$159)</f>
        <v/>
      </c>
      <c r="P168" s="36">
        <f>SUM(P17/$E$168/$H$159)</f>
        <v/>
      </c>
      <c r="Q168" s="36">
        <f>SUM(Q17/$E$168/$H$159)</f>
        <v/>
      </c>
      <c r="R168" s="57" t="n">
        <v>30</v>
      </c>
    </row>
    <row r="169">
      <c r="B169" s="1020" t="inlineStr">
        <is>
          <t>研削系</t>
        </is>
      </c>
      <c r="C169" s="641" t="inlineStr">
        <is>
          <t>GS</t>
        </is>
      </c>
      <c r="D169" s="17" t="n"/>
      <c r="E169" s="18">
        <f>SUM(E47)</f>
        <v/>
      </c>
      <c r="F169" s="36">
        <f>SUM(F18/$E$169/$H$159)</f>
        <v/>
      </c>
      <c r="G169" s="36">
        <f>SUM(G18/$E$169/$H$159)</f>
        <v/>
      </c>
      <c r="H169" s="1205" t="n">
        <v>231025</v>
      </c>
      <c r="I169" s="36">
        <f>SUM(I18/$E$169/$H$159)</f>
        <v/>
      </c>
      <c r="J169" s="36">
        <f>SUM(J18/$E$169/$H$159)</f>
        <v/>
      </c>
      <c r="K169" s="36">
        <f>SUM(K18/$E$169/$H$159)</f>
        <v/>
      </c>
      <c r="L169" s="36">
        <f>SUM(L18/$E$169/$H$159)</f>
        <v/>
      </c>
      <c r="M169" s="36">
        <f>SUM(M18/$E$169/$H$159)</f>
        <v/>
      </c>
      <c r="N169" s="36">
        <f>SUM(N18/$E$169/$H$159)</f>
        <v/>
      </c>
      <c r="O169" s="36">
        <f>SUM(O18/$E$169/$H$159)</f>
        <v/>
      </c>
      <c r="P169" s="36">
        <f>SUM(P18/$E$169/$H$159)</f>
        <v/>
      </c>
      <c r="Q169" s="36">
        <f>SUM(Q18/$E$169/$H$159)</f>
        <v/>
      </c>
      <c r="R169" s="57" t="n">
        <v>30</v>
      </c>
    </row>
    <row r="170">
      <c r="B170" s="1069" t="n"/>
      <c r="C170" s="641" t="inlineStr">
        <is>
          <t>GR</t>
        </is>
      </c>
      <c r="D170" s="17" t="n"/>
      <c r="E170" s="18">
        <f>SUM(E49)</f>
        <v/>
      </c>
      <c r="F170" s="36">
        <f>SUM(F19/$E$170/$H$159)</f>
        <v/>
      </c>
      <c r="G170" s="36">
        <f>SUM(G19/$E$170/$H$159)</f>
        <v/>
      </c>
      <c r="H170" s="1205" t="n">
        <v>82005</v>
      </c>
      <c r="I170" s="36">
        <f>SUM(I19/$E$170/$H$159)</f>
        <v/>
      </c>
      <c r="J170" s="36">
        <f>SUM(J19/$E$170/$H$159)</f>
        <v/>
      </c>
      <c r="K170" s="36">
        <f>SUM(K19/$E$170/$H$159)</f>
        <v/>
      </c>
      <c r="L170" s="36">
        <f>SUM(L19/$E$170/$H$159)</f>
        <v/>
      </c>
      <c r="M170" s="36">
        <f>SUM(M19/$E$170/$H$159)</f>
        <v/>
      </c>
      <c r="N170" s="36">
        <f>SUM(N19/$E$170/$H$159)</f>
        <v/>
      </c>
      <c r="O170" s="36">
        <f>SUM(O19/$E$170/$H$159)</f>
        <v/>
      </c>
      <c r="P170" s="36">
        <f>SUM(P19/$E$170/$H$159)</f>
        <v/>
      </c>
      <c r="Q170" s="36">
        <f>SUM(Q19/$E$170/$H$159)</f>
        <v/>
      </c>
      <c r="R170" s="57" t="n">
        <v>30</v>
      </c>
    </row>
    <row r="171">
      <c r="B171" s="1069" t="n"/>
      <c r="C171" s="483" t="inlineStr">
        <is>
          <t>GX</t>
        </is>
      </c>
      <c r="D171" s="483" t="n"/>
      <c r="E171" s="483">
        <f>SUM(E51)</f>
        <v/>
      </c>
      <c r="F171" s="493">
        <f>SUM(F20/$E$171/$H$159)</f>
        <v/>
      </c>
      <c r="G171" s="493">
        <f>SUM(G20/$E$171/$H$159)</f>
        <v/>
      </c>
      <c r="H171" s="493">
        <f>SUM(H20/$E$171/$H$159)</f>
        <v/>
      </c>
      <c r="I171" s="493">
        <f>SUM(I20/$E$171/$H$159)</f>
        <v/>
      </c>
      <c r="J171" s="493">
        <f>SUM(J20/$E$171/$H$159)</f>
        <v/>
      </c>
      <c r="K171" s="493">
        <f>SUM(K20/$E$171/$H$159)</f>
        <v/>
      </c>
      <c r="L171" s="493">
        <f>SUM(L20/$E$171/$H$159)</f>
        <v/>
      </c>
      <c r="M171" s="493">
        <f>SUM(M20/$E$171/$H$159)</f>
        <v/>
      </c>
      <c r="N171" s="493">
        <f>SUM(N20/$E$171/$H$159)</f>
        <v/>
      </c>
      <c r="O171" s="493">
        <f>SUM(O20/$E$171/$H$159)</f>
        <v/>
      </c>
      <c r="P171" s="493">
        <f>SUM(P20/$E$171/$H$159)</f>
        <v/>
      </c>
      <c r="Q171" s="493">
        <f>SUM(Q20/$E$171/$H$159)</f>
        <v/>
      </c>
      <c r="R171" s="484" t="n">
        <v>30</v>
      </c>
    </row>
    <row r="172">
      <c r="B172" s="1069" t="n"/>
      <c r="C172" s="641" t="inlineStr">
        <is>
          <t>GC</t>
        </is>
      </c>
      <c r="D172" s="17" t="n"/>
      <c r="E172" s="29">
        <f>SUM(E53)</f>
        <v/>
      </c>
      <c r="F172" s="36">
        <f>SUM(F21/$E$172/$H$159)</f>
        <v/>
      </c>
      <c r="G172" s="36">
        <f>SUM(G21/$E$172/$H$159)</f>
        <v/>
      </c>
      <c r="H172" s="1205" t="n">
        <v>68653</v>
      </c>
      <c r="I172" s="36">
        <f>SUM(I21/$E$172/$H$159)</f>
        <v/>
      </c>
      <c r="J172" s="36">
        <f>SUM(J21/$E$172/$H$159)</f>
        <v/>
      </c>
      <c r="K172" s="36">
        <f>SUM(K21/$E$172/$H$159)</f>
        <v/>
      </c>
      <c r="L172" s="36">
        <f>SUM(L21/$E$172/$H$159)</f>
        <v/>
      </c>
      <c r="M172" s="36">
        <f>SUM(M21/$E$172/$H$159)</f>
        <v/>
      </c>
      <c r="N172" s="36">
        <f>SUM(N21/$E$172/$H$159)</f>
        <v/>
      </c>
      <c r="O172" s="36">
        <f>SUM(O21/$E$172/$H$159)</f>
        <v/>
      </c>
      <c r="P172" s="36">
        <f>SUM(P21/$E$172/$H$159)</f>
        <v/>
      </c>
      <c r="Q172" s="36">
        <f>SUM(Q21/$E$172/$H$159)</f>
        <v/>
      </c>
      <c r="R172" s="57" t="n">
        <v>30</v>
      </c>
    </row>
    <row r="173">
      <c r="B173" s="1069" t="n"/>
      <c r="C173" s="638" t="inlineStr">
        <is>
          <t>GJ</t>
        </is>
      </c>
      <c r="D173" s="17" t="n"/>
      <c r="E173" s="29">
        <f>SUM(E55)</f>
        <v/>
      </c>
      <c r="F173" s="36">
        <f>SUM(F22/$E$173/$H$159)</f>
        <v/>
      </c>
      <c r="G173" s="36">
        <f>SUM(G22/$E$173/$H$159)</f>
        <v/>
      </c>
      <c r="H173" s="1205" t="n">
        <v>53854</v>
      </c>
      <c r="I173" s="36">
        <f>SUM(I22/$E$173/$H$159)</f>
        <v/>
      </c>
      <c r="J173" s="36">
        <f>SUM(J22/$E$173/$H$159)</f>
        <v/>
      </c>
      <c r="K173" s="36">
        <f>SUM(K22/$E$173/$H$159)</f>
        <v/>
      </c>
      <c r="L173" s="36">
        <f>SUM(L22/$E$173/$H$159)</f>
        <v/>
      </c>
      <c r="M173" s="36">
        <f>SUM(M22/$E$173/$H$159)</f>
        <v/>
      </c>
      <c r="N173" s="36">
        <f>SUM(N22/$E$173/$H$159)</f>
        <v/>
      </c>
      <c r="O173" s="36">
        <f>SUM(O22/$E$173/$H$159)</f>
        <v/>
      </c>
      <c r="P173" s="36">
        <f>SUM(P22/$E$173/$H$159)</f>
        <v/>
      </c>
      <c r="Q173" s="36">
        <f>SUM(Q22/$E$173/$H$159)</f>
        <v/>
      </c>
      <c r="R173" s="57" t="n">
        <v>30</v>
      </c>
    </row>
    <row r="174">
      <c r="B174" s="1080" t="n"/>
      <c r="C174" s="638" t="inlineStr">
        <is>
          <t>GP</t>
        </is>
      </c>
      <c r="D174" s="17" t="n"/>
      <c r="E174" s="18">
        <f>SUM(E57)</f>
        <v/>
      </c>
      <c r="F174" s="36">
        <f>SUM(F23/$E$174/$H$159)</f>
        <v/>
      </c>
      <c r="G174" s="36">
        <f>SUM(G23/$E$174/$H$159)</f>
        <v/>
      </c>
      <c r="H174" s="1205" t="n">
        <v>73627</v>
      </c>
      <c r="I174" s="36">
        <f>SUM(I23/$E$174/$H$159)</f>
        <v/>
      </c>
      <c r="J174" s="36">
        <f>SUM(J23/$E$174/$H$159)</f>
        <v/>
      </c>
      <c r="K174" s="36">
        <f>SUM(K23/$E$174/$H$159)</f>
        <v/>
      </c>
      <c r="L174" s="36">
        <f>SUM(L23/$E$174/$H$159)</f>
        <v/>
      </c>
      <c r="M174" s="36">
        <f>SUM(M23/$E$174/$H$159)</f>
        <v/>
      </c>
      <c r="N174" s="36">
        <f>SUM(N23/$E$174/$H$159)</f>
        <v/>
      </c>
      <c r="O174" s="36">
        <f>SUM(O23/$E$174/$H$159)</f>
        <v/>
      </c>
      <c r="P174" s="36">
        <f>SUM(P23/$E$174/$H$159)</f>
        <v/>
      </c>
      <c r="Q174" s="36">
        <f>SUM(Q23/$E$174/$H$159)</f>
        <v/>
      </c>
      <c r="R174" s="57" t="n">
        <v>30</v>
      </c>
    </row>
    <row r="175">
      <c r="B175" s="1020" t="inlineStr">
        <is>
          <t>放電系</t>
        </is>
      </c>
      <c r="C175" s="638" t="inlineStr">
        <is>
          <t>EN</t>
        </is>
      </c>
      <c r="D175" s="17" t="n"/>
      <c r="E175" s="18">
        <f>SUM(E59)</f>
        <v/>
      </c>
      <c r="F175" s="36">
        <f>SUM(F24/$E$175/$H$159)</f>
        <v/>
      </c>
      <c r="G175" s="36">
        <f>SUM(G24/$E$175/$H$159)</f>
        <v/>
      </c>
      <c r="H175" s="1205" t="n">
        <v>158482</v>
      </c>
      <c r="I175" s="36">
        <f>SUM(I24/$E$175/$H$159)</f>
        <v/>
      </c>
      <c r="J175" s="36">
        <f>SUM(J24/$E$175/$H$159)</f>
        <v/>
      </c>
      <c r="K175" s="36">
        <f>SUM(K24/$E$175/$H$159)</f>
        <v/>
      </c>
      <c r="L175" s="36">
        <f>SUM(L24/$E$175/$H$159)</f>
        <v/>
      </c>
      <c r="M175" s="36">
        <f>SUM(M24/$E$175/$H$159)</f>
        <v/>
      </c>
      <c r="N175" s="36">
        <f>SUM(N24/$E$175/$H$159)</f>
        <v/>
      </c>
      <c r="O175" s="36">
        <f>SUM(O24/$E$175/$H$159)</f>
        <v/>
      </c>
      <c r="P175" s="36">
        <f>SUM(P24/$E$175/$H$159)</f>
        <v/>
      </c>
      <c r="Q175" s="36">
        <f>SUM(Q24/$E$175/$H$159)</f>
        <v/>
      </c>
      <c r="R175" s="57" t="n">
        <v>30</v>
      </c>
    </row>
    <row r="176">
      <c r="B176" s="1069" t="n"/>
      <c r="C176" s="483" t="inlineStr">
        <is>
          <t>ES</t>
        </is>
      </c>
      <c r="D176" s="483" t="n"/>
      <c r="E176" s="483">
        <f>SUM(E61)</f>
        <v/>
      </c>
      <c r="F176" s="493">
        <f>SUM(F25/$E$176/$H$159)</f>
        <v/>
      </c>
      <c r="G176" s="493">
        <f>SUM(G25/$E$176/$H$159)</f>
        <v/>
      </c>
      <c r="H176" s="493">
        <f>SUM(H25/$E$176/$H$159)</f>
        <v/>
      </c>
      <c r="I176" s="493">
        <f>SUM(I25/$E$176/$H$159)</f>
        <v/>
      </c>
      <c r="J176" s="493">
        <f>SUM(J25/$E$176/$H$159)</f>
        <v/>
      </c>
      <c r="K176" s="493">
        <f>SUM(K25/$E$176/$H$159)</f>
        <v/>
      </c>
      <c r="L176" s="493">
        <f>SUM(L25/$E$176/$H$159)</f>
        <v/>
      </c>
      <c r="M176" s="493">
        <f>SUM(M25/$E$176/$H$159)</f>
        <v/>
      </c>
      <c r="N176" s="493">
        <f>SUM(N25/$E$176/$H$159)</f>
        <v/>
      </c>
      <c r="O176" s="493">
        <f>SUM(O25/$E$176/$H$159)</f>
        <v/>
      </c>
      <c r="P176" s="493">
        <f>SUM(P25/$E$176/$H$159)</f>
        <v/>
      </c>
      <c r="Q176" s="493">
        <f>SUM(Q25/$E$176/$H$159)</f>
        <v/>
      </c>
      <c r="R176" s="484" t="n">
        <v>30</v>
      </c>
    </row>
    <row r="177">
      <c r="B177" s="1080" t="n"/>
      <c r="C177" s="638" t="inlineStr">
        <is>
          <t>EW</t>
        </is>
      </c>
      <c r="D177" s="17" t="n"/>
      <c r="E177" s="18">
        <f>SUM(E63)</f>
        <v/>
      </c>
      <c r="F177" s="36">
        <f>SUM(F26/$E$177/$H$159)</f>
        <v/>
      </c>
      <c r="G177" s="36">
        <f>SUM(G26/$E$177/$H$159)</f>
        <v/>
      </c>
      <c r="H177" s="1205" t="n">
        <v>258135</v>
      </c>
      <c r="I177" s="36">
        <f>SUM(I26/$E$177/$H$159)</f>
        <v/>
      </c>
      <c r="J177" s="36">
        <f>SUM(J26/$E$177/$H$159)</f>
        <v/>
      </c>
      <c r="K177" s="36">
        <f>SUM(K26/$E$177/$H$159)</f>
        <v/>
      </c>
      <c r="L177" s="36">
        <f>SUM(L26/$E$177/$H$159)</f>
        <v/>
      </c>
      <c r="M177" s="36">
        <f>SUM(M26/$E$177/$H$159)</f>
        <v/>
      </c>
      <c r="N177" s="36">
        <f>SUM(N26/$E$177/$H$159)</f>
        <v/>
      </c>
      <c r="O177" s="36">
        <f>SUM(O26/$E$177/$H$159)</f>
        <v/>
      </c>
      <c r="P177" s="36">
        <f>SUM(P26/$E$177/$H$159)</f>
        <v/>
      </c>
      <c r="Q177" s="36">
        <f>SUM(Q26/$E$177/$H$159)</f>
        <v/>
      </c>
      <c r="R177" s="57" t="n">
        <v>30</v>
      </c>
    </row>
  </sheetData>
  <mergeCells count="10">
    <mergeCell ref="B35:B46"/>
    <mergeCell ref="D9:D10"/>
    <mergeCell ref="B12:B17"/>
    <mergeCell ref="B18:B23"/>
    <mergeCell ref="B169:B174"/>
    <mergeCell ref="B163:B168"/>
    <mergeCell ref="B175:B177"/>
    <mergeCell ref="B47:B58"/>
    <mergeCell ref="B24:B26"/>
    <mergeCell ref="B59:B64"/>
  </mergeCells>
  <pageMargins left="0.787" right="0.787" top="0.984" bottom="0.984" header="0.512" footer="0.512"/>
  <pageSetup orientation="landscape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AF70"/>
  <sheetViews>
    <sheetView zoomScale="90" zoomScaleNormal="90" zoomScaleSheetLayoutView="100" workbookViewId="0">
      <pane xSplit="8" ySplit="8" topLeftCell="I9" activePane="bottomRight" state="frozen"/>
      <selection pane="topRight" activeCell="I1" sqref="I1"/>
      <selection pane="bottomLeft" activeCell="A6" sqref="A6"/>
      <selection pane="bottomRight" activeCell="K18" sqref="K18"/>
    </sheetView>
  </sheetViews>
  <sheetFormatPr baseColWidth="8" defaultRowHeight="13.2"/>
  <cols>
    <col width="10.44140625" bestFit="1" customWidth="1" style="245" min="1" max="1"/>
    <col width="2.88671875" bestFit="1" customWidth="1" style="246" min="2" max="2"/>
    <col width="22.44140625" customWidth="1" style="245" min="3" max="3"/>
    <col width="25.109375" customWidth="1" style="245" min="4" max="4"/>
    <col width="5.33203125" customWidth="1" style="246" min="5" max="5"/>
    <col width="9.5546875" bestFit="1" customWidth="1" style="246" min="6" max="6"/>
    <col width="15" bestFit="1" customWidth="1" style="245" min="7" max="7"/>
    <col width="9" customWidth="1" style="247" min="8" max="8"/>
    <col width="9.44140625" customWidth="1" style="246" min="9" max="9"/>
    <col width="9.44140625" bestFit="1" customWidth="1" style="248" min="10" max="10"/>
    <col width="9" bestFit="1" customWidth="1" style="248" min="11" max="20"/>
    <col width="12" bestFit="1" customWidth="1" style="248" min="21" max="21"/>
    <col width="36.88671875" bestFit="1" customWidth="1" style="245" min="22" max="22"/>
    <col width="9" customWidth="1" style="245" min="23" max="253"/>
    <col width="5.88671875" customWidth="1" style="245" min="254" max="254"/>
    <col width="30.6640625" bestFit="1" customWidth="1" style="245" min="255" max="255"/>
    <col width="10.5546875" bestFit="1" customWidth="1" style="245" min="256" max="256"/>
    <col width="6" bestFit="1" customWidth="1" style="245" min="257" max="257"/>
    <col width="7.88671875" bestFit="1" customWidth="1" style="245" min="258" max="262"/>
    <col width="9" bestFit="1" customWidth="1" style="245" min="263" max="269"/>
    <col width="9" customWidth="1" style="245" min="270" max="270"/>
    <col width="10.33203125" bestFit="1" customWidth="1" style="245" min="271" max="271"/>
    <col width="9" customWidth="1" style="245" min="272" max="509"/>
    <col width="5.88671875" customWidth="1" style="245" min="510" max="510"/>
    <col width="30.6640625" bestFit="1" customWidth="1" style="245" min="511" max="511"/>
    <col width="10.5546875" bestFit="1" customWidth="1" style="245" min="512" max="512"/>
    <col width="6" bestFit="1" customWidth="1" style="245" min="513" max="513"/>
    <col width="7.88671875" bestFit="1" customWidth="1" style="245" min="514" max="518"/>
    <col width="9" bestFit="1" customWidth="1" style="245" min="519" max="525"/>
    <col width="9" customWidth="1" style="245" min="526" max="526"/>
    <col width="10.33203125" bestFit="1" customWidth="1" style="245" min="527" max="527"/>
    <col width="9" customWidth="1" style="245" min="528" max="765"/>
    <col width="5.88671875" customWidth="1" style="245" min="766" max="766"/>
    <col width="30.6640625" bestFit="1" customWidth="1" style="245" min="767" max="767"/>
    <col width="10.5546875" bestFit="1" customWidth="1" style="245" min="768" max="768"/>
    <col width="6" bestFit="1" customWidth="1" style="245" min="769" max="769"/>
    <col width="7.88671875" bestFit="1" customWidth="1" style="245" min="770" max="774"/>
    <col width="9" bestFit="1" customWidth="1" style="245" min="775" max="781"/>
    <col width="9" customWidth="1" style="245" min="782" max="782"/>
    <col width="10.33203125" bestFit="1" customWidth="1" style="245" min="783" max="783"/>
    <col width="9" customWidth="1" style="245" min="784" max="1021"/>
    <col width="5.88671875" customWidth="1" style="245" min="1022" max="1022"/>
    <col width="30.6640625" bestFit="1" customWidth="1" style="245" min="1023" max="1023"/>
    <col width="10.5546875" bestFit="1" customWidth="1" style="245" min="1024" max="1024"/>
    <col width="6" bestFit="1" customWidth="1" style="245" min="1025" max="1025"/>
    <col width="7.88671875" bestFit="1" customWidth="1" style="245" min="1026" max="1030"/>
    <col width="9" bestFit="1" customWidth="1" style="245" min="1031" max="1037"/>
    <col width="9" customWidth="1" style="245" min="1038" max="1038"/>
    <col width="10.33203125" bestFit="1" customWidth="1" style="245" min="1039" max="1039"/>
    <col width="9" customWidth="1" style="245" min="1040" max="1277"/>
    <col width="5.88671875" customWidth="1" style="245" min="1278" max="1278"/>
    <col width="30.6640625" bestFit="1" customWidth="1" style="245" min="1279" max="1279"/>
    <col width="10.5546875" bestFit="1" customWidth="1" style="245" min="1280" max="1280"/>
    <col width="6" bestFit="1" customWidth="1" style="245" min="1281" max="1281"/>
    <col width="7.88671875" bestFit="1" customWidth="1" style="245" min="1282" max="1286"/>
    <col width="9" bestFit="1" customWidth="1" style="245" min="1287" max="1293"/>
    <col width="9" customWidth="1" style="245" min="1294" max="1294"/>
    <col width="10.33203125" bestFit="1" customWidth="1" style="245" min="1295" max="1295"/>
    <col width="9" customWidth="1" style="245" min="1296" max="1533"/>
    <col width="5.88671875" customWidth="1" style="245" min="1534" max="1534"/>
    <col width="30.6640625" bestFit="1" customWidth="1" style="245" min="1535" max="1535"/>
    <col width="10.5546875" bestFit="1" customWidth="1" style="245" min="1536" max="1536"/>
    <col width="6" bestFit="1" customWidth="1" style="245" min="1537" max="1537"/>
    <col width="7.88671875" bestFit="1" customWidth="1" style="245" min="1538" max="1542"/>
    <col width="9" bestFit="1" customWidth="1" style="245" min="1543" max="1549"/>
    <col width="9" customWidth="1" style="245" min="1550" max="1550"/>
    <col width="10.33203125" bestFit="1" customWidth="1" style="245" min="1551" max="1551"/>
    <col width="9" customWidth="1" style="245" min="1552" max="1789"/>
    <col width="5.88671875" customWidth="1" style="245" min="1790" max="1790"/>
    <col width="30.6640625" bestFit="1" customWidth="1" style="245" min="1791" max="1791"/>
    <col width="10.5546875" bestFit="1" customWidth="1" style="245" min="1792" max="1792"/>
    <col width="6" bestFit="1" customWidth="1" style="245" min="1793" max="1793"/>
    <col width="7.88671875" bestFit="1" customWidth="1" style="245" min="1794" max="1798"/>
    <col width="9" bestFit="1" customWidth="1" style="245" min="1799" max="1805"/>
    <col width="9" customWidth="1" style="245" min="1806" max="1806"/>
    <col width="10.33203125" bestFit="1" customWidth="1" style="245" min="1807" max="1807"/>
    <col width="9" customWidth="1" style="245" min="1808" max="2045"/>
    <col width="5.88671875" customWidth="1" style="245" min="2046" max="2046"/>
    <col width="30.6640625" bestFit="1" customWidth="1" style="245" min="2047" max="2047"/>
    <col width="10.5546875" bestFit="1" customWidth="1" style="245" min="2048" max="2048"/>
    <col width="6" bestFit="1" customWidth="1" style="245" min="2049" max="2049"/>
    <col width="7.88671875" bestFit="1" customWidth="1" style="245" min="2050" max="2054"/>
    <col width="9" bestFit="1" customWidth="1" style="245" min="2055" max="2061"/>
    <col width="9" customWidth="1" style="245" min="2062" max="2062"/>
    <col width="10.33203125" bestFit="1" customWidth="1" style="245" min="2063" max="2063"/>
    <col width="9" customWidth="1" style="245" min="2064" max="2301"/>
    <col width="5.88671875" customWidth="1" style="245" min="2302" max="2302"/>
    <col width="30.6640625" bestFit="1" customWidth="1" style="245" min="2303" max="2303"/>
    <col width="10.5546875" bestFit="1" customWidth="1" style="245" min="2304" max="2304"/>
    <col width="6" bestFit="1" customWidth="1" style="245" min="2305" max="2305"/>
    <col width="7.88671875" bestFit="1" customWidth="1" style="245" min="2306" max="2310"/>
    <col width="9" bestFit="1" customWidth="1" style="245" min="2311" max="2317"/>
    <col width="9" customWidth="1" style="245" min="2318" max="2318"/>
    <col width="10.33203125" bestFit="1" customWidth="1" style="245" min="2319" max="2319"/>
    <col width="9" customWidth="1" style="245" min="2320" max="2557"/>
    <col width="5.88671875" customWidth="1" style="245" min="2558" max="2558"/>
    <col width="30.6640625" bestFit="1" customWidth="1" style="245" min="2559" max="2559"/>
    <col width="10.5546875" bestFit="1" customWidth="1" style="245" min="2560" max="2560"/>
    <col width="6" bestFit="1" customWidth="1" style="245" min="2561" max="2561"/>
    <col width="7.88671875" bestFit="1" customWidth="1" style="245" min="2562" max="2566"/>
    <col width="9" bestFit="1" customWidth="1" style="245" min="2567" max="2573"/>
    <col width="9" customWidth="1" style="245" min="2574" max="2574"/>
    <col width="10.33203125" bestFit="1" customWidth="1" style="245" min="2575" max="2575"/>
    <col width="9" customWidth="1" style="245" min="2576" max="2813"/>
    <col width="5.88671875" customWidth="1" style="245" min="2814" max="2814"/>
    <col width="30.6640625" bestFit="1" customWidth="1" style="245" min="2815" max="2815"/>
    <col width="10.5546875" bestFit="1" customWidth="1" style="245" min="2816" max="2816"/>
    <col width="6" bestFit="1" customWidth="1" style="245" min="2817" max="2817"/>
    <col width="7.88671875" bestFit="1" customWidth="1" style="245" min="2818" max="2822"/>
    <col width="9" bestFit="1" customWidth="1" style="245" min="2823" max="2829"/>
    <col width="9" customWidth="1" style="245" min="2830" max="2830"/>
    <col width="10.33203125" bestFit="1" customWidth="1" style="245" min="2831" max="2831"/>
    <col width="9" customWidth="1" style="245" min="2832" max="3069"/>
    <col width="5.88671875" customWidth="1" style="245" min="3070" max="3070"/>
    <col width="30.6640625" bestFit="1" customWidth="1" style="245" min="3071" max="3071"/>
    <col width="10.5546875" bestFit="1" customWidth="1" style="245" min="3072" max="3072"/>
    <col width="6" bestFit="1" customWidth="1" style="245" min="3073" max="3073"/>
    <col width="7.88671875" bestFit="1" customWidth="1" style="245" min="3074" max="3078"/>
    <col width="9" bestFit="1" customWidth="1" style="245" min="3079" max="3085"/>
    <col width="9" customWidth="1" style="245" min="3086" max="3086"/>
    <col width="10.33203125" bestFit="1" customWidth="1" style="245" min="3087" max="3087"/>
    <col width="9" customWidth="1" style="245" min="3088" max="3325"/>
    <col width="5.88671875" customWidth="1" style="245" min="3326" max="3326"/>
    <col width="30.6640625" bestFit="1" customWidth="1" style="245" min="3327" max="3327"/>
    <col width="10.5546875" bestFit="1" customWidth="1" style="245" min="3328" max="3328"/>
    <col width="6" bestFit="1" customWidth="1" style="245" min="3329" max="3329"/>
    <col width="7.88671875" bestFit="1" customWidth="1" style="245" min="3330" max="3334"/>
    <col width="9" bestFit="1" customWidth="1" style="245" min="3335" max="3341"/>
    <col width="9" customWidth="1" style="245" min="3342" max="3342"/>
    <col width="10.33203125" bestFit="1" customWidth="1" style="245" min="3343" max="3343"/>
    <col width="9" customWidth="1" style="245" min="3344" max="3581"/>
    <col width="5.88671875" customWidth="1" style="245" min="3582" max="3582"/>
    <col width="30.6640625" bestFit="1" customWidth="1" style="245" min="3583" max="3583"/>
    <col width="10.5546875" bestFit="1" customWidth="1" style="245" min="3584" max="3584"/>
    <col width="6" bestFit="1" customWidth="1" style="245" min="3585" max="3585"/>
    <col width="7.88671875" bestFit="1" customWidth="1" style="245" min="3586" max="3590"/>
    <col width="9" bestFit="1" customWidth="1" style="245" min="3591" max="3597"/>
    <col width="9" customWidth="1" style="245" min="3598" max="3598"/>
    <col width="10.33203125" bestFit="1" customWidth="1" style="245" min="3599" max="3599"/>
    <col width="9" customWidth="1" style="245" min="3600" max="3837"/>
    <col width="5.88671875" customWidth="1" style="245" min="3838" max="3838"/>
    <col width="30.6640625" bestFit="1" customWidth="1" style="245" min="3839" max="3839"/>
    <col width="10.5546875" bestFit="1" customWidth="1" style="245" min="3840" max="3840"/>
    <col width="6" bestFit="1" customWidth="1" style="245" min="3841" max="3841"/>
    <col width="7.88671875" bestFit="1" customWidth="1" style="245" min="3842" max="3846"/>
    <col width="9" bestFit="1" customWidth="1" style="245" min="3847" max="3853"/>
    <col width="9" customWidth="1" style="245" min="3854" max="3854"/>
    <col width="10.33203125" bestFit="1" customWidth="1" style="245" min="3855" max="3855"/>
    <col width="9" customWidth="1" style="245" min="3856" max="4093"/>
    <col width="5.88671875" customWidth="1" style="245" min="4094" max="4094"/>
    <col width="30.6640625" bestFit="1" customWidth="1" style="245" min="4095" max="4095"/>
    <col width="10.5546875" bestFit="1" customWidth="1" style="245" min="4096" max="4096"/>
    <col width="6" bestFit="1" customWidth="1" style="245" min="4097" max="4097"/>
    <col width="7.88671875" bestFit="1" customWidth="1" style="245" min="4098" max="4102"/>
    <col width="9" bestFit="1" customWidth="1" style="245" min="4103" max="4109"/>
    <col width="9" customWidth="1" style="245" min="4110" max="4110"/>
    <col width="10.33203125" bestFit="1" customWidth="1" style="245" min="4111" max="4111"/>
    <col width="9" customWidth="1" style="245" min="4112" max="4349"/>
    <col width="5.88671875" customWidth="1" style="245" min="4350" max="4350"/>
    <col width="30.6640625" bestFit="1" customWidth="1" style="245" min="4351" max="4351"/>
    <col width="10.5546875" bestFit="1" customWidth="1" style="245" min="4352" max="4352"/>
    <col width="6" bestFit="1" customWidth="1" style="245" min="4353" max="4353"/>
    <col width="7.88671875" bestFit="1" customWidth="1" style="245" min="4354" max="4358"/>
    <col width="9" bestFit="1" customWidth="1" style="245" min="4359" max="4365"/>
    <col width="9" customWidth="1" style="245" min="4366" max="4366"/>
    <col width="10.33203125" bestFit="1" customWidth="1" style="245" min="4367" max="4367"/>
    <col width="9" customWidth="1" style="245" min="4368" max="4605"/>
    <col width="5.88671875" customWidth="1" style="245" min="4606" max="4606"/>
    <col width="30.6640625" bestFit="1" customWidth="1" style="245" min="4607" max="4607"/>
    <col width="10.5546875" bestFit="1" customWidth="1" style="245" min="4608" max="4608"/>
    <col width="6" bestFit="1" customWidth="1" style="245" min="4609" max="4609"/>
    <col width="7.88671875" bestFit="1" customWidth="1" style="245" min="4610" max="4614"/>
    <col width="9" bestFit="1" customWidth="1" style="245" min="4615" max="4621"/>
    <col width="9" customWidth="1" style="245" min="4622" max="4622"/>
    <col width="10.33203125" bestFit="1" customWidth="1" style="245" min="4623" max="4623"/>
    <col width="9" customWidth="1" style="245" min="4624" max="4861"/>
    <col width="5.88671875" customWidth="1" style="245" min="4862" max="4862"/>
    <col width="30.6640625" bestFit="1" customWidth="1" style="245" min="4863" max="4863"/>
    <col width="10.5546875" bestFit="1" customWidth="1" style="245" min="4864" max="4864"/>
    <col width="6" bestFit="1" customWidth="1" style="245" min="4865" max="4865"/>
    <col width="7.88671875" bestFit="1" customWidth="1" style="245" min="4866" max="4870"/>
    <col width="9" bestFit="1" customWidth="1" style="245" min="4871" max="4877"/>
    <col width="9" customWidth="1" style="245" min="4878" max="4878"/>
    <col width="10.33203125" bestFit="1" customWidth="1" style="245" min="4879" max="4879"/>
    <col width="9" customWidth="1" style="245" min="4880" max="5117"/>
    <col width="5.88671875" customWidth="1" style="245" min="5118" max="5118"/>
    <col width="30.6640625" bestFit="1" customWidth="1" style="245" min="5119" max="5119"/>
    <col width="10.5546875" bestFit="1" customWidth="1" style="245" min="5120" max="5120"/>
    <col width="6" bestFit="1" customWidth="1" style="245" min="5121" max="5121"/>
    <col width="7.88671875" bestFit="1" customWidth="1" style="245" min="5122" max="5126"/>
    <col width="9" bestFit="1" customWidth="1" style="245" min="5127" max="5133"/>
    <col width="9" customWidth="1" style="245" min="5134" max="5134"/>
    <col width="10.33203125" bestFit="1" customWidth="1" style="245" min="5135" max="5135"/>
    <col width="9" customWidth="1" style="245" min="5136" max="5373"/>
    <col width="5.88671875" customWidth="1" style="245" min="5374" max="5374"/>
    <col width="30.6640625" bestFit="1" customWidth="1" style="245" min="5375" max="5375"/>
    <col width="10.5546875" bestFit="1" customWidth="1" style="245" min="5376" max="5376"/>
    <col width="6" bestFit="1" customWidth="1" style="245" min="5377" max="5377"/>
    <col width="7.88671875" bestFit="1" customWidth="1" style="245" min="5378" max="5382"/>
    <col width="9" bestFit="1" customWidth="1" style="245" min="5383" max="5389"/>
    <col width="9" customWidth="1" style="245" min="5390" max="5390"/>
    <col width="10.33203125" bestFit="1" customWidth="1" style="245" min="5391" max="5391"/>
    <col width="9" customWidth="1" style="245" min="5392" max="5629"/>
    <col width="5.88671875" customWidth="1" style="245" min="5630" max="5630"/>
    <col width="30.6640625" bestFit="1" customWidth="1" style="245" min="5631" max="5631"/>
    <col width="10.5546875" bestFit="1" customWidth="1" style="245" min="5632" max="5632"/>
    <col width="6" bestFit="1" customWidth="1" style="245" min="5633" max="5633"/>
    <col width="7.88671875" bestFit="1" customWidth="1" style="245" min="5634" max="5638"/>
    <col width="9" bestFit="1" customWidth="1" style="245" min="5639" max="5645"/>
    <col width="9" customWidth="1" style="245" min="5646" max="5646"/>
    <col width="10.33203125" bestFit="1" customWidth="1" style="245" min="5647" max="5647"/>
    <col width="9" customWidth="1" style="245" min="5648" max="5885"/>
    <col width="5.88671875" customWidth="1" style="245" min="5886" max="5886"/>
    <col width="30.6640625" bestFit="1" customWidth="1" style="245" min="5887" max="5887"/>
    <col width="10.5546875" bestFit="1" customWidth="1" style="245" min="5888" max="5888"/>
    <col width="6" bestFit="1" customWidth="1" style="245" min="5889" max="5889"/>
    <col width="7.88671875" bestFit="1" customWidth="1" style="245" min="5890" max="5894"/>
    <col width="9" bestFit="1" customWidth="1" style="245" min="5895" max="5901"/>
    <col width="9" customWidth="1" style="245" min="5902" max="5902"/>
    <col width="10.33203125" bestFit="1" customWidth="1" style="245" min="5903" max="5903"/>
    <col width="9" customWidth="1" style="245" min="5904" max="6141"/>
    <col width="5.88671875" customWidth="1" style="245" min="6142" max="6142"/>
    <col width="30.6640625" bestFit="1" customWidth="1" style="245" min="6143" max="6143"/>
    <col width="10.5546875" bestFit="1" customWidth="1" style="245" min="6144" max="6144"/>
    <col width="6" bestFit="1" customWidth="1" style="245" min="6145" max="6145"/>
    <col width="7.88671875" bestFit="1" customWidth="1" style="245" min="6146" max="6150"/>
    <col width="9" bestFit="1" customWidth="1" style="245" min="6151" max="6157"/>
    <col width="9" customWidth="1" style="245" min="6158" max="6158"/>
    <col width="10.33203125" bestFit="1" customWidth="1" style="245" min="6159" max="6159"/>
    <col width="9" customWidth="1" style="245" min="6160" max="6397"/>
    <col width="5.88671875" customWidth="1" style="245" min="6398" max="6398"/>
    <col width="30.6640625" bestFit="1" customWidth="1" style="245" min="6399" max="6399"/>
    <col width="10.5546875" bestFit="1" customWidth="1" style="245" min="6400" max="6400"/>
    <col width="6" bestFit="1" customWidth="1" style="245" min="6401" max="6401"/>
    <col width="7.88671875" bestFit="1" customWidth="1" style="245" min="6402" max="6406"/>
    <col width="9" bestFit="1" customWidth="1" style="245" min="6407" max="6413"/>
    <col width="9" customWidth="1" style="245" min="6414" max="6414"/>
    <col width="10.33203125" bestFit="1" customWidth="1" style="245" min="6415" max="6415"/>
    <col width="9" customWidth="1" style="245" min="6416" max="6653"/>
    <col width="5.88671875" customWidth="1" style="245" min="6654" max="6654"/>
    <col width="30.6640625" bestFit="1" customWidth="1" style="245" min="6655" max="6655"/>
    <col width="10.5546875" bestFit="1" customWidth="1" style="245" min="6656" max="6656"/>
    <col width="6" bestFit="1" customWidth="1" style="245" min="6657" max="6657"/>
    <col width="7.88671875" bestFit="1" customWidth="1" style="245" min="6658" max="6662"/>
    <col width="9" bestFit="1" customWidth="1" style="245" min="6663" max="6669"/>
    <col width="9" customWidth="1" style="245" min="6670" max="6670"/>
    <col width="10.33203125" bestFit="1" customWidth="1" style="245" min="6671" max="6671"/>
    <col width="9" customWidth="1" style="245" min="6672" max="6909"/>
    <col width="5.88671875" customWidth="1" style="245" min="6910" max="6910"/>
    <col width="30.6640625" bestFit="1" customWidth="1" style="245" min="6911" max="6911"/>
    <col width="10.5546875" bestFit="1" customWidth="1" style="245" min="6912" max="6912"/>
    <col width="6" bestFit="1" customWidth="1" style="245" min="6913" max="6913"/>
    <col width="7.88671875" bestFit="1" customWidth="1" style="245" min="6914" max="6918"/>
    <col width="9" bestFit="1" customWidth="1" style="245" min="6919" max="6925"/>
    <col width="9" customWidth="1" style="245" min="6926" max="6926"/>
    <col width="10.33203125" bestFit="1" customWidth="1" style="245" min="6927" max="6927"/>
    <col width="9" customWidth="1" style="245" min="6928" max="7165"/>
    <col width="5.88671875" customWidth="1" style="245" min="7166" max="7166"/>
    <col width="30.6640625" bestFit="1" customWidth="1" style="245" min="7167" max="7167"/>
    <col width="10.5546875" bestFit="1" customWidth="1" style="245" min="7168" max="7168"/>
    <col width="6" bestFit="1" customWidth="1" style="245" min="7169" max="7169"/>
    <col width="7.88671875" bestFit="1" customWidth="1" style="245" min="7170" max="7174"/>
    <col width="9" bestFit="1" customWidth="1" style="245" min="7175" max="7181"/>
    <col width="9" customWidth="1" style="245" min="7182" max="7182"/>
    <col width="10.33203125" bestFit="1" customWidth="1" style="245" min="7183" max="7183"/>
    <col width="9" customWidth="1" style="245" min="7184" max="7421"/>
    <col width="5.88671875" customWidth="1" style="245" min="7422" max="7422"/>
    <col width="30.6640625" bestFit="1" customWidth="1" style="245" min="7423" max="7423"/>
    <col width="10.5546875" bestFit="1" customWidth="1" style="245" min="7424" max="7424"/>
    <col width="6" bestFit="1" customWidth="1" style="245" min="7425" max="7425"/>
    <col width="7.88671875" bestFit="1" customWidth="1" style="245" min="7426" max="7430"/>
    <col width="9" bestFit="1" customWidth="1" style="245" min="7431" max="7437"/>
    <col width="9" customWidth="1" style="245" min="7438" max="7438"/>
    <col width="10.33203125" bestFit="1" customWidth="1" style="245" min="7439" max="7439"/>
    <col width="9" customWidth="1" style="245" min="7440" max="7677"/>
    <col width="5.88671875" customWidth="1" style="245" min="7678" max="7678"/>
    <col width="30.6640625" bestFit="1" customWidth="1" style="245" min="7679" max="7679"/>
    <col width="10.5546875" bestFit="1" customWidth="1" style="245" min="7680" max="7680"/>
    <col width="6" bestFit="1" customWidth="1" style="245" min="7681" max="7681"/>
    <col width="7.88671875" bestFit="1" customWidth="1" style="245" min="7682" max="7686"/>
    <col width="9" bestFit="1" customWidth="1" style="245" min="7687" max="7693"/>
    <col width="9" customWidth="1" style="245" min="7694" max="7694"/>
    <col width="10.33203125" bestFit="1" customWidth="1" style="245" min="7695" max="7695"/>
    <col width="9" customWidth="1" style="245" min="7696" max="7933"/>
    <col width="5.88671875" customWidth="1" style="245" min="7934" max="7934"/>
    <col width="30.6640625" bestFit="1" customWidth="1" style="245" min="7935" max="7935"/>
    <col width="10.5546875" bestFit="1" customWidth="1" style="245" min="7936" max="7936"/>
    <col width="6" bestFit="1" customWidth="1" style="245" min="7937" max="7937"/>
    <col width="7.88671875" bestFit="1" customWidth="1" style="245" min="7938" max="7942"/>
    <col width="9" bestFit="1" customWidth="1" style="245" min="7943" max="7949"/>
    <col width="9" customWidth="1" style="245" min="7950" max="7950"/>
    <col width="10.33203125" bestFit="1" customWidth="1" style="245" min="7951" max="7951"/>
    <col width="9" customWidth="1" style="245" min="7952" max="8189"/>
    <col width="5.88671875" customWidth="1" style="245" min="8190" max="8190"/>
    <col width="30.6640625" bestFit="1" customWidth="1" style="245" min="8191" max="8191"/>
    <col width="10.5546875" bestFit="1" customWidth="1" style="245" min="8192" max="8192"/>
    <col width="6" bestFit="1" customWidth="1" style="245" min="8193" max="8193"/>
    <col width="7.88671875" bestFit="1" customWidth="1" style="245" min="8194" max="8198"/>
    <col width="9" bestFit="1" customWidth="1" style="245" min="8199" max="8205"/>
    <col width="9" customWidth="1" style="245" min="8206" max="8206"/>
    <col width="10.33203125" bestFit="1" customWidth="1" style="245" min="8207" max="8207"/>
    <col width="9" customWidth="1" style="245" min="8208" max="8445"/>
    <col width="5.88671875" customWidth="1" style="245" min="8446" max="8446"/>
    <col width="30.6640625" bestFit="1" customWidth="1" style="245" min="8447" max="8447"/>
    <col width="10.5546875" bestFit="1" customWidth="1" style="245" min="8448" max="8448"/>
    <col width="6" bestFit="1" customWidth="1" style="245" min="8449" max="8449"/>
    <col width="7.88671875" bestFit="1" customWidth="1" style="245" min="8450" max="8454"/>
    <col width="9" bestFit="1" customWidth="1" style="245" min="8455" max="8461"/>
    <col width="9" customWidth="1" style="245" min="8462" max="8462"/>
    <col width="10.33203125" bestFit="1" customWidth="1" style="245" min="8463" max="8463"/>
    <col width="9" customWidth="1" style="245" min="8464" max="8701"/>
    <col width="5.88671875" customWidth="1" style="245" min="8702" max="8702"/>
    <col width="30.6640625" bestFit="1" customWidth="1" style="245" min="8703" max="8703"/>
    <col width="10.5546875" bestFit="1" customWidth="1" style="245" min="8704" max="8704"/>
    <col width="6" bestFit="1" customWidth="1" style="245" min="8705" max="8705"/>
    <col width="7.88671875" bestFit="1" customWidth="1" style="245" min="8706" max="8710"/>
    <col width="9" bestFit="1" customWidth="1" style="245" min="8711" max="8717"/>
    <col width="9" customWidth="1" style="245" min="8718" max="8718"/>
    <col width="10.33203125" bestFit="1" customWidth="1" style="245" min="8719" max="8719"/>
    <col width="9" customWidth="1" style="245" min="8720" max="8957"/>
    <col width="5.88671875" customWidth="1" style="245" min="8958" max="8958"/>
    <col width="30.6640625" bestFit="1" customWidth="1" style="245" min="8959" max="8959"/>
    <col width="10.5546875" bestFit="1" customWidth="1" style="245" min="8960" max="8960"/>
    <col width="6" bestFit="1" customWidth="1" style="245" min="8961" max="8961"/>
    <col width="7.88671875" bestFit="1" customWidth="1" style="245" min="8962" max="8966"/>
    <col width="9" bestFit="1" customWidth="1" style="245" min="8967" max="8973"/>
    <col width="9" customWidth="1" style="245" min="8974" max="8974"/>
    <col width="10.33203125" bestFit="1" customWidth="1" style="245" min="8975" max="8975"/>
    <col width="9" customWidth="1" style="245" min="8976" max="9213"/>
    <col width="5.88671875" customWidth="1" style="245" min="9214" max="9214"/>
    <col width="30.6640625" bestFit="1" customWidth="1" style="245" min="9215" max="9215"/>
    <col width="10.5546875" bestFit="1" customWidth="1" style="245" min="9216" max="9216"/>
    <col width="6" bestFit="1" customWidth="1" style="245" min="9217" max="9217"/>
    <col width="7.88671875" bestFit="1" customWidth="1" style="245" min="9218" max="9222"/>
    <col width="9" bestFit="1" customWidth="1" style="245" min="9223" max="9229"/>
    <col width="9" customWidth="1" style="245" min="9230" max="9230"/>
    <col width="10.33203125" bestFit="1" customWidth="1" style="245" min="9231" max="9231"/>
    <col width="9" customWidth="1" style="245" min="9232" max="9469"/>
    <col width="5.88671875" customWidth="1" style="245" min="9470" max="9470"/>
    <col width="30.6640625" bestFit="1" customWidth="1" style="245" min="9471" max="9471"/>
    <col width="10.5546875" bestFit="1" customWidth="1" style="245" min="9472" max="9472"/>
    <col width="6" bestFit="1" customWidth="1" style="245" min="9473" max="9473"/>
    <col width="7.88671875" bestFit="1" customWidth="1" style="245" min="9474" max="9478"/>
    <col width="9" bestFit="1" customWidth="1" style="245" min="9479" max="9485"/>
    <col width="9" customWidth="1" style="245" min="9486" max="9486"/>
    <col width="10.33203125" bestFit="1" customWidth="1" style="245" min="9487" max="9487"/>
    <col width="9" customWidth="1" style="245" min="9488" max="9725"/>
    <col width="5.88671875" customWidth="1" style="245" min="9726" max="9726"/>
    <col width="30.6640625" bestFit="1" customWidth="1" style="245" min="9727" max="9727"/>
    <col width="10.5546875" bestFit="1" customWidth="1" style="245" min="9728" max="9728"/>
    <col width="6" bestFit="1" customWidth="1" style="245" min="9729" max="9729"/>
    <col width="7.88671875" bestFit="1" customWidth="1" style="245" min="9730" max="9734"/>
    <col width="9" bestFit="1" customWidth="1" style="245" min="9735" max="9741"/>
    <col width="9" customWidth="1" style="245" min="9742" max="9742"/>
    <col width="10.33203125" bestFit="1" customWidth="1" style="245" min="9743" max="9743"/>
    <col width="9" customWidth="1" style="245" min="9744" max="9981"/>
    <col width="5.88671875" customWidth="1" style="245" min="9982" max="9982"/>
    <col width="30.6640625" bestFit="1" customWidth="1" style="245" min="9983" max="9983"/>
    <col width="10.5546875" bestFit="1" customWidth="1" style="245" min="9984" max="9984"/>
    <col width="6" bestFit="1" customWidth="1" style="245" min="9985" max="9985"/>
    <col width="7.88671875" bestFit="1" customWidth="1" style="245" min="9986" max="9990"/>
    <col width="9" bestFit="1" customWidth="1" style="245" min="9991" max="9997"/>
    <col width="9" customWidth="1" style="245" min="9998" max="9998"/>
    <col width="10.33203125" bestFit="1" customWidth="1" style="245" min="9999" max="9999"/>
    <col width="9" customWidth="1" style="245" min="10000" max="10237"/>
    <col width="5.88671875" customWidth="1" style="245" min="10238" max="10238"/>
    <col width="30.6640625" bestFit="1" customWidth="1" style="245" min="10239" max="10239"/>
    <col width="10.5546875" bestFit="1" customWidth="1" style="245" min="10240" max="10240"/>
    <col width="6" bestFit="1" customWidth="1" style="245" min="10241" max="10241"/>
    <col width="7.88671875" bestFit="1" customWidth="1" style="245" min="10242" max="10246"/>
    <col width="9" bestFit="1" customWidth="1" style="245" min="10247" max="10253"/>
    <col width="9" customWidth="1" style="245" min="10254" max="10254"/>
    <col width="10.33203125" bestFit="1" customWidth="1" style="245" min="10255" max="10255"/>
    <col width="9" customWidth="1" style="245" min="10256" max="10493"/>
    <col width="5.88671875" customWidth="1" style="245" min="10494" max="10494"/>
    <col width="30.6640625" bestFit="1" customWidth="1" style="245" min="10495" max="10495"/>
    <col width="10.5546875" bestFit="1" customWidth="1" style="245" min="10496" max="10496"/>
    <col width="6" bestFit="1" customWidth="1" style="245" min="10497" max="10497"/>
    <col width="7.88671875" bestFit="1" customWidth="1" style="245" min="10498" max="10502"/>
    <col width="9" bestFit="1" customWidth="1" style="245" min="10503" max="10509"/>
    <col width="9" customWidth="1" style="245" min="10510" max="10510"/>
    <col width="10.33203125" bestFit="1" customWidth="1" style="245" min="10511" max="10511"/>
    <col width="9" customWidth="1" style="245" min="10512" max="10749"/>
    <col width="5.88671875" customWidth="1" style="245" min="10750" max="10750"/>
    <col width="30.6640625" bestFit="1" customWidth="1" style="245" min="10751" max="10751"/>
    <col width="10.5546875" bestFit="1" customWidth="1" style="245" min="10752" max="10752"/>
    <col width="6" bestFit="1" customWidth="1" style="245" min="10753" max="10753"/>
    <col width="7.88671875" bestFit="1" customWidth="1" style="245" min="10754" max="10758"/>
    <col width="9" bestFit="1" customWidth="1" style="245" min="10759" max="10765"/>
    <col width="9" customWidth="1" style="245" min="10766" max="10766"/>
    <col width="10.33203125" bestFit="1" customWidth="1" style="245" min="10767" max="10767"/>
    <col width="9" customWidth="1" style="245" min="10768" max="11005"/>
    <col width="5.88671875" customWidth="1" style="245" min="11006" max="11006"/>
    <col width="30.6640625" bestFit="1" customWidth="1" style="245" min="11007" max="11007"/>
    <col width="10.5546875" bestFit="1" customWidth="1" style="245" min="11008" max="11008"/>
    <col width="6" bestFit="1" customWidth="1" style="245" min="11009" max="11009"/>
    <col width="7.88671875" bestFit="1" customWidth="1" style="245" min="11010" max="11014"/>
    <col width="9" bestFit="1" customWidth="1" style="245" min="11015" max="11021"/>
    <col width="9" customWidth="1" style="245" min="11022" max="11022"/>
    <col width="10.33203125" bestFit="1" customWidth="1" style="245" min="11023" max="11023"/>
    <col width="9" customWidth="1" style="245" min="11024" max="11261"/>
    <col width="5.88671875" customWidth="1" style="245" min="11262" max="11262"/>
    <col width="30.6640625" bestFit="1" customWidth="1" style="245" min="11263" max="11263"/>
    <col width="10.5546875" bestFit="1" customWidth="1" style="245" min="11264" max="11264"/>
    <col width="6" bestFit="1" customWidth="1" style="245" min="11265" max="11265"/>
    <col width="7.88671875" bestFit="1" customWidth="1" style="245" min="11266" max="11270"/>
    <col width="9" bestFit="1" customWidth="1" style="245" min="11271" max="11277"/>
    <col width="9" customWidth="1" style="245" min="11278" max="11278"/>
    <col width="10.33203125" bestFit="1" customWidth="1" style="245" min="11279" max="11279"/>
    <col width="9" customWidth="1" style="245" min="11280" max="11517"/>
    <col width="5.88671875" customWidth="1" style="245" min="11518" max="11518"/>
    <col width="30.6640625" bestFit="1" customWidth="1" style="245" min="11519" max="11519"/>
    <col width="10.5546875" bestFit="1" customWidth="1" style="245" min="11520" max="11520"/>
    <col width="6" bestFit="1" customWidth="1" style="245" min="11521" max="11521"/>
    <col width="7.88671875" bestFit="1" customWidth="1" style="245" min="11522" max="11526"/>
    <col width="9" bestFit="1" customWidth="1" style="245" min="11527" max="11533"/>
    <col width="9" customWidth="1" style="245" min="11534" max="11534"/>
    <col width="10.33203125" bestFit="1" customWidth="1" style="245" min="11535" max="11535"/>
    <col width="9" customWidth="1" style="245" min="11536" max="11773"/>
    <col width="5.88671875" customWidth="1" style="245" min="11774" max="11774"/>
    <col width="30.6640625" bestFit="1" customWidth="1" style="245" min="11775" max="11775"/>
    <col width="10.5546875" bestFit="1" customWidth="1" style="245" min="11776" max="11776"/>
    <col width="6" bestFit="1" customWidth="1" style="245" min="11777" max="11777"/>
    <col width="7.88671875" bestFit="1" customWidth="1" style="245" min="11778" max="11782"/>
    <col width="9" bestFit="1" customWidth="1" style="245" min="11783" max="11789"/>
    <col width="9" customWidth="1" style="245" min="11790" max="11790"/>
    <col width="10.33203125" bestFit="1" customWidth="1" style="245" min="11791" max="11791"/>
    <col width="9" customWidth="1" style="245" min="11792" max="12029"/>
    <col width="5.88671875" customWidth="1" style="245" min="12030" max="12030"/>
    <col width="30.6640625" bestFit="1" customWidth="1" style="245" min="12031" max="12031"/>
    <col width="10.5546875" bestFit="1" customWidth="1" style="245" min="12032" max="12032"/>
    <col width="6" bestFit="1" customWidth="1" style="245" min="12033" max="12033"/>
    <col width="7.88671875" bestFit="1" customWidth="1" style="245" min="12034" max="12038"/>
    <col width="9" bestFit="1" customWidth="1" style="245" min="12039" max="12045"/>
    <col width="9" customWidth="1" style="245" min="12046" max="12046"/>
    <col width="10.33203125" bestFit="1" customWidth="1" style="245" min="12047" max="12047"/>
    <col width="9" customWidth="1" style="245" min="12048" max="12285"/>
    <col width="5.88671875" customWidth="1" style="245" min="12286" max="12286"/>
    <col width="30.6640625" bestFit="1" customWidth="1" style="245" min="12287" max="12287"/>
    <col width="10.5546875" bestFit="1" customWidth="1" style="245" min="12288" max="12288"/>
    <col width="6" bestFit="1" customWidth="1" style="245" min="12289" max="12289"/>
    <col width="7.88671875" bestFit="1" customWidth="1" style="245" min="12290" max="12294"/>
    <col width="9" bestFit="1" customWidth="1" style="245" min="12295" max="12301"/>
    <col width="9" customWidth="1" style="245" min="12302" max="12302"/>
    <col width="10.33203125" bestFit="1" customWidth="1" style="245" min="12303" max="12303"/>
    <col width="9" customWidth="1" style="245" min="12304" max="12541"/>
    <col width="5.88671875" customWidth="1" style="245" min="12542" max="12542"/>
    <col width="30.6640625" bestFit="1" customWidth="1" style="245" min="12543" max="12543"/>
    <col width="10.5546875" bestFit="1" customWidth="1" style="245" min="12544" max="12544"/>
    <col width="6" bestFit="1" customWidth="1" style="245" min="12545" max="12545"/>
    <col width="7.88671875" bestFit="1" customWidth="1" style="245" min="12546" max="12550"/>
    <col width="9" bestFit="1" customWidth="1" style="245" min="12551" max="12557"/>
    <col width="9" customWidth="1" style="245" min="12558" max="12558"/>
    <col width="10.33203125" bestFit="1" customWidth="1" style="245" min="12559" max="12559"/>
    <col width="9" customWidth="1" style="245" min="12560" max="12797"/>
    <col width="5.88671875" customWidth="1" style="245" min="12798" max="12798"/>
    <col width="30.6640625" bestFit="1" customWidth="1" style="245" min="12799" max="12799"/>
    <col width="10.5546875" bestFit="1" customWidth="1" style="245" min="12800" max="12800"/>
    <col width="6" bestFit="1" customWidth="1" style="245" min="12801" max="12801"/>
    <col width="7.88671875" bestFit="1" customWidth="1" style="245" min="12802" max="12806"/>
    <col width="9" bestFit="1" customWidth="1" style="245" min="12807" max="12813"/>
    <col width="9" customWidth="1" style="245" min="12814" max="12814"/>
    <col width="10.33203125" bestFit="1" customWidth="1" style="245" min="12815" max="12815"/>
    <col width="9" customWidth="1" style="245" min="12816" max="13053"/>
    <col width="5.88671875" customWidth="1" style="245" min="13054" max="13054"/>
    <col width="30.6640625" bestFit="1" customWidth="1" style="245" min="13055" max="13055"/>
    <col width="10.5546875" bestFit="1" customWidth="1" style="245" min="13056" max="13056"/>
    <col width="6" bestFit="1" customWidth="1" style="245" min="13057" max="13057"/>
    <col width="7.88671875" bestFit="1" customWidth="1" style="245" min="13058" max="13062"/>
    <col width="9" bestFit="1" customWidth="1" style="245" min="13063" max="13069"/>
    <col width="9" customWidth="1" style="245" min="13070" max="13070"/>
    <col width="10.33203125" bestFit="1" customWidth="1" style="245" min="13071" max="13071"/>
    <col width="9" customWidth="1" style="245" min="13072" max="13309"/>
    <col width="5.88671875" customWidth="1" style="245" min="13310" max="13310"/>
    <col width="30.6640625" bestFit="1" customWidth="1" style="245" min="13311" max="13311"/>
    <col width="10.5546875" bestFit="1" customWidth="1" style="245" min="13312" max="13312"/>
    <col width="6" bestFit="1" customWidth="1" style="245" min="13313" max="13313"/>
    <col width="7.88671875" bestFit="1" customWidth="1" style="245" min="13314" max="13318"/>
    <col width="9" bestFit="1" customWidth="1" style="245" min="13319" max="13325"/>
    <col width="9" customWidth="1" style="245" min="13326" max="13326"/>
    <col width="10.33203125" bestFit="1" customWidth="1" style="245" min="13327" max="13327"/>
    <col width="9" customWidth="1" style="245" min="13328" max="13565"/>
    <col width="5.88671875" customWidth="1" style="245" min="13566" max="13566"/>
    <col width="30.6640625" bestFit="1" customWidth="1" style="245" min="13567" max="13567"/>
    <col width="10.5546875" bestFit="1" customWidth="1" style="245" min="13568" max="13568"/>
    <col width="6" bestFit="1" customWidth="1" style="245" min="13569" max="13569"/>
    <col width="7.88671875" bestFit="1" customWidth="1" style="245" min="13570" max="13574"/>
    <col width="9" bestFit="1" customWidth="1" style="245" min="13575" max="13581"/>
    <col width="9" customWidth="1" style="245" min="13582" max="13582"/>
    <col width="10.33203125" bestFit="1" customWidth="1" style="245" min="13583" max="13583"/>
    <col width="9" customWidth="1" style="245" min="13584" max="13821"/>
    <col width="5.88671875" customWidth="1" style="245" min="13822" max="13822"/>
    <col width="30.6640625" bestFit="1" customWidth="1" style="245" min="13823" max="13823"/>
    <col width="10.5546875" bestFit="1" customWidth="1" style="245" min="13824" max="13824"/>
    <col width="6" bestFit="1" customWidth="1" style="245" min="13825" max="13825"/>
    <col width="7.88671875" bestFit="1" customWidth="1" style="245" min="13826" max="13830"/>
    <col width="9" bestFit="1" customWidth="1" style="245" min="13831" max="13837"/>
    <col width="9" customWidth="1" style="245" min="13838" max="13838"/>
    <col width="10.33203125" bestFit="1" customWidth="1" style="245" min="13839" max="13839"/>
    <col width="9" customWidth="1" style="245" min="13840" max="14077"/>
    <col width="5.88671875" customWidth="1" style="245" min="14078" max="14078"/>
    <col width="30.6640625" bestFit="1" customWidth="1" style="245" min="14079" max="14079"/>
    <col width="10.5546875" bestFit="1" customWidth="1" style="245" min="14080" max="14080"/>
    <col width="6" bestFit="1" customWidth="1" style="245" min="14081" max="14081"/>
    <col width="7.88671875" bestFit="1" customWidth="1" style="245" min="14082" max="14086"/>
    <col width="9" bestFit="1" customWidth="1" style="245" min="14087" max="14093"/>
    <col width="9" customWidth="1" style="245" min="14094" max="14094"/>
    <col width="10.33203125" bestFit="1" customWidth="1" style="245" min="14095" max="14095"/>
    <col width="9" customWidth="1" style="245" min="14096" max="14333"/>
    <col width="5.88671875" customWidth="1" style="245" min="14334" max="14334"/>
    <col width="30.6640625" bestFit="1" customWidth="1" style="245" min="14335" max="14335"/>
    <col width="10.5546875" bestFit="1" customWidth="1" style="245" min="14336" max="14336"/>
    <col width="6" bestFit="1" customWidth="1" style="245" min="14337" max="14337"/>
    <col width="7.88671875" bestFit="1" customWidth="1" style="245" min="14338" max="14342"/>
    <col width="9" bestFit="1" customWidth="1" style="245" min="14343" max="14349"/>
    <col width="9" customWidth="1" style="245" min="14350" max="14350"/>
    <col width="10.33203125" bestFit="1" customWidth="1" style="245" min="14351" max="14351"/>
    <col width="9" customWidth="1" style="245" min="14352" max="14589"/>
    <col width="5.88671875" customWidth="1" style="245" min="14590" max="14590"/>
    <col width="30.6640625" bestFit="1" customWidth="1" style="245" min="14591" max="14591"/>
    <col width="10.5546875" bestFit="1" customWidth="1" style="245" min="14592" max="14592"/>
    <col width="6" bestFit="1" customWidth="1" style="245" min="14593" max="14593"/>
    <col width="7.88671875" bestFit="1" customWidth="1" style="245" min="14594" max="14598"/>
    <col width="9" bestFit="1" customWidth="1" style="245" min="14599" max="14605"/>
    <col width="9" customWidth="1" style="245" min="14606" max="14606"/>
    <col width="10.33203125" bestFit="1" customWidth="1" style="245" min="14607" max="14607"/>
    <col width="9" customWidth="1" style="245" min="14608" max="14845"/>
    <col width="5.88671875" customWidth="1" style="245" min="14846" max="14846"/>
    <col width="30.6640625" bestFit="1" customWidth="1" style="245" min="14847" max="14847"/>
    <col width="10.5546875" bestFit="1" customWidth="1" style="245" min="14848" max="14848"/>
    <col width="6" bestFit="1" customWidth="1" style="245" min="14849" max="14849"/>
    <col width="7.88671875" bestFit="1" customWidth="1" style="245" min="14850" max="14854"/>
    <col width="9" bestFit="1" customWidth="1" style="245" min="14855" max="14861"/>
    <col width="9" customWidth="1" style="245" min="14862" max="14862"/>
    <col width="10.33203125" bestFit="1" customWidth="1" style="245" min="14863" max="14863"/>
    <col width="9" customWidth="1" style="245" min="14864" max="15101"/>
    <col width="5.88671875" customWidth="1" style="245" min="15102" max="15102"/>
    <col width="30.6640625" bestFit="1" customWidth="1" style="245" min="15103" max="15103"/>
    <col width="10.5546875" bestFit="1" customWidth="1" style="245" min="15104" max="15104"/>
    <col width="6" bestFit="1" customWidth="1" style="245" min="15105" max="15105"/>
    <col width="7.88671875" bestFit="1" customWidth="1" style="245" min="15106" max="15110"/>
    <col width="9" bestFit="1" customWidth="1" style="245" min="15111" max="15117"/>
    <col width="9" customWidth="1" style="245" min="15118" max="15118"/>
    <col width="10.33203125" bestFit="1" customWidth="1" style="245" min="15119" max="15119"/>
    <col width="9" customWidth="1" style="245" min="15120" max="15357"/>
    <col width="5.88671875" customWidth="1" style="245" min="15358" max="15358"/>
    <col width="30.6640625" bestFit="1" customWidth="1" style="245" min="15359" max="15359"/>
    <col width="10.5546875" bestFit="1" customWidth="1" style="245" min="15360" max="15360"/>
    <col width="6" bestFit="1" customWidth="1" style="245" min="15361" max="15361"/>
    <col width="7.88671875" bestFit="1" customWidth="1" style="245" min="15362" max="15366"/>
    <col width="9" bestFit="1" customWidth="1" style="245" min="15367" max="15373"/>
    <col width="9" customWidth="1" style="245" min="15374" max="15374"/>
    <col width="10.33203125" bestFit="1" customWidth="1" style="245" min="15375" max="15375"/>
    <col width="9" customWidth="1" style="245" min="15376" max="15613"/>
    <col width="5.88671875" customWidth="1" style="245" min="15614" max="15614"/>
    <col width="30.6640625" bestFit="1" customWidth="1" style="245" min="15615" max="15615"/>
    <col width="10.5546875" bestFit="1" customWidth="1" style="245" min="15616" max="15616"/>
    <col width="6" bestFit="1" customWidth="1" style="245" min="15617" max="15617"/>
    <col width="7.88671875" bestFit="1" customWidth="1" style="245" min="15618" max="15622"/>
    <col width="9" bestFit="1" customWidth="1" style="245" min="15623" max="15629"/>
    <col width="9" customWidth="1" style="245" min="15630" max="15630"/>
    <col width="10.33203125" bestFit="1" customWidth="1" style="245" min="15631" max="15631"/>
    <col width="9" customWidth="1" style="245" min="15632" max="15869"/>
    <col width="5.88671875" customWidth="1" style="245" min="15870" max="15870"/>
    <col width="30.6640625" bestFit="1" customWidth="1" style="245" min="15871" max="15871"/>
    <col width="10.5546875" bestFit="1" customWidth="1" style="245" min="15872" max="15872"/>
    <col width="6" bestFit="1" customWidth="1" style="245" min="15873" max="15873"/>
    <col width="7.88671875" bestFit="1" customWidth="1" style="245" min="15874" max="15878"/>
    <col width="9" bestFit="1" customWidth="1" style="245" min="15879" max="15885"/>
    <col width="9" customWidth="1" style="245" min="15886" max="15886"/>
    <col width="10.33203125" bestFit="1" customWidth="1" style="245" min="15887" max="15887"/>
    <col width="9" customWidth="1" style="245" min="15888" max="16124"/>
    <col width="5.88671875" customWidth="1" style="245" min="16125" max="16125"/>
    <col width="30.6640625" bestFit="1" customWidth="1" style="245" min="16126" max="16126"/>
    <col width="10.5546875" bestFit="1" customWidth="1" style="245" min="16127" max="16127"/>
    <col width="6" bestFit="1" customWidth="1" style="245" min="16128" max="16128"/>
    <col width="7.88671875" bestFit="1" customWidth="1" style="245" min="16129" max="16133"/>
    <col width="9" bestFit="1" customWidth="1" style="245" min="16134" max="16140"/>
    <col width="9" customWidth="1" style="245" min="16141" max="16141"/>
    <col width="10.33203125" bestFit="1" customWidth="1" style="245" min="16142" max="16142"/>
    <col width="9" customWidth="1" style="245" min="16143" max="16384"/>
  </cols>
  <sheetData>
    <row r="1" ht="24" customHeight="1" s="1062" thickBot="1">
      <c r="A1" s="739" t="inlineStr">
        <is>
          <t>Khẩu hiệu :Bố trí an toàn và nâng cao tỷ lệ hoạt động không người</t>
        </is>
      </c>
      <c r="B1" s="826" t="n"/>
      <c r="C1" s="826" t="n"/>
      <c r="D1" s="826" t="n"/>
      <c r="E1" s="826" t="n"/>
      <c r="F1" s="826" t="n"/>
      <c r="G1" s="826" t="n"/>
      <c r="H1" s="643" t="n"/>
      <c r="I1" s="643" t="n"/>
      <c r="K1" s="644" t="n"/>
      <c r="L1" s="644" t="n"/>
      <c r="M1" s="644" t="n"/>
      <c r="N1" s="644" t="n"/>
    </row>
    <row r="2" ht="24" customHeight="1" s="1062" thickBot="1">
      <c r="A2" s="739" t="inlineStr">
        <is>
          <t>Tuyên bố :Nâng cao tỷ lệ hoạt động không người</t>
        </is>
      </c>
      <c r="B2" s="797" t="n"/>
      <c r="C2" s="797" t="n"/>
      <c r="D2" s="797" t="n"/>
      <c r="E2" s="738" t="n"/>
      <c r="F2" s="738" t="n"/>
      <c r="G2" s="738" t="n"/>
      <c r="H2" s="741" t="n"/>
      <c r="I2" s="1026" t="inlineStr">
        <is>
          <t>無人稼働率の目標達成率</t>
        </is>
      </c>
      <c r="J2" s="1207" t="n"/>
      <c r="K2" s="1207" t="n"/>
      <c r="L2" s="1207" t="n"/>
      <c r="M2" s="1207" t="n"/>
      <c r="N2" s="1207" t="n"/>
      <c r="O2" s="1207" t="n"/>
      <c r="P2" s="1207" t="n"/>
      <c r="Q2" s="1207" t="n"/>
      <c r="R2" s="1207" t="n"/>
      <c r="S2" s="1207" t="n"/>
      <c r="T2" s="1208" t="n"/>
      <c r="U2" s="742" t="n"/>
    </row>
    <row r="3" ht="20.4" customHeight="1" s="1062" thickBot="1">
      <c r="A3" s="739" t="inlineStr">
        <is>
          <t>Trị mục tiêu:20.0%</t>
        </is>
      </c>
      <c r="B3" s="798" t="n"/>
      <c r="C3" s="799" t="n"/>
      <c r="H3" s="827" t="inlineStr">
        <is>
          <t>Mục tiêu</t>
        </is>
      </c>
      <c r="I3" s="743" t="inlineStr">
        <is>
          <t>Tháng 1</t>
        </is>
      </c>
      <c r="J3" s="743" t="inlineStr">
        <is>
          <t>Tháng 2</t>
        </is>
      </c>
      <c r="K3" s="743" t="inlineStr">
        <is>
          <t>Tháng 3</t>
        </is>
      </c>
      <c r="L3" s="743" t="inlineStr">
        <is>
          <t>Tháng 4</t>
        </is>
      </c>
      <c r="M3" s="743" t="inlineStr">
        <is>
          <t>Tháng 5</t>
        </is>
      </c>
      <c r="N3" s="743" t="inlineStr">
        <is>
          <t>Tháng 6</t>
        </is>
      </c>
      <c r="O3" s="743" t="inlineStr">
        <is>
          <t>Tháng 7</t>
        </is>
      </c>
      <c r="P3" s="743" t="inlineStr">
        <is>
          <t>Tháng 8</t>
        </is>
      </c>
      <c r="Q3" s="743" t="inlineStr">
        <is>
          <t>Tháng 9</t>
        </is>
      </c>
      <c r="R3" s="743" t="inlineStr">
        <is>
          <t>Tháng 10</t>
        </is>
      </c>
      <c r="S3" s="743" t="inlineStr">
        <is>
          <t>Tháng 11</t>
        </is>
      </c>
      <c r="T3" s="743" t="inlineStr">
        <is>
          <t>Tháng 12</t>
        </is>
      </c>
      <c r="U3" s="829" t="inlineStr">
        <is>
          <t>Trung bình</t>
        </is>
      </c>
    </row>
    <row r="4" ht="19.2" customHeight="1" s="1062" thickBot="1" thickTop="1">
      <c r="A4" s="747" t="n"/>
      <c r="H4" s="1209" t="n">
        <v>20</v>
      </c>
      <c r="I4" s="1024">
        <f>I20/$H$4</f>
        <v/>
      </c>
      <c r="J4" s="1025">
        <f>J20/$H$4</f>
        <v/>
      </c>
      <c r="K4" s="1025">
        <f>K20/$H$4</f>
        <v/>
      </c>
      <c r="L4" s="1025">
        <f>L20/$H$4</f>
        <v/>
      </c>
      <c r="M4" s="1025">
        <f>M20/$H$4</f>
        <v/>
      </c>
      <c r="N4" s="1025">
        <f>N20/$H$4</f>
        <v/>
      </c>
      <c r="O4" s="1025">
        <f>O20/$H$4</f>
        <v/>
      </c>
      <c r="P4" s="1025">
        <f>P20/$H$4</f>
        <v/>
      </c>
      <c r="Q4" s="1025">
        <f>Q20/$H$4</f>
        <v/>
      </c>
      <c r="R4" s="1025">
        <f>R20/$H$4</f>
        <v/>
      </c>
      <c r="S4" s="1025">
        <f>S20/$H$4</f>
        <v/>
      </c>
      <c r="T4" s="825">
        <f>T20/$H$4</f>
        <v/>
      </c>
      <c r="U4" s="744">
        <f>U20/$H$4</f>
        <v/>
      </c>
    </row>
    <row r="5" ht="18.6" customHeight="1" s="1062" thickBot="1">
      <c r="A5" s="747" t="n"/>
      <c r="H5" s="745" t="n"/>
      <c r="I5" s="1029" t="inlineStr">
        <is>
          <t>1Q</t>
        </is>
      </c>
      <c r="J5" s="1210" t="n"/>
      <c r="K5" s="1211" t="n"/>
      <c r="L5" s="1030" t="inlineStr">
        <is>
          <t>2Q</t>
        </is>
      </c>
      <c r="M5" s="1210" t="n"/>
      <c r="N5" s="1211" t="n"/>
      <c r="O5" s="1030" t="inlineStr">
        <is>
          <t>3Q</t>
        </is>
      </c>
      <c r="P5" s="1210" t="n"/>
      <c r="Q5" s="1211" t="n"/>
      <c r="R5" s="1030" t="inlineStr">
        <is>
          <t>4Q</t>
        </is>
      </c>
      <c r="S5" s="1210" t="n"/>
      <c r="T5" s="1211" t="n"/>
      <c r="U5" s="746" t="n"/>
    </row>
    <row r="6" ht="19.2" customHeight="1" s="1062" thickBot="1" thickTop="1">
      <c r="A6" s="747" t="n"/>
      <c r="H6" s="745" t="n"/>
      <c r="I6" s="1024">
        <f>(((I19+J19+K19)/(I17+J17+K17))/$H$4*100)</f>
        <v/>
      </c>
      <c r="J6" s="1212" t="n"/>
      <c r="K6" s="1213" t="n"/>
      <c r="L6" s="1025">
        <f>(((L19+M19+N19)/(L17+M17+N17))/$H$4*100)</f>
        <v/>
      </c>
      <c r="M6" s="1212" t="n"/>
      <c r="N6" s="1213" t="n"/>
      <c r="O6" s="1025">
        <f>(((O19+P19+Q19)/(O17+P17+Q17))/$H$4*100)</f>
        <v/>
      </c>
      <c r="P6" s="1212" t="n"/>
      <c r="Q6" s="1213" t="n"/>
      <c r="R6" s="1025">
        <f>(((R19+S19+T19)/(R17+S17+T17))/$H$4*100)</f>
        <v/>
      </c>
      <c r="S6" s="1212" t="n"/>
      <c r="T6" s="1213" t="n"/>
      <c r="U6" s="746" t="n"/>
    </row>
    <row r="7" ht="13.8" customHeight="1" s="1062" thickBot="1">
      <c r="A7" s="250" t="n"/>
      <c r="B7" s="250" t="n"/>
      <c r="C7" s="250" t="n"/>
      <c r="D7" s="250" t="n"/>
      <c r="E7" s="251" t="n"/>
      <c r="F7" s="251" t="n"/>
      <c r="G7" s="250" t="n"/>
      <c r="H7" s="249" t="inlineStr">
        <is>
          <t>自動計算</t>
        </is>
      </c>
      <c r="I7" s="414" t="inlineStr">
        <is>
          <t>Tháng 1</t>
        </is>
      </c>
      <c r="J7" s="414" t="inlineStr">
        <is>
          <t>Tháng 2</t>
        </is>
      </c>
      <c r="K7" s="414" t="inlineStr">
        <is>
          <t>Tháng 3</t>
        </is>
      </c>
      <c r="L7" s="414" t="inlineStr">
        <is>
          <t>Tháng 4</t>
        </is>
      </c>
      <c r="M7" s="414" t="inlineStr">
        <is>
          <t>Tháng 5</t>
        </is>
      </c>
      <c r="N7" s="414" t="inlineStr">
        <is>
          <t>Tháng 6</t>
        </is>
      </c>
      <c r="O7" s="414" t="inlineStr">
        <is>
          <t>Tháng 7</t>
        </is>
      </c>
      <c r="P7" s="414" t="inlineStr">
        <is>
          <t>Tháng 8</t>
        </is>
      </c>
      <c r="Q7" s="414" t="inlineStr">
        <is>
          <t>Tháng 9</t>
        </is>
      </c>
      <c r="R7" s="414" t="inlineStr">
        <is>
          <t>Tháng 10</t>
        </is>
      </c>
      <c r="S7" s="414" t="inlineStr">
        <is>
          <t>Tháng 11</t>
        </is>
      </c>
      <c r="T7" s="415" t="inlineStr">
        <is>
          <t>Tháng 12</t>
        </is>
      </c>
      <c r="U7" s="740" t="n"/>
      <c r="V7" s="252" t="n"/>
      <c r="W7" s="252" t="n"/>
      <c r="X7" s="252" t="n"/>
      <c r="Y7" s="252" t="n"/>
      <c r="Z7" s="252" t="n"/>
      <c r="AA7" s="252" t="n"/>
      <c r="AB7" s="252" t="n"/>
      <c r="AC7" s="252" t="n"/>
      <c r="AD7" s="252" t="n"/>
      <c r="AE7" s="252" t="n"/>
      <c r="AF7" s="252" t="n"/>
    </row>
    <row r="8" ht="13.8" customHeight="1" s="1062" thickBot="1">
      <c r="A8" s="411" t="n"/>
      <c r="B8" s="290" t="n"/>
      <c r="C8" s="253" t="inlineStr">
        <is>
          <t>項目</t>
        </is>
      </c>
      <c r="D8" s="253" t="n"/>
      <c r="E8" s="412" t="n"/>
      <c r="F8" s="412" t="n"/>
      <c r="G8" s="413" t="inlineStr">
        <is>
          <t>計算式</t>
        </is>
      </c>
      <c r="H8" s="412" t="n"/>
      <c r="I8" s="414" t="inlineStr">
        <is>
          <t>1月</t>
        </is>
      </c>
      <c r="J8" s="414" t="inlineStr">
        <is>
          <t>2月</t>
        </is>
      </c>
      <c r="K8" s="414" t="inlineStr">
        <is>
          <t>3月</t>
        </is>
      </c>
      <c r="L8" s="414" t="inlineStr">
        <is>
          <t>4月</t>
        </is>
      </c>
      <c r="M8" s="414" t="inlineStr">
        <is>
          <t>5月</t>
        </is>
      </c>
      <c r="N8" s="414" t="inlineStr">
        <is>
          <t>6月</t>
        </is>
      </c>
      <c r="O8" s="414" t="inlineStr">
        <is>
          <t>7月</t>
        </is>
      </c>
      <c r="P8" s="414" t="inlineStr">
        <is>
          <t>8月</t>
        </is>
      </c>
      <c r="Q8" s="414" t="inlineStr">
        <is>
          <t>9月</t>
        </is>
      </c>
      <c r="R8" s="414" t="inlineStr">
        <is>
          <t>10月</t>
        </is>
      </c>
      <c r="S8" s="414" t="inlineStr">
        <is>
          <t>11月</t>
        </is>
      </c>
      <c r="T8" s="415" t="inlineStr">
        <is>
          <t>12月</t>
        </is>
      </c>
      <c r="U8" s="440" t="inlineStr">
        <is>
          <t>平均</t>
        </is>
      </c>
      <c r="V8" s="440" t="inlineStr">
        <is>
          <t>備　考</t>
        </is>
      </c>
      <c r="W8" s="255" t="n"/>
      <c r="X8" s="256" t="n"/>
      <c r="Y8" s="740" t="n"/>
      <c r="Z8" s="740" t="n"/>
      <c r="AA8" s="740" t="n"/>
      <c r="AB8" s="740" t="n"/>
      <c r="AC8" s="740" t="n"/>
      <c r="AD8" s="740" t="n"/>
      <c r="AE8" s="740" t="n"/>
      <c r="AF8" s="740" t="n"/>
    </row>
    <row r="9" ht="15" customHeight="1" s="1062">
      <c r="A9" s="1032" t="inlineStr">
        <is>
          <t>１．人</t>
        </is>
      </c>
      <c r="B9" s="257" t="inlineStr">
        <is>
          <t>a</t>
        </is>
      </c>
      <c r="C9" s="398" t="inlineStr">
        <is>
          <t>総人数 （合計）</t>
        </is>
      </c>
      <c r="D9" s="398" t="inlineStr">
        <is>
          <t>Tổng số  người</t>
        </is>
      </c>
      <c r="E9" s="253" t="inlineStr">
        <is>
          <t>単月</t>
        </is>
      </c>
      <c r="F9" s="253" t="inlineStr">
        <is>
          <t>đơn tháng</t>
        </is>
      </c>
      <c r="G9" s="405" t="n"/>
      <c r="H9" s="257" t="inlineStr">
        <is>
          <t>実績</t>
        </is>
      </c>
      <c r="I9" s="258" t="n">
        <v>89</v>
      </c>
      <c r="J9" s="258" t="n">
        <v>89</v>
      </c>
      <c r="K9" s="1214" t="n">
        <v>90</v>
      </c>
      <c r="L9" s="258" t="n"/>
      <c r="M9" s="258" t="n"/>
      <c r="N9" s="258" t="n"/>
      <c r="O9" s="258" t="n"/>
      <c r="P9" s="258" t="n"/>
      <c r="Q9" s="258" t="n"/>
      <c r="R9" s="258" t="n"/>
      <c r="S9" s="258" t="n"/>
      <c r="T9" s="259" t="n"/>
      <c r="U9" s="748" t="n"/>
      <c r="V9" s="441" t="n"/>
      <c r="W9" s="252" t="n"/>
      <c r="X9" s="252" t="n"/>
      <c r="Y9" s="252" t="n"/>
      <c r="Z9" s="252" t="n"/>
      <c r="AA9" s="252" t="n"/>
      <c r="AB9" s="252" t="n"/>
      <c r="AC9" s="252" t="n"/>
      <c r="AD9" s="252" t="n"/>
      <c r="AE9" s="252" t="n"/>
      <c r="AF9" s="252" t="n"/>
    </row>
    <row r="10">
      <c r="A10" s="1170" t="n"/>
      <c r="B10" s="260" t="inlineStr">
        <is>
          <t>b</t>
        </is>
      </c>
      <c r="C10" s="645" t="inlineStr">
        <is>
          <t>加工者人数</t>
        </is>
      </c>
      <c r="D10" s="645" t="inlineStr">
        <is>
          <t>NV gia công</t>
        </is>
      </c>
      <c r="E10" s="1069" t="n"/>
      <c r="F10" s="1069" t="n"/>
      <c r="G10" s="406" t="n"/>
      <c r="H10" s="260" t="inlineStr">
        <is>
          <t>実績</t>
        </is>
      </c>
      <c r="I10" s="646" t="n">
        <v>72</v>
      </c>
      <c r="J10" s="646" t="n">
        <v>72</v>
      </c>
      <c r="K10" s="1215" t="n">
        <v>71</v>
      </c>
      <c r="L10" s="646" t="n"/>
      <c r="M10" s="646" t="n"/>
      <c r="N10" s="646" t="n"/>
      <c r="O10" s="646" t="n"/>
      <c r="P10" s="646" t="n"/>
      <c r="Q10" s="646" t="n"/>
      <c r="R10" s="646" t="n"/>
      <c r="S10" s="646" t="n"/>
      <c r="T10" s="647" t="n"/>
      <c r="U10" s="749" t="n"/>
      <c r="V10" s="442" t="n"/>
      <c r="W10" s="252" t="n"/>
      <c r="X10" s="252" t="n"/>
      <c r="Y10" s="252" t="n"/>
      <c r="Z10" s="252" t="n"/>
      <c r="AA10" s="252" t="n"/>
      <c r="AB10" s="252" t="n"/>
      <c r="AC10" s="252" t="n"/>
      <c r="AD10" s="252" t="n"/>
      <c r="AE10" s="252" t="n"/>
      <c r="AF10" s="252" t="n"/>
    </row>
    <row r="11" ht="13.8" customHeight="1" s="1062" thickBot="1">
      <c r="A11" s="1216" t="n"/>
      <c r="B11" s="261" t="inlineStr">
        <is>
          <t>c</t>
        </is>
      </c>
      <c r="C11" s="399" t="inlineStr">
        <is>
          <t>その他の人数</t>
        </is>
      </c>
      <c r="D11" s="399" t="inlineStr">
        <is>
          <t>NV khác</t>
        </is>
      </c>
      <c r="E11" s="1217" t="n"/>
      <c r="F11" s="1217" t="n"/>
      <c r="G11" s="779" t="inlineStr">
        <is>
          <t>c=a-b</t>
        </is>
      </c>
      <c r="H11" s="263" t="inlineStr">
        <is>
          <t>実績</t>
        </is>
      </c>
      <c r="I11" s="648">
        <f>I9-I10</f>
        <v/>
      </c>
      <c r="J11" s="648">
        <f>J9-J10</f>
        <v/>
      </c>
      <c r="K11" s="648">
        <f>K9-K10</f>
        <v/>
      </c>
      <c r="L11" s="648">
        <f>L9-L10</f>
        <v/>
      </c>
      <c r="M11" s="648">
        <f>M9-M10</f>
        <v/>
      </c>
      <c r="N11" s="648">
        <f>N9-N10</f>
        <v/>
      </c>
      <c r="O11" s="648">
        <f>O9-O10</f>
        <v/>
      </c>
      <c r="P11" s="648">
        <f>P9-P10</f>
        <v/>
      </c>
      <c r="Q11" s="648">
        <f>Q9-Q10</f>
        <v/>
      </c>
      <c r="R11" s="648">
        <f>R9-R10</f>
        <v/>
      </c>
      <c r="S11" s="648">
        <f>S9-S10</f>
        <v/>
      </c>
      <c r="T11" s="649">
        <f>T9-T10</f>
        <v/>
      </c>
      <c r="U11" s="750" t="n"/>
      <c r="V11" s="443" t="n"/>
      <c r="W11" s="252" t="n"/>
      <c r="X11" s="252" t="n"/>
      <c r="Y11" s="252" t="n"/>
      <c r="Z11" s="252" t="n"/>
      <c r="AA11" s="252" t="n"/>
      <c r="AB11" s="252" t="n"/>
      <c r="AC11" s="252" t="n"/>
      <c r="AD11" s="252" t="n"/>
      <c r="AE11" s="252" t="n"/>
      <c r="AF11" s="252" t="n"/>
    </row>
    <row r="12" ht="27" customHeight="1" s="1062" thickBot="1">
      <c r="A12" s="1218" t="inlineStr">
        <is>
          <t>２．時間</t>
        </is>
      </c>
      <c r="B12" s="730" t="inlineStr">
        <is>
          <t>d</t>
        </is>
      </c>
      <c r="C12" s="1053" t="inlineStr">
        <is>
          <t>稼働日数</t>
        </is>
      </c>
      <c r="D12" s="732" t="inlineStr">
        <is>
          <t>số ngày làm việc</t>
        </is>
      </c>
      <c r="E12" s="1048" t="inlineStr">
        <is>
          <t>単月</t>
        </is>
      </c>
      <c r="F12" s="1048" t="inlineStr">
        <is>
          <t>đơn tháng</t>
        </is>
      </c>
      <c r="G12" s="734" t="inlineStr">
        <is>
          <t>d=機械別実績 (2)</t>
        </is>
      </c>
      <c r="H12" s="730" t="inlineStr">
        <is>
          <t>実績</t>
        </is>
      </c>
      <c r="I12" s="735">
        <f>機械別実績!L2</f>
        <v/>
      </c>
      <c r="J12" s="735">
        <f>機械別実績!M2</f>
        <v/>
      </c>
      <c r="K12" s="735">
        <f>機械別実績!N2</f>
        <v/>
      </c>
      <c r="L12" s="735">
        <f>機械別実績!O2</f>
        <v/>
      </c>
      <c r="M12" s="735">
        <f>機械別実績!P2</f>
        <v/>
      </c>
      <c r="N12" s="735">
        <f>機械別実績!Q2</f>
        <v/>
      </c>
      <c r="O12" s="735">
        <f>機械別実績!R2</f>
        <v/>
      </c>
      <c r="P12" s="735">
        <f>機械別実績!S2</f>
        <v/>
      </c>
      <c r="Q12" s="735">
        <f>機械別実績!T2</f>
        <v/>
      </c>
      <c r="R12" s="735">
        <f>機械別実績!U2</f>
        <v/>
      </c>
      <c r="S12" s="735">
        <f>機械別実績!V2</f>
        <v/>
      </c>
      <c r="T12" s="735">
        <f>機械別実績!W2</f>
        <v/>
      </c>
      <c r="U12" s="751" t="n"/>
      <c r="V12" s="444" t="n"/>
      <c r="W12" s="252" t="n"/>
      <c r="X12" s="252" t="n"/>
      <c r="Y12" s="252" t="n"/>
      <c r="Z12" s="252" t="n"/>
      <c r="AA12" s="252" t="n"/>
      <c r="AB12" s="252" t="n"/>
      <c r="AC12" s="252" t="n"/>
      <c r="AD12" s="252" t="n"/>
      <c r="AE12" s="252" t="n"/>
      <c r="AF12" s="252" t="n"/>
    </row>
    <row r="13" ht="14.4" customHeight="1" s="1062">
      <c r="A13" s="1170" t="n"/>
      <c r="B13" s="260" t="inlineStr">
        <is>
          <t>e</t>
        </is>
      </c>
      <c r="C13" s="1219" t="inlineStr">
        <is>
          <t>直接人実労働時間 (h)
※残業時間含む</t>
        </is>
      </c>
      <c r="D13" s="1220" t="inlineStr">
        <is>
          <t>tong TGLV cua NVTT</t>
        </is>
      </c>
      <c r="E13" s="257" t="inlineStr">
        <is>
          <t>単月</t>
        </is>
      </c>
      <c r="F13" s="397" t="inlineStr">
        <is>
          <t>đơn tháng</t>
        </is>
      </c>
      <c r="G13" s="408" t="n"/>
      <c r="H13" s="260" t="inlineStr">
        <is>
          <t>実績</t>
        </is>
      </c>
      <c r="I13" s="650" t="n">
        <v>13971</v>
      </c>
      <c r="J13" s="651" t="n">
        <v>9500</v>
      </c>
      <c r="K13" s="1221" t="n">
        <v>14088.18</v>
      </c>
      <c r="L13" s="651" t="n"/>
      <c r="M13" s="651" t="n"/>
      <c r="N13" s="651" t="n"/>
      <c r="O13" s="651" t="n"/>
      <c r="P13" s="651" t="n"/>
      <c r="Q13" s="651" t="n"/>
      <c r="R13" s="651" t="n"/>
      <c r="S13" s="651" t="n"/>
      <c r="T13" s="652" t="n"/>
      <c r="U13" s="752">
        <f>SUM(I13:T13)</f>
        <v/>
      </c>
      <c r="V13" s="445" t="inlineStr">
        <is>
          <t>（b：加工者人数）　残業を含む総労働時間</t>
        </is>
      </c>
      <c r="W13" s="252" t="n"/>
      <c r="X13" s="252" t="n"/>
      <c r="Y13" s="252" t="n"/>
      <c r="Z13" s="252" t="n"/>
      <c r="AA13" s="252" t="n"/>
      <c r="AB13" s="252" t="n"/>
      <c r="AC13" s="252" t="n"/>
      <c r="AD13" s="252" t="n"/>
      <c r="AE13" s="252" t="n"/>
      <c r="AF13" s="252" t="n"/>
    </row>
    <row r="14" ht="15" customHeight="1" s="1062" thickBot="1">
      <c r="A14" s="1170" t="n"/>
      <c r="B14" s="1048" t="inlineStr">
        <is>
          <t>f</t>
        </is>
      </c>
      <c r="C14" s="1217" t="n"/>
      <c r="D14" s="1217" t="n"/>
      <c r="E14" s="1048" t="inlineStr">
        <is>
          <t>累計</t>
        </is>
      </c>
      <c r="F14" s="1042" t="inlineStr">
        <is>
          <t>lũy kế</t>
        </is>
      </c>
      <c r="G14" s="779" t="n"/>
      <c r="H14" s="265" t="inlineStr">
        <is>
          <t>実績</t>
        </is>
      </c>
      <c r="I14" s="266">
        <f>I13</f>
        <v/>
      </c>
      <c r="J14" s="266">
        <f>I14+J13</f>
        <v/>
      </c>
      <c r="K14" s="266">
        <f>J14+K13</f>
        <v/>
      </c>
      <c r="L14" s="266">
        <f>K14+L13</f>
        <v/>
      </c>
      <c r="M14" s="266">
        <f>L14+M13</f>
        <v/>
      </c>
      <c r="N14" s="266">
        <f>M14+N13</f>
        <v/>
      </c>
      <c r="O14" s="266">
        <f>N14+O13</f>
        <v/>
      </c>
      <c r="P14" s="266">
        <f>O14+P13</f>
        <v/>
      </c>
      <c r="Q14" s="266">
        <f>P14+Q13</f>
        <v/>
      </c>
      <c r="R14" s="266">
        <f>Q14+R13</f>
        <v/>
      </c>
      <c r="S14" s="266">
        <f>R14+S13</f>
        <v/>
      </c>
      <c r="T14" s="267">
        <f>S14+T13</f>
        <v/>
      </c>
      <c r="U14" s="753" t="n"/>
      <c r="V14" s="446" t="n"/>
      <c r="W14" s="252" t="n"/>
      <c r="X14" s="252" t="n"/>
      <c r="Y14" s="252" t="n"/>
      <c r="Z14" s="252" t="n"/>
      <c r="AA14" s="252" t="n"/>
      <c r="AB14" s="252" t="n"/>
      <c r="AC14" s="252" t="n"/>
      <c r="AD14" s="252" t="n"/>
      <c r="AE14" s="252" t="n"/>
      <c r="AF14" s="252" t="n"/>
    </row>
    <row r="15" ht="24.6" customHeight="1" s="1062" thickBot="1">
      <c r="A15" s="1170" t="n"/>
      <c r="B15" s="1058" t="inlineStr">
        <is>
          <t>g</t>
        </is>
      </c>
      <c r="C15" s="737" t="inlineStr">
        <is>
          <t>１人/日　平均稼働時間</t>
        </is>
      </c>
      <c r="D15" s="737" t="inlineStr">
        <is>
          <t>thoi gian LV trung binh 1 nguoi/ ngay</t>
        </is>
      </c>
      <c r="E15" s="1058" t="inlineStr">
        <is>
          <t>単月</t>
        </is>
      </c>
      <c r="F15" s="1058" t="inlineStr">
        <is>
          <t>đơn tháng</t>
        </is>
      </c>
      <c r="G15" s="737" t="inlineStr">
        <is>
          <t>g=e/d/b</t>
        </is>
      </c>
      <c r="H15" s="1056" t="inlineStr">
        <is>
          <t>実績</t>
        </is>
      </c>
      <c r="I15" s="728">
        <f>SUM(I13/I12/I10)</f>
        <v/>
      </c>
      <c r="J15" s="728">
        <f>SUM(J13/J12/J10)</f>
        <v/>
      </c>
      <c r="K15" s="728">
        <f>SUM(K13/K12/K10)</f>
        <v/>
      </c>
      <c r="L15" s="728">
        <f>SUM(L13/L12/L10)</f>
        <v/>
      </c>
      <c r="M15" s="728">
        <f>SUM(M13/M12/M10)</f>
        <v/>
      </c>
      <c r="N15" s="728">
        <f>SUM(N13/N12/N10)</f>
        <v/>
      </c>
      <c r="O15" s="728">
        <f>SUM(O13/O12/O10)</f>
        <v/>
      </c>
      <c r="P15" s="728">
        <f>SUM(P13/P12/P10)</f>
        <v/>
      </c>
      <c r="Q15" s="728">
        <f>SUM(Q13/Q12/Q10)</f>
        <v/>
      </c>
      <c r="R15" s="728">
        <f>SUM(R13/R12/R10)</f>
        <v/>
      </c>
      <c r="S15" s="728">
        <f>SUM(S13/S12/S10)</f>
        <v/>
      </c>
      <c r="T15" s="729">
        <f>SUM(T13/T12/T10)</f>
        <v/>
      </c>
      <c r="U15" s="754" t="n"/>
      <c r="V15" s="447" t="n"/>
      <c r="W15" s="252" t="n"/>
      <c r="X15" s="252" t="n"/>
      <c r="Y15" s="252" t="n"/>
      <c r="Z15" s="252" t="n"/>
      <c r="AA15" s="252" t="n"/>
      <c r="AB15" s="252" t="n"/>
      <c r="AC15" s="252" t="n"/>
      <c r="AD15" s="252" t="n"/>
      <c r="AE15" s="252" t="n"/>
      <c r="AF15" s="252" t="n"/>
    </row>
    <row r="16">
      <c r="A16" s="1170" t="n"/>
      <c r="B16" s="257" t="inlineStr">
        <is>
          <t>h</t>
        </is>
      </c>
      <c r="C16" s="1222" t="inlineStr">
        <is>
          <t>実加工時間 （h）</t>
        </is>
      </c>
      <c r="D16" s="1220" t="inlineStr">
        <is>
          <t>Tong TGTD</t>
        </is>
      </c>
      <c r="E16" s="1223" t="inlineStr">
        <is>
          <t>単月</t>
        </is>
      </c>
      <c r="F16" s="1223" t="inlineStr">
        <is>
          <t>đơn tháng</t>
        </is>
      </c>
      <c r="G16" s="405" t="n"/>
      <c r="H16" s="257" t="inlineStr">
        <is>
          <t>予定</t>
        </is>
      </c>
      <c r="I16" s="650" t="n">
        <v>16661</v>
      </c>
      <c r="J16" s="650" t="n">
        <v>10947.8</v>
      </c>
      <c r="K16" s="1224" t="n">
        <v>16560.88333333334</v>
      </c>
      <c r="L16" s="650" t="n"/>
      <c r="M16" s="650" t="n"/>
      <c r="N16" s="650" t="n"/>
      <c r="O16" s="650" t="n"/>
      <c r="P16" s="650" t="n"/>
      <c r="Q16" s="650" t="n"/>
      <c r="R16" s="650" t="n"/>
      <c r="S16" s="650" t="n"/>
      <c r="T16" s="653" t="n"/>
      <c r="U16" s="755" t="n"/>
      <c r="V16" s="654" t="inlineStr">
        <is>
          <t>標準時間</t>
        </is>
      </c>
      <c r="W16" s="252" t="n"/>
      <c r="X16" s="252" t="n"/>
      <c r="Y16" s="252" t="n"/>
      <c r="Z16" s="252" t="n"/>
      <c r="AA16" s="252" t="n"/>
      <c r="AB16" s="252" t="n"/>
      <c r="AC16" s="252" t="n"/>
      <c r="AD16" s="252" t="n"/>
      <c r="AE16" s="252" t="n"/>
      <c r="AF16" s="252" t="n"/>
    </row>
    <row r="17" ht="13.8" customHeight="1" s="1062" thickBot="1">
      <c r="A17" s="1170" t="n"/>
      <c r="B17" s="730" t="inlineStr">
        <is>
          <t>i</t>
        </is>
      </c>
      <c r="C17" s="1217" t="n"/>
      <c r="D17" s="1217" t="n"/>
      <c r="E17" s="1217" t="n"/>
      <c r="F17" s="1217" t="n"/>
      <c r="G17" s="1046" t="n"/>
      <c r="H17" s="730" t="inlineStr">
        <is>
          <t>実績</t>
        </is>
      </c>
      <c r="I17" s="655" t="n">
        <v>16505</v>
      </c>
      <c r="J17" s="656" t="n">
        <v>10318.48333333333</v>
      </c>
      <c r="K17" s="1225" t="n">
        <v>15247.26666666667</v>
      </c>
      <c r="L17" s="656" t="n"/>
      <c r="M17" s="656" t="n"/>
      <c r="N17" s="656" t="n"/>
      <c r="O17" s="656" t="n"/>
      <c r="P17" s="656" t="n"/>
      <c r="Q17" s="656" t="n"/>
      <c r="R17" s="656" t="n"/>
      <c r="S17" s="656" t="n"/>
      <c r="T17" s="658" t="n"/>
      <c r="U17" s="756">
        <f>SUM(I17:T17)</f>
        <v/>
      </c>
      <c r="V17" s="659" t="inlineStr">
        <is>
          <t>機械稼働時間＋手仕上げ等の合計時間</t>
        </is>
      </c>
      <c r="W17" s="252" t="n"/>
      <c r="X17" s="252" t="n"/>
      <c r="Y17" s="252" t="n"/>
      <c r="Z17" s="252" t="n"/>
      <c r="AA17" s="252" t="n"/>
      <c r="AB17" s="252" t="n"/>
      <c r="AC17" s="252" t="n"/>
      <c r="AD17" s="252" t="n"/>
      <c r="AE17" s="252" t="n"/>
      <c r="AF17" s="252" t="n"/>
    </row>
    <row r="18" ht="13.8" customHeight="1" s="1062" thickBot="1">
      <c r="A18" s="1170" t="n"/>
      <c r="B18" s="730" t="inlineStr">
        <is>
          <t>j</t>
        </is>
      </c>
      <c r="C18" s="1046" t="inlineStr">
        <is>
          <t>有人稼働時間</t>
        </is>
      </c>
      <c r="D18" s="1046" t="inlineStr">
        <is>
          <t>TGLV có nguoi</t>
        </is>
      </c>
      <c r="E18" s="730" t="inlineStr">
        <is>
          <t>単月</t>
        </is>
      </c>
      <c r="F18" s="730" t="inlineStr">
        <is>
          <t>đơn tháng</t>
        </is>
      </c>
      <c r="G18" s="779" t="n"/>
      <c r="H18" s="730" t="inlineStr">
        <is>
          <t>実績</t>
        </is>
      </c>
      <c r="I18" s="655" t="n">
        <v>13916</v>
      </c>
      <c r="J18" s="656" t="n">
        <v>8216</v>
      </c>
      <c r="K18" s="1225" t="n">
        <v>11702.86666666667</v>
      </c>
      <c r="L18" s="656" t="n"/>
      <c r="M18" s="656" t="n"/>
      <c r="N18" s="656" t="n"/>
      <c r="O18" s="656" t="n"/>
      <c r="P18" s="656" t="n"/>
      <c r="Q18" s="656" t="n"/>
      <c r="R18" s="656" t="n"/>
      <c r="S18" s="656" t="n"/>
      <c r="T18" s="658" t="n"/>
      <c r="U18" s="757" t="n"/>
      <c r="V18" s="659" t="inlineStr">
        <is>
          <t>( i：実加工時間)の内、有人での稼働時間</t>
        </is>
      </c>
      <c r="W18" s="252" t="n"/>
      <c r="X18" s="252" t="n"/>
      <c r="Y18" s="252" t="n"/>
      <c r="Z18" s="252" t="n"/>
      <c r="AA18" s="252" t="n"/>
      <c r="AB18" s="252" t="n"/>
      <c r="AC18" s="252" t="n"/>
      <c r="AD18" s="252" t="n"/>
      <c r="AE18" s="252" t="n"/>
      <c r="AF18" s="252" t="n"/>
    </row>
    <row r="19" ht="13.8" customHeight="1" s="1062" thickBot="1">
      <c r="A19" s="1170" t="n"/>
      <c r="B19" s="730" t="inlineStr">
        <is>
          <t>k</t>
        </is>
      </c>
      <c r="C19" s="780" t="inlineStr">
        <is>
          <t>無人稼働時間</t>
        </is>
      </c>
      <c r="D19" s="780" t="inlineStr">
        <is>
          <t>TGLV ko nguoi</t>
        </is>
      </c>
      <c r="E19" s="781" t="inlineStr">
        <is>
          <t>単月</t>
        </is>
      </c>
      <c r="F19" s="730" t="inlineStr">
        <is>
          <t>đơn tháng</t>
        </is>
      </c>
      <c r="G19" s="779" t="inlineStr">
        <is>
          <t>k=i-j</t>
        </is>
      </c>
      <c r="H19" s="781" t="inlineStr">
        <is>
          <t>実績</t>
        </is>
      </c>
      <c r="I19" s="785">
        <f>I17-I18</f>
        <v/>
      </c>
      <c r="J19" s="786">
        <f>J17-J18</f>
        <v/>
      </c>
      <c r="K19" s="786">
        <f>K17-K18</f>
        <v/>
      </c>
      <c r="L19" s="786">
        <f>L17-L18</f>
        <v/>
      </c>
      <c r="M19" s="786">
        <f>M17-M18</f>
        <v/>
      </c>
      <c r="N19" s="786">
        <f>N17-N18</f>
        <v/>
      </c>
      <c r="O19" s="786">
        <f>O17-O18</f>
        <v/>
      </c>
      <c r="P19" s="786">
        <f>P17-P18</f>
        <v/>
      </c>
      <c r="Q19" s="786">
        <f>Q17-Q18</f>
        <v/>
      </c>
      <c r="R19" s="787">
        <f>R17-R18</f>
        <v/>
      </c>
      <c r="S19" s="785">
        <f>S17-S18</f>
        <v/>
      </c>
      <c r="T19" s="788">
        <f>T17-T18</f>
        <v/>
      </c>
      <c r="U19" s="758">
        <f>SUM(I19:T19)</f>
        <v/>
      </c>
      <c r="V19" s="660" t="n"/>
      <c r="W19" s="252" t="n"/>
      <c r="X19" s="252" t="n"/>
      <c r="Y19" s="252" t="n"/>
      <c r="Z19" s="252" t="n"/>
      <c r="AA19" s="252" t="n"/>
      <c r="AB19" s="252" t="n"/>
      <c r="AC19" s="252" t="n"/>
      <c r="AD19" s="252" t="n"/>
      <c r="AE19" s="252" t="n"/>
      <c r="AF19" s="252" t="n"/>
    </row>
    <row r="20" ht="14.4" customHeight="1" s="1062" thickBot="1">
      <c r="A20" s="1170" t="n"/>
      <c r="B20" s="730" t="inlineStr">
        <is>
          <t>◎</t>
        </is>
      </c>
      <c r="C20" s="782" t="inlineStr">
        <is>
          <t>無人稼働率(%)</t>
        </is>
      </c>
      <c r="D20" s="782" t="inlineStr">
        <is>
          <t>Tỉ lệ hoạt động ko nguoi</t>
        </is>
      </c>
      <c r="E20" s="781" t="inlineStr">
        <is>
          <t>単月</t>
        </is>
      </c>
      <c r="F20" s="730" t="inlineStr">
        <is>
          <t>đơn tháng</t>
        </is>
      </c>
      <c r="G20" s="779" t="inlineStr">
        <is>
          <t>◎=k/i*100</t>
        </is>
      </c>
      <c r="H20" s="781" t="n"/>
      <c r="I20" s="792">
        <f>I19/I17*100</f>
        <v/>
      </c>
      <c r="J20" s="792">
        <f>J19/J17*100</f>
        <v/>
      </c>
      <c r="K20" s="792">
        <f>K19/K17*100</f>
        <v/>
      </c>
      <c r="L20" s="792">
        <f>L19/L17*100</f>
        <v/>
      </c>
      <c r="M20" s="792">
        <f>M19/M17*100</f>
        <v/>
      </c>
      <c r="N20" s="793">
        <f>N19/N17*100</f>
        <v/>
      </c>
      <c r="O20" s="793">
        <f>O19/O17*100</f>
        <v/>
      </c>
      <c r="P20" s="793">
        <f>P19/P17*100</f>
        <v/>
      </c>
      <c r="Q20" s="794">
        <f>Q19/Q17*100</f>
        <v/>
      </c>
      <c r="R20" s="793">
        <f>R19/R17*100</f>
        <v/>
      </c>
      <c r="S20" s="794">
        <f>S19/S17*100</f>
        <v/>
      </c>
      <c r="T20" s="795">
        <f>T19/T17*100</f>
        <v/>
      </c>
      <c r="U20" s="759">
        <f>U19/U17*100</f>
        <v/>
      </c>
      <c r="V20" s="660" t="n"/>
      <c r="W20" s="252" t="n"/>
      <c r="X20" s="252" t="n"/>
      <c r="Y20" s="252" t="n"/>
      <c r="Z20" s="252" t="n"/>
      <c r="AA20" s="252" t="n"/>
      <c r="AB20" s="252" t="n"/>
      <c r="AC20" s="252" t="n"/>
      <c r="AD20" s="252" t="n"/>
      <c r="AE20" s="252" t="n"/>
      <c r="AF20" s="252" t="n"/>
    </row>
    <row r="21" ht="15" customHeight="1" s="1062" thickBot="1">
      <c r="A21" s="1170" t="n"/>
      <c r="B21" s="730" t="inlineStr">
        <is>
          <t>l</t>
        </is>
      </c>
      <c r="C21" s="1054" t="inlineStr">
        <is>
          <t>加工効率</t>
        </is>
      </c>
      <c r="D21" s="1054" t="inlineStr">
        <is>
          <t>hieu suat gia cong</t>
        </is>
      </c>
      <c r="E21" s="730" t="inlineStr">
        <is>
          <t>単月</t>
        </is>
      </c>
      <c r="F21" s="730" t="inlineStr">
        <is>
          <t>đơn tháng</t>
        </is>
      </c>
      <c r="G21" s="779" t="inlineStr">
        <is>
          <t>l=i/h</t>
        </is>
      </c>
      <c r="H21" s="265" t="inlineStr">
        <is>
          <t>実績</t>
        </is>
      </c>
      <c r="I21" s="662">
        <f>I17/I16</f>
        <v/>
      </c>
      <c r="J21" s="662">
        <f>J17/J16</f>
        <v/>
      </c>
      <c r="K21" s="662">
        <f>K17/K16</f>
        <v/>
      </c>
      <c r="L21" s="662">
        <f>L17/L16</f>
        <v/>
      </c>
      <c r="M21" s="662">
        <f>M17/M16</f>
        <v/>
      </c>
      <c r="N21" s="662">
        <f>N17/N16</f>
        <v/>
      </c>
      <c r="O21" s="662">
        <f>O17/O16</f>
        <v/>
      </c>
      <c r="P21" s="662">
        <f>P17/P16</f>
        <v/>
      </c>
      <c r="Q21" s="662">
        <f>Q17/Q16</f>
        <v/>
      </c>
      <c r="R21" s="662">
        <f>R17/R16</f>
        <v/>
      </c>
      <c r="S21" s="662">
        <f>S17/S16</f>
        <v/>
      </c>
      <c r="T21" s="663">
        <f>T17/T16</f>
        <v/>
      </c>
      <c r="U21" s="760" t="n"/>
      <c r="V21" s="448" t="n"/>
      <c r="W21" s="664" t="n"/>
      <c r="X21" s="664" t="n"/>
      <c r="Y21" s="664" t="n"/>
      <c r="Z21" s="664" t="n"/>
      <c r="AA21" s="664" t="n"/>
      <c r="AB21" s="664" t="n"/>
      <c r="AC21" s="664" t="n"/>
      <c r="AD21" s="664" t="n"/>
      <c r="AE21" s="664" t="n"/>
      <c r="AF21" s="664" t="n"/>
    </row>
    <row r="22" ht="28.8" customHeight="1" s="1062">
      <c r="A22" s="1170" t="n"/>
      <c r="B22" s="1058" t="inlineStr">
        <is>
          <t>m</t>
        </is>
      </c>
      <c r="C22" s="783" t="inlineStr">
        <is>
          <t>総労働時間当たり加工工数</t>
        </is>
      </c>
      <c r="D22" s="783" t="inlineStr">
        <is>
          <t>số công GC tương ứng với TGLV</t>
        </is>
      </c>
      <c r="E22" s="1226" t="inlineStr">
        <is>
          <t>単月</t>
        </is>
      </c>
      <c r="F22" s="1223" t="inlineStr">
        <is>
          <t>đơn tháng</t>
        </is>
      </c>
      <c r="G22" s="405" t="inlineStr">
        <is>
          <t>m=i/e</t>
        </is>
      </c>
      <c r="H22" s="789" t="inlineStr">
        <is>
          <t>実績</t>
        </is>
      </c>
      <c r="I22" s="790">
        <f>I17/I13</f>
        <v/>
      </c>
      <c r="J22" s="790">
        <f>J17/J13</f>
        <v/>
      </c>
      <c r="K22" s="790">
        <f>K17/K13</f>
        <v/>
      </c>
      <c r="L22" s="790">
        <f>L17/L13</f>
        <v/>
      </c>
      <c r="M22" s="790">
        <f>M17/M13</f>
        <v/>
      </c>
      <c r="N22" s="790">
        <f>N17/N13</f>
        <v/>
      </c>
      <c r="O22" s="790">
        <f>O17/O13</f>
        <v/>
      </c>
      <c r="P22" s="790">
        <f>P17/P13</f>
        <v/>
      </c>
      <c r="Q22" s="790">
        <f>Q17/Q13</f>
        <v/>
      </c>
      <c r="R22" s="790">
        <f>R17/R13</f>
        <v/>
      </c>
      <c r="S22" s="790">
        <f>S17/S13</f>
        <v/>
      </c>
      <c r="T22" s="791">
        <f>T17/T13</f>
        <v/>
      </c>
      <c r="U22" s="791">
        <f>U17/U13</f>
        <v/>
      </c>
      <c r="V22" s="449" t="n"/>
      <c r="W22" s="664" t="n"/>
      <c r="X22" s="664" t="n"/>
      <c r="Y22" s="664" t="n"/>
      <c r="Z22" s="664" t="n"/>
      <c r="AA22" s="664" t="n"/>
      <c r="AB22" s="664" t="n"/>
      <c r="AC22" s="664" t="n"/>
      <c r="AD22" s="664" t="n"/>
      <c r="AE22" s="664" t="n"/>
    </row>
    <row r="23" ht="29.4" customHeight="1" s="1062" thickBot="1">
      <c r="A23" s="1174" t="n"/>
      <c r="B23" s="730" t="inlineStr">
        <is>
          <t>n</t>
        </is>
      </c>
      <c r="C23" s="784" t="inlineStr">
        <is>
          <t>目標値（生産拠点指数）</t>
        </is>
      </c>
      <c r="D23" s="784" t="inlineStr">
        <is>
          <t>mục tiêu sô công gia công tương ứng với TGLV</t>
        </is>
      </c>
      <c r="E23" s="1217" t="n"/>
      <c r="F23" s="1217" t="n"/>
      <c r="G23" s="667" t="n"/>
      <c r="H23" s="796" t="inlineStr">
        <is>
          <t>目標値【1.1】</t>
        </is>
      </c>
      <c r="I23" s="668" t="n">
        <v>1.1</v>
      </c>
      <c r="J23" s="668" t="n">
        <v>1.1</v>
      </c>
      <c r="K23" s="668" t="n">
        <v>1.1</v>
      </c>
      <c r="L23" s="668" t="n">
        <v>1.1</v>
      </c>
      <c r="M23" s="668" t="n">
        <v>1.1</v>
      </c>
      <c r="N23" s="668" t="n">
        <v>1.1</v>
      </c>
      <c r="O23" s="668" t="n">
        <v>1.1</v>
      </c>
      <c r="P23" s="668" t="n">
        <v>1.1</v>
      </c>
      <c r="Q23" s="668" t="n">
        <v>1.1</v>
      </c>
      <c r="R23" s="668" t="n">
        <v>1.1</v>
      </c>
      <c r="S23" s="668" t="n">
        <v>1.1</v>
      </c>
      <c r="T23" s="669" t="n">
        <v>1.1</v>
      </c>
      <c r="U23" s="754" t="n"/>
      <c r="V23" s="447" t="n"/>
      <c r="W23" s="664" t="n"/>
      <c r="X23" s="664" t="n"/>
      <c r="Y23" s="664" t="n"/>
      <c r="Z23" s="664" t="n"/>
      <c r="AA23" s="664" t="n"/>
      <c r="AB23" s="664" t="n"/>
      <c r="AC23" s="664" t="n"/>
      <c r="AD23" s="664" t="n"/>
      <c r="AE23" s="664" t="n"/>
    </row>
    <row r="24" ht="36" customFormat="1" customHeight="1" s="269">
      <c r="A24" s="1218" t="inlineStr">
        <is>
          <t>３．品質</t>
        </is>
      </c>
      <c r="B24" s="1047" t="inlineStr">
        <is>
          <t>o</t>
        </is>
      </c>
      <c r="C24" s="1053" t="inlineStr">
        <is>
          <t>不良件数（枚）</t>
        </is>
      </c>
      <c r="D24" s="1053" t="inlineStr">
        <is>
          <t>số kiện PP</t>
        </is>
      </c>
      <c r="E24" s="253" t="inlineStr">
        <is>
          <t>単月</t>
        </is>
      </c>
      <c r="F24" s="253" t="inlineStr">
        <is>
          <t>đơn tháng</t>
        </is>
      </c>
      <c r="G24" s="1045" t="inlineStr">
        <is>
          <t>o=指標2（内作）C10
ALL不良件数</t>
        </is>
      </c>
      <c r="H24" s="1055" t="inlineStr">
        <is>
          <t>実績</t>
        </is>
      </c>
      <c r="I24" s="268">
        <f>'指標２(内作)'!C10</f>
        <v/>
      </c>
      <c r="J24" s="268">
        <f>'指標２(内作)'!D10</f>
        <v/>
      </c>
      <c r="K24" s="268">
        <f>'指標２(内作)'!E10</f>
        <v/>
      </c>
      <c r="L24" s="268">
        <f>'指標２(内作)'!F10</f>
        <v/>
      </c>
      <c r="M24" s="268">
        <f>'指標２(内作)'!G10</f>
        <v/>
      </c>
      <c r="N24" s="268">
        <f>'指標２(内作)'!H10</f>
        <v/>
      </c>
      <c r="O24" s="268">
        <f>'指標２(内作)'!I10</f>
        <v/>
      </c>
      <c r="P24" s="268">
        <f>'指標２(内作)'!J10</f>
        <v/>
      </c>
      <c r="Q24" s="268">
        <f>'指標２(内作)'!K10</f>
        <v/>
      </c>
      <c r="R24" s="268">
        <f>'指標２(内作)'!L10</f>
        <v/>
      </c>
      <c r="S24" s="268">
        <f>'指標２(内作)'!M10</f>
        <v/>
      </c>
      <c r="T24" s="268">
        <f>'指標２(内作)'!N10</f>
        <v/>
      </c>
      <c r="U24" s="762" t="n"/>
      <c r="V24" s="450" t="n"/>
      <c r="W24" s="670" t="n"/>
      <c r="X24" s="670" t="n"/>
      <c r="Y24" s="670" t="n"/>
      <c r="Z24" s="670" t="n"/>
      <c r="AA24" s="670" t="n"/>
      <c r="AB24" s="670" t="n"/>
      <c r="AC24" s="670" t="n"/>
      <c r="AD24" s="670" t="n"/>
      <c r="AE24" s="670" t="n"/>
      <c r="AF24" s="670" t="n"/>
    </row>
    <row r="25" ht="14.4" customFormat="1" customHeight="1" s="269">
      <c r="A25" s="1170" t="n"/>
      <c r="B25" s="270" t="inlineStr">
        <is>
          <t>p</t>
        </is>
      </c>
      <c r="C25" s="402" t="inlineStr">
        <is>
          <t>不良工数（ｈ）</t>
        </is>
      </c>
      <c r="D25" s="402" t="inlineStr">
        <is>
          <t>sô công PP</t>
        </is>
      </c>
      <c r="E25" s="1069" t="n"/>
      <c r="F25" s="1069" t="n"/>
      <c r="G25" s="409" t="n"/>
      <c r="H25" s="270" t="inlineStr">
        <is>
          <t>実績</t>
        </is>
      </c>
      <c r="I25" s="271" t="n">
        <v>0</v>
      </c>
      <c r="J25" s="271" t="n">
        <v>0</v>
      </c>
      <c r="K25" s="271" t="n"/>
      <c r="L25" s="271" t="n"/>
      <c r="M25" s="271" t="n"/>
      <c r="N25" s="271" t="n"/>
      <c r="O25" s="271" t="n"/>
      <c r="P25" s="271" t="n"/>
      <c r="Q25" s="271" t="n"/>
      <c r="R25" s="271" t="n"/>
      <c r="S25" s="271" t="n"/>
      <c r="T25" s="272" t="n"/>
      <c r="U25" s="763" t="n"/>
      <c r="V25" s="451" t="inlineStr">
        <is>
          <t>不良をﾘｶﾊﾞﾘｰする為にかかった時間</t>
        </is>
      </c>
      <c r="W25" s="670" t="n"/>
      <c r="X25" s="670" t="n"/>
      <c r="Y25" s="670" t="n"/>
      <c r="Z25" s="670" t="n"/>
      <c r="AA25" s="670" t="n"/>
      <c r="AB25" s="670" t="n"/>
      <c r="AC25" s="670" t="n"/>
      <c r="AD25" s="670" t="n"/>
      <c r="AE25" s="670" t="n"/>
      <c r="AF25" s="670" t="n"/>
    </row>
    <row r="26" ht="14.4" customFormat="1" customHeight="1" s="269">
      <c r="A26" s="1170" t="n"/>
      <c r="B26" s="270" t="inlineStr">
        <is>
          <t>q</t>
        </is>
      </c>
      <c r="C26" s="402" t="inlineStr">
        <is>
          <t>総加工時間 （h）</t>
        </is>
      </c>
      <c r="D26" s="732" t="inlineStr">
        <is>
          <t>TTGGC</t>
        </is>
      </c>
      <c r="E26" s="1069" t="n"/>
      <c r="F26" s="1069" t="n"/>
      <c r="G26" s="409" t="inlineStr">
        <is>
          <t>q=i</t>
        </is>
      </c>
      <c r="H26" s="273" t="inlineStr">
        <is>
          <t>実績</t>
        </is>
      </c>
      <c r="I26" s="274">
        <f>I17</f>
        <v/>
      </c>
      <c r="J26" s="274">
        <f>J17</f>
        <v/>
      </c>
      <c r="K26" s="274">
        <f>K17</f>
        <v/>
      </c>
      <c r="L26" s="274">
        <f>L17</f>
        <v/>
      </c>
      <c r="M26" s="274">
        <f>M17</f>
        <v/>
      </c>
      <c r="N26" s="274">
        <f>N17</f>
        <v/>
      </c>
      <c r="O26" s="274">
        <f>O17</f>
        <v/>
      </c>
      <c r="P26" s="274">
        <f>P17</f>
        <v/>
      </c>
      <c r="Q26" s="274">
        <f>Q17</f>
        <v/>
      </c>
      <c r="R26" s="274">
        <f>R17</f>
        <v/>
      </c>
      <c r="S26" s="274">
        <f>S17</f>
        <v/>
      </c>
      <c r="T26" s="275">
        <f>T17</f>
        <v/>
      </c>
      <c r="U26" s="764" t="n"/>
      <c r="V26" s="452" t="n"/>
      <c r="W26" s="670" t="n"/>
      <c r="X26" s="670" t="n"/>
      <c r="Y26" s="670" t="n"/>
      <c r="Z26" s="670" t="n"/>
      <c r="AA26" s="670" t="n"/>
      <c r="AB26" s="670" t="n"/>
      <c r="AC26" s="670" t="n"/>
      <c r="AD26" s="670" t="n"/>
      <c r="AE26" s="670" t="n"/>
      <c r="AF26" s="670" t="n"/>
    </row>
    <row r="27" ht="15" customFormat="1" customHeight="1" s="269" thickBot="1">
      <c r="A27" s="1174" t="n"/>
      <c r="B27" s="730" t="inlineStr">
        <is>
          <t>r</t>
        </is>
      </c>
      <c r="C27" s="399" t="inlineStr">
        <is>
          <t>不良工数率（％）</t>
        </is>
      </c>
      <c r="D27" s="399" t="inlineStr">
        <is>
          <t>tỉ lệ số công PP</t>
        </is>
      </c>
      <c r="E27" s="1217" t="n"/>
      <c r="F27" s="1217" t="n"/>
      <c r="G27" s="779" t="inlineStr">
        <is>
          <t>r=p/q</t>
        </is>
      </c>
      <c r="H27" s="263" t="inlineStr">
        <is>
          <t>実績</t>
        </is>
      </c>
      <c r="I27" s="671">
        <f>SUM(I25/I26)</f>
        <v/>
      </c>
      <c r="J27" s="671">
        <f>SUM(J25/J26)</f>
        <v/>
      </c>
      <c r="K27" s="671">
        <f>SUM(K25/K26)</f>
        <v/>
      </c>
      <c r="L27" s="671">
        <f>SUM(L25/L26)</f>
        <v/>
      </c>
      <c r="M27" s="671">
        <f>SUM(M25/M26)</f>
        <v/>
      </c>
      <c r="N27" s="671">
        <f>SUM(N25/N26)</f>
        <v/>
      </c>
      <c r="O27" s="671">
        <f>SUM(O25/O26)</f>
        <v/>
      </c>
      <c r="P27" s="671">
        <f>SUM(P25/P26)</f>
        <v/>
      </c>
      <c r="Q27" s="671">
        <f>SUM(Q25/Q26)</f>
        <v/>
      </c>
      <c r="R27" s="671">
        <f>SUM(R25/R26)</f>
        <v/>
      </c>
      <c r="S27" s="671">
        <f>SUM(S25/S26)</f>
        <v/>
      </c>
      <c r="T27" s="672">
        <f>SUM(T25/T26)</f>
        <v/>
      </c>
      <c r="U27" s="765" t="n"/>
      <c r="V27" s="673" t="n"/>
      <c r="W27" s="670" t="n"/>
      <c r="X27" s="670" t="n"/>
      <c r="Y27" s="670" t="n"/>
      <c r="Z27" s="670" t="n"/>
      <c r="AA27" s="670" t="n"/>
      <c r="AB27" s="670" t="n"/>
      <c r="AC27" s="670" t="n"/>
      <c r="AD27" s="670" t="n"/>
      <c r="AE27" s="670" t="n"/>
      <c r="AF27" s="670" t="n"/>
    </row>
    <row r="28" ht="14.4" customFormat="1" customHeight="1" s="269">
      <c r="A28" s="1218" t="inlineStr">
        <is>
          <t>４．コスト</t>
        </is>
      </c>
      <c r="B28" s="257" t="inlineStr">
        <is>
          <t>s</t>
        </is>
      </c>
      <c r="C28" s="398" t="inlineStr">
        <is>
          <t>1人当たりの加工工数（h）</t>
        </is>
      </c>
      <c r="D28" s="398" t="inlineStr">
        <is>
          <t>TGGC 1 nguoi</t>
        </is>
      </c>
      <c r="E28" s="1223" t="inlineStr">
        <is>
          <t>単月</t>
        </is>
      </c>
      <c r="F28" s="1223" t="inlineStr">
        <is>
          <t>đơn tháng</t>
        </is>
      </c>
      <c r="G28" s="401" t="inlineStr">
        <is>
          <t>s=q/b</t>
        </is>
      </c>
      <c r="H28" s="674" t="inlineStr">
        <is>
          <t>実績</t>
        </is>
      </c>
      <c r="I28" s="675">
        <f>SUM(I26/I10)</f>
        <v/>
      </c>
      <c r="J28" s="675">
        <f>SUM(J26/J10)</f>
        <v/>
      </c>
      <c r="K28" s="675">
        <f>SUM(K26/K10)</f>
        <v/>
      </c>
      <c r="L28" s="675">
        <f>SUM(L26/L10)</f>
        <v/>
      </c>
      <c r="M28" s="675">
        <f>SUM(M26/M10)</f>
        <v/>
      </c>
      <c r="N28" s="675">
        <f>SUM(N26/N10)</f>
        <v/>
      </c>
      <c r="O28" s="675">
        <f>SUM(O26/O10)</f>
        <v/>
      </c>
      <c r="P28" s="675">
        <f>SUM(P26/P10)</f>
        <v/>
      </c>
      <c r="Q28" s="675">
        <f>SUM(Q26/Q10)</f>
        <v/>
      </c>
      <c r="R28" s="675">
        <f>SUM(R26/R10)</f>
        <v/>
      </c>
      <c r="S28" s="675">
        <f>SUM(S26/S10)</f>
        <v/>
      </c>
      <c r="T28" s="676">
        <f>SUM(T26/T10)</f>
        <v/>
      </c>
      <c r="U28" s="766" t="n"/>
      <c r="V28" s="677" t="n"/>
      <c r="W28" s="670" t="n"/>
      <c r="X28" s="670" t="n"/>
      <c r="Y28" s="670" t="n"/>
      <c r="Z28" s="670" t="n"/>
      <c r="AA28" s="670" t="n"/>
      <c r="AB28" s="670" t="n"/>
      <c r="AC28" s="670" t="n"/>
      <c r="AD28" s="670" t="n"/>
      <c r="AE28" s="670" t="n"/>
      <c r="AF28" s="670" t="n"/>
    </row>
    <row r="29" ht="24.6" customFormat="1" customHeight="1" s="269" thickBot="1">
      <c r="A29" s="1174" t="n"/>
      <c r="B29" s="1048" t="inlineStr">
        <is>
          <t>t</t>
        </is>
      </c>
      <c r="C29" s="1054" t="inlineStr">
        <is>
          <t>１人当たりの加工個数（Pcs）</t>
        </is>
      </c>
      <c r="D29" s="1054" t="inlineStr">
        <is>
          <t>số pcs hoan thanh 1 nguoi</t>
        </is>
      </c>
      <c r="E29" s="1217" t="n"/>
      <c r="F29" s="1217" t="n"/>
      <c r="G29" s="1046" t="inlineStr">
        <is>
          <t>t=w/b</t>
        </is>
      </c>
      <c r="H29" s="1057" t="inlineStr">
        <is>
          <t>実績</t>
        </is>
      </c>
      <c r="I29" s="678">
        <f>SUM(I32/I10)</f>
        <v/>
      </c>
      <c r="J29" s="678">
        <f>SUM(J32/J10)</f>
        <v/>
      </c>
      <c r="K29" s="678">
        <f>SUM(K32/K10)</f>
        <v/>
      </c>
      <c r="L29" s="678">
        <f>SUM(L32/L10)</f>
        <v/>
      </c>
      <c r="M29" s="678">
        <f>SUM(M32/M10)</f>
        <v/>
      </c>
      <c r="N29" s="678">
        <f>SUM(N32/N10)</f>
        <v/>
      </c>
      <c r="O29" s="678">
        <f>SUM(O32/O10)</f>
        <v/>
      </c>
      <c r="P29" s="678">
        <f>SUM(P32/P10)</f>
        <v/>
      </c>
      <c r="Q29" s="678">
        <f>SUM(Q32/Q10)</f>
        <v/>
      </c>
      <c r="R29" s="678">
        <f>SUM(R32/R10)</f>
        <v/>
      </c>
      <c r="S29" s="678">
        <f>SUM(S32/S10)</f>
        <v/>
      </c>
      <c r="T29" s="679">
        <f>SUM(T32/T10)</f>
        <v/>
      </c>
      <c r="U29" s="767" t="n"/>
      <c r="V29" s="680" t="n"/>
      <c r="W29" s="670" t="n"/>
      <c r="X29" s="670" t="n"/>
      <c r="Y29" s="670" t="n"/>
      <c r="Z29" s="670" t="n"/>
      <c r="AA29" s="670" t="n"/>
      <c r="AB29" s="670" t="n"/>
      <c r="AC29" s="670" t="n"/>
      <c r="AD29" s="670" t="n"/>
      <c r="AE29" s="670" t="n"/>
      <c r="AF29" s="670" t="n"/>
    </row>
    <row r="30" ht="36" customHeight="1" s="1062">
      <c r="A30" s="1033" t="inlineStr">
        <is>
          <t>５．生産性
(内作)</t>
        </is>
      </c>
      <c r="B30" s="260" t="inlineStr">
        <is>
          <t>u</t>
        </is>
      </c>
      <c r="C30" s="1222" t="inlineStr">
        <is>
          <t>完成総図面数量 (枚)</t>
        </is>
      </c>
      <c r="D30" s="1222" t="inlineStr">
        <is>
          <t>tông bv hoan thanh</t>
        </is>
      </c>
      <c r="E30" s="1047" t="inlineStr">
        <is>
          <t>単月</t>
        </is>
      </c>
      <c r="F30" s="1058" t="inlineStr">
        <is>
          <t>đơn tháng</t>
        </is>
      </c>
      <c r="G30" s="645" t="inlineStr">
        <is>
          <t>u=指標1 (B29)
内作完了図面枚数</t>
        </is>
      </c>
      <c r="H30" s="681" t="inlineStr">
        <is>
          <t>実績</t>
        </is>
      </c>
      <c r="I30" s="682">
        <f>指標1!B29</f>
        <v/>
      </c>
      <c r="J30" s="682">
        <f>指標1!C29</f>
        <v/>
      </c>
      <c r="K30" s="682">
        <f>指標1!D29</f>
        <v/>
      </c>
      <c r="L30" s="682">
        <f>指標1!E29</f>
        <v/>
      </c>
      <c r="M30" s="682">
        <f>指標1!F29</f>
        <v/>
      </c>
      <c r="N30" s="682">
        <f>指標1!G29</f>
        <v/>
      </c>
      <c r="O30" s="682">
        <f>指標1!H29</f>
        <v/>
      </c>
      <c r="P30" s="682">
        <f>指標1!I29</f>
        <v/>
      </c>
      <c r="Q30" s="682">
        <f>指標1!J29</f>
        <v/>
      </c>
      <c r="R30" s="682">
        <f>指標1!K29</f>
        <v/>
      </c>
      <c r="S30" s="682">
        <f>指標1!L29</f>
        <v/>
      </c>
      <c r="T30" s="682">
        <f>指標1!M29</f>
        <v/>
      </c>
      <c r="U30" s="768" t="n"/>
      <c r="V30" s="453" t="n"/>
      <c r="W30" s="252" t="n"/>
      <c r="X30" s="252" t="n"/>
      <c r="Y30" s="252" t="n"/>
      <c r="Z30" s="252" t="n"/>
      <c r="AA30" s="252" t="n"/>
      <c r="AB30" s="252" t="n"/>
      <c r="AC30" s="252" t="n"/>
      <c r="AD30" s="252" t="n"/>
      <c r="AE30" s="252" t="n"/>
      <c r="AF30" s="252" t="n"/>
    </row>
    <row r="31" ht="15" customHeight="1" s="1062" thickBot="1">
      <c r="A31" s="1170" t="n"/>
      <c r="B31" s="1048" t="inlineStr">
        <is>
          <t>v</t>
        </is>
      </c>
      <c r="C31" s="1217" t="n"/>
      <c r="D31" s="1217" t="n"/>
      <c r="E31" s="270" t="inlineStr">
        <is>
          <t>累計</t>
        </is>
      </c>
      <c r="F31" s="730" t="inlineStr">
        <is>
          <t>lũy kế</t>
        </is>
      </c>
      <c r="G31" s="734" t="n"/>
      <c r="H31" s="265" t="inlineStr">
        <is>
          <t>実績</t>
        </is>
      </c>
      <c r="I31" s="266">
        <f>I30</f>
        <v/>
      </c>
      <c r="J31" s="266">
        <f>I31+J30</f>
        <v/>
      </c>
      <c r="K31" s="266">
        <f>J31+K30</f>
        <v/>
      </c>
      <c r="L31" s="266">
        <f>K31+L30</f>
        <v/>
      </c>
      <c r="M31" s="266">
        <f>L31+M30</f>
        <v/>
      </c>
      <c r="N31" s="266">
        <f>M31+N30</f>
        <v/>
      </c>
      <c r="O31" s="266">
        <f>N31+O30</f>
        <v/>
      </c>
      <c r="P31" s="266">
        <f>O31+P30</f>
        <v/>
      </c>
      <c r="Q31" s="266">
        <f>P31+Q30</f>
        <v/>
      </c>
      <c r="R31" s="266">
        <f>Q31+R30</f>
        <v/>
      </c>
      <c r="S31" s="266">
        <f>R31+S30</f>
        <v/>
      </c>
      <c r="T31" s="267">
        <f>S31+T30</f>
        <v/>
      </c>
      <c r="U31" s="753" t="n"/>
      <c r="V31" s="446" t="n"/>
      <c r="W31" s="252" t="n"/>
      <c r="X31" s="252" t="n"/>
      <c r="Y31" s="252" t="n"/>
      <c r="Z31" s="252" t="n"/>
      <c r="AA31" s="252" t="n"/>
      <c r="AB31" s="252" t="n"/>
      <c r="AC31" s="252" t="n"/>
      <c r="AD31" s="252" t="n"/>
      <c r="AE31" s="252" t="n"/>
      <c r="AF31" s="252" t="n"/>
    </row>
    <row r="32" ht="24" customFormat="1" customHeight="1" s="276">
      <c r="A32" s="1170" t="n"/>
      <c r="B32" s="260" t="inlineStr">
        <is>
          <t>w</t>
        </is>
      </c>
      <c r="C32" s="1227" t="inlineStr">
        <is>
          <t>完成総数量 (Pcs)</t>
        </is>
      </c>
      <c r="D32" s="1227" t="inlineStr">
        <is>
          <t>tong pcs hoan thanh</t>
        </is>
      </c>
      <c r="E32" s="683" t="inlineStr">
        <is>
          <t>単月</t>
        </is>
      </c>
      <c r="F32" s="684" t="inlineStr">
        <is>
          <t>đơn tháng</t>
        </is>
      </c>
      <c r="G32" s="403" t="inlineStr">
        <is>
          <t>w=指標1 (B14)
内作完成数量</t>
        </is>
      </c>
      <c r="H32" s="681" t="inlineStr">
        <is>
          <t>実績</t>
        </is>
      </c>
      <c r="I32" s="685">
        <f>指標1!B14</f>
        <v/>
      </c>
      <c r="J32" s="685">
        <f>指標1!C14</f>
        <v/>
      </c>
      <c r="K32" s="685">
        <f>指標1!D14</f>
        <v/>
      </c>
      <c r="L32" s="685">
        <f>指標1!E14</f>
        <v/>
      </c>
      <c r="M32" s="685">
        <f>指標1!F14</f>
        <v/>
      </c>
      <c r="N32" s="685">
        <f>指標1!G14</f>
        <v/>
      </c>
      <c r="O32" s="685">
        <f>指標1!H14</f>
        <v/>
      </c>
      <c r="P32" s="685">
        <f>指標1!I14</f>
        <v/>
      </c>
      <c r="Q32" s="685">
        <f>指標1!J14</f>
        <v/>
      </c>
      <c r="R32" s="685">
        <f>指標1!K14</f>
        <v/>
      </c>
      <c r="S32" s="685">
        <f>指標1!L14</f>
        <v/>
      </c>
      <c r="T32" s="685">
        <f>指標1!M14</f>
        <v/>
      </c>
      <c r="U32" s="769" t="n"/>
      <c r="V32" s="454" t="n"/>
    </row>
    <row r="33" ht="15" customFormat="1" customHeight="1" s="276" thickBot="1">
      <c r="A33" s="1170" t="n"/>
      <c r="B33" s="1048" t="inlineStr">
        <is>
          <t>x</t>
        </is>
      </c>
      <c r="C33" s="1217" t="n"/>
      <c r="D33" s="1217" t="n"/>
      <c r="E33" s="686" t="inlineStr">
        <is>
          <t>累計</t>
        </is>
      </c>
      <c r="F33" s="686" t="inlineStr">
        <is>
          <t>lũy kế</t>
        </is>
      </c>
      <c r="G33" s="687" t="n"/>
      <c r="H33" s="265" t="inlineStr">
        <is>
          <t>実績</t>
        </is>
      </c>
      <c r="I33" s="688">
        <f>I32</f>
        <v/>
      </c>
      <c r="J33" s="688">
        <f>I33+J32</f>
        <v/>
      </c>
      <c r="K33" s="688">
        <f>J33+K32</f>
        <v/>
      </c>
      <c r="L33" s="688">
        <f>K33+L32</f>
        <v/>
      </c>
      <c r="M33" s="688">
        <f>L33+M32</f>
        <v/>
      </c>
      <c r="N33" s="688">
        <f>M33+N32</f>
        <v/>
      </c>
      <c r="O33" s="688">
        <f>N33+O32</f>
        <v/>
      </c>
      <c r="P33" s="688">
        <f>O33+P32</f>
        <v/>
      </c>
      <c r="Q33" s="688">
        <f>P33+Q32</f>
        <v/>
      </c>
      <c r="R33" s="688">
        <f>Q33+R32</f>
        <v/>
      </c>
      <c r="S33" s="688">
        <f>R33+S32</f>
        <v/>
      </c>
      <c r="T33" s="689">
        <f>S33+T32</f>
        <v/>
      </c>
      <c r="U33" s="770" t="n"/>
      <c r="V33" s="455" t="n"/>
    </row>
    <row r="34">
      <c r="A34" s="1170" t="n"/>
      <c r="B34" s="257" t="inlineStr">
        <is>
          <t>y</t>
        </is>
      </c>
      <c r="C34" s="1222" t="inlineStr">
        <is>
          <t>P/M.H 値 (図面）</t>
        </is>
      </c>
      <c r="D34" s="1220" t="inlineStr">
        <is>
          <t>chi số bv/ M.H</t>
        </is>
      </c>
      <c r="E34" s="257" t="inlineStr">
        <is>
          <t>単月</t>
        </is>
      </c>
      <c r="F34" s="257" t="inlineStr">
        <is>
          <t>đơn tháng</t>
        </is>
      </c>
      <c r="G34" s="398" t="inlineStr">
        <is>
          <t>y=u/e</t>
        </is>
      </c>
      <c r="H34" s="690" t="inlineStr">
        <is>
          <t>実績</t>
        </is>
      </c>
      <c r="I34" s="1228">
        <f>I30/I13</f>
        <v/>
      </c>
      <c r="J34" s="1228">
        <f>J30/J13</f>
        <v/>
      </c>
      <c r="K34" s="1228">
        <f>K30/K13</f>
        <v/>
      </c>
      <c r="L34" s="1228">
        <f>L30/L13</f>
        <v/>
      </c>
      <c r="M34" s="1228">
        <f>M30/M13</f>
        <v/>
      </c>
      <c r="N34" s="1228">
        <f>N30/N13</f>
        <v/>
      </c>
      <c r="O34" s="1228">
        <f>O30/O13</f>
        <v/>
      </c>
      <c r="P34" s="1228">
        <f>P30/P13</f>
        <v/>
      </c>
      <c r="Q34" s="1228">
        <f>Q30/Q13</f>
        <v/>
      </c>
      <c r="R34" s="1228">
        <f>R30/R13</f>
        <v/>
      </c>
      <c r="S34" s="1228">
        <f>S30/S13</f>
        <v/>
      </c>
      <c r="T34" s="1229">
        <f>T30/T13</f>
        <v/>
      </c>
      <c r="U34" s="1230" t="n"/>
      <c r="V34" s="1231" t="n"/>
      <c r="W34" s="252" t="n"/>
      <c r="X34" s="252" t="n"/>
      <c r="Y34" s="252" t="n"/>
      <c r="Z34" s="252" t="n"/>
      <c r="AA34" s="252" t="n"/>
      <c r="AB34" s="252" t="n"/>
      <c r="AC34" s="252" t="n"/>
      <c r="AD34" s="252" t="n"/>
      <c r="AE34" s="252" t="n"/>
      <c r="AF34" s="252" t="n"/>
    </row>
    <row r="35" ht="15" customHeight="1" s="1062" thickBot="1">
      <c r="A35" s="1170" t="n"/>
      <c r="B35" s="730" t="inlineStr">
        <is>
          <t>z</t>
        </is>
      </c>
      <c r="C35" s="1217" t="n"/>
      <c r="D35" s="1217" t="n"/>
      <c r="E35" s="730" t="inlineStr">
        <is>
          <t>累計</t>
        </is>
      </c>
      <c r="F35" s="730" t="inlineStr">
        <is>
          <t>lũy kế</t>
        </is>
      </c>
      <c r="G35" s="779" t="inlineStr">
        <is>
          <t>z=v/f</t>
        </is>
      </c>
      <c r="H35" s="265" t="inlineStr">
        <is>
          <t>実績</t>
        </is>
      </c>
      <c r="I35" s="1232">
        <f>I31/I14</f>
        <v/>
      </c>
      <c r="J35" s="1232">
        <f>J31/J14</f>
        <v/>
      </c>
      <c r="K35" s="1232">
        <f>K31/K14</f>
        <v/>
      </c>
      <c r="L35" s="1232">
        <f>L31/L14</f>
        <v/>
      </c>
      <c r="M35" s="1232">
        <f>M31/M14</f>
        <v/>
      </c>
      <c r="N35" s="1232">
        <f>N31/N14</f>
        <v/>
      </c>
      <c r="O35" s="1232">
        <f>O31/O14</f>
        <v/>
      </c>
      <c r="P35" s="1232">
        <f>P31/P14</f>
        <v/>
      </c>
      <c r="Q35" s="1232">
        <f>Q31/Q14</f>
        <v/>
      </c>
      <c r="R35" s="1232">
        <f>R31/R14</f>
        <v/>
      </c>
      <c r="S35" s="1232">
        <f>S31/S14</f>
        <v/>
      </c>
      <c r="T35" s="1233">
        <f>T31/T14</f>
        <v/>
      </c>
      <c r="U35" s="1234" t="n"/>
      <c r="V35" s="1235" t="n"/>
      <c r="W35" s="252" t="n"/>
      <c r="X35" s="252" t="n"/>
      <c r="Y35" s="252" t="n"/>
      <c r="Z35" s="252" t="n"/>
      <c r="AA35" s="252" t="n"/>
      <c r="AB35" s="252" t="n"/>
      <c r="AC35" s="252" t="n"/>
      <c r="AD35" s="252" t="n"/>
      <c r="AE35" s="252" t="n"/>
      <c r="AF35" s="252" t="n"/>
    </row>
    <row r="36">
      <c r="A36" s="1170" t="n"/>
      <c r="B36" s="264" t="inlineStr">
        <is>
          <t>A</t>
        </is>
      </c>
      <c r="C36" s="1222" t="inlineStr">
        <is>
          <t>P/M.H 値 (Ｐｃｓ)</t>
        </is>
      </c>
      <c r="D36" s="1220" t="inlineStr">
        <is>
          <t>chi sô pcs /M.H</t>
        </is>
      </c>
      <c r="E36" s="264" t="inlineStr">
        <is>
          <t>単月</t>
        </is>
      </c>
      <c r="F36" s="264" t="inlineStr">
        <is>
          <t>đơn tháng</t>
        </is>
      </c>
      <c r="G36" s="398" t="inlineStr">
        <is>
          <t>A=w/e</t>
        </is>
      </c>
      <c r="H36" s="674" t="inlineStr">
        <is>
          <t>実績</t>
        </is>
      </c>
      <c r="I36" s="665">
        <f>I32/I13</f>
        <v/>
      </c>
      <c r="J36" s="665">
        <f>J32/J13</f>
        <v/>
      </c>
      <c r="K36" s="665">
        <f>K32/K13</f>
        <v/>
      </c>
      <c r="L36" s="665">
        <f>L32/L13</f>
        <v/>
      </c>
      <c r="M36" s="665">
        <f>M32/M13</f>
        <v/>
      </c>
      <c r="N36" s="665">
        <f>N32/N13</f>
        <v/>
      </c>
      <c r="O36" s="665">
        <f>O32/O13</f>
        <v/>
      </c>
      <c r="P36" s="665">
        <f>P32/P13</f>
        <v/>
      </c>
      <c r="Q36" s="665">
        <f>Q32/Q13</f>
        <v/>
      </c>
      <c r="R36" s="665">
        <f>R32/R13</f>
        <v/>
      </c>
      <c r="S36" s="665">
        <f>S32/S13</f>
        <v/>
      </c>
      <c r="T36" s="666">
        <f>T32/T13</f>
        <v/>
      </c>
      <c r="U36" s="773" t="n"/>
      <c r="V36" s="449" t="n"/>
      <c r="W36" s="252" t="n"/>
      <c r="X36" s="252" t="n"/>
      <c r="Y36" s="252" t="n"/>
      <c r="Z36" s="252" t="n"/>
      <c r="AA36" s="252" t="n"/>
      <c r="AB36" s="252" t="n"/>
      <c r="AC36" s="252" t="n"/>
      <c r="AD36" s="252" t="n"/>
      <c r="AE36" s="252" t="n"/>
      <c r="AF36" s="252" t="n"/>
    </row>
    <row r="37" ht="15" customHeight="1" s="1062" thickBot="1">
      <c r="A37" s="1170" t="n"/>
      <c r="B37" s="1048" t="inlineStr">
        <is>
          <t>B</t>
        </is>
      </c>
      <c r="C37" s="1217" t="n"/>
      <c r="D37" s="1217" t="n"/>
      <c r="E37" s="1058" t="inlineStr">
        <is>
          <t>累計</t>
        </is>
      </c>
      <c r="F37" s="730" t="inlineStr">
        <is>
          <t>lũy kế</t>
        </is>
      </c>
      <c r="G37" s="1046" t="inlineStr">
        <is>
          <t>B=x/f</t>
        </is>
      </c>
      <c r="H37" s="265" t="inlineStr">
        <is>
          <t>実績</t>
        </is>
      </c>
      <c r="I37" s="662">
        <f>I33/I14</f>
        <v/>
      </c>
      <c r="J37" s="662">
        <f>J33/J14</f>
        <v/>
      </c>
      <c r="K37" s="662">
        <f>K33/K14</f>
        <v/>
      </c>
      <c r="L37" s="662">
        <f>L33/L14</f>
        <v/>
      </c>
      <c r="M37" s="662">
        <f>M33/M14</f>
        <v/>
      </c>
      <c r="N37" s="662">
        <f>N33/N14</f>
        <v/>
      </c>
      <c r="O37" s="662">
        <f>O33/O14</f>
        <v/>
      </c>
      <c r="P37" s="662">
        <f>P33/P14</f>
        <v/>
      </c>
      <c r="Q37" s="695">
        <f>Q33/Q14</f>
        <v/>
      </c>
      <c r="R37" s="662">
        <f>R33/R14</f>
        <v/>
      </c>
      <c r="S37" s="662">
        <f>S33/S14</f>
        <v/>
      </c>
      <c r="T37" s="663">
        <f>T33/T14</f>
        <v/>
      </c>
      <c r="U37" s="760" t="n"/>
      <c r="V37" s="448" t="n"/>
      <c r="W37" s="252" t="n"/>
      <c r="X37" s="252" t="n"/>
      <c r="Y37" s="252" t="n"/>
      <c r="Z37" s="252" t="n"/>
      <c r="AA37" s="252" t="n"/>
      <c r="AB37" s="252" t="n"/>
      <c r="AC37" s="252" t="n"/>
      <c r="AD37" s="252" t="n"/>
      <c r="AE37" s="252" t="n"/>
      <c r="AF37" s="252" t="n"/>
    </row>
    <row r="38">
      <c r="A38" s="1170" t="n"/>
      <c r="B38" s="260" t="inlineStr">
        <is>
          <t>C</t>
        </is>
      </c>
      <c r="C38" s="1236" t="inlineStr">
        <is>
          <t>加工完了金額 (単位)</t>
        </is>
      </c>
      <c r="D38" s="1220" t="inlineStr">
        <is>
          <t>sô tiền GCHT</t>
        </is>
      </c>
      <c r="E38" s="257" t="inlineStr">
        <is>
          <t>単月</t>
        </is>
      </c>
      <c r="F38" s="264" t="inlineStr">
        <is>
          <t>đơn tháng</t>
        </is>
      </c>
      <c r="G38" s="410" t="n"/>
      <c r="H38" s="264" t="inlineStr">
        <is>
          <t>実績</t>
        </is>
      </c>
      <c r="I38" s="277" t="n">
        <v>148863</v>
      </c>
      <c r="J38" s="277" t="n">
        <v>103593.8453962264</v>
      </c>
      <c r="K38" s="1237" t="n">
        <v>114471.2726415094</v>
      </c>
      <c r="L38" s="277" t="n"/>
      <c r="M38" s="277" t="n"/>
      <c r="N38" s="278" t="n"/>
      <c r="O38" s="277" t="n"/>
      <c r="P38" s="277" t="n"/>
      <c r="Q38" s="277" t="n"/>
      <c r="R38" s="277" t="n"/>
      <c r="S38" s="277" t="n"/>
      <c r="T38" s="279" t="n"/>
      <c r="U38" s="774" t="n"/>
      <c r="V38" s="458" t="n"/>
      <c r="W38" s="252" t="n"/>
      <c r="X38" s="252" t="n"/>
      <c r="Y38" s="252" t="n"/>
      <c r="Z38" s="252" t="n"/>
      <c r="AA38" s="252" t="n"/>
      <c r="AB38" s="252" t="n"/>
      <c r="AC38" s="252" t="n"/>
      <c r="AD38" s="252" t="n"/>
      <c r="AE38" s="252" t="n"/>
      <c r="AF38" s="252" t="n"/>
    </row>
    <row r="39" ht="15" customHeight="1" s="1062" thickBot="1">
      <c r="A39" s="1170" t="n"/>
      <c r="B39" s="730" t="inlineStr">
        <is>
          <t>D</t>
        </is>
      </c>
      <c r="C39" s="1217" t="n"/>
      <c r="D39" s="1217" t="n"/>
      <c r="E39" s="730" t="inlineStr">
        <is>
          <t>累計</t>
        </is>
      </c>
      <c r="F39" s="730" t="inlineStr">
        <is>
          <t>lũy kế</t>
        </is>
      </c>
      <c r="G39" s="779" t="n"/>
      <c r="H39" s="265" t="inlineStr">
        <is>
          <t>実績</t>
        </is>
      </c>
      <c r="I39" s="266">
        <f>I38</f>
        <v/>
      </c>
      <c r="J39" s="266">
        <f>I39+J38</f>
        <v/>
      </c>
      <c r="K39" s="266">
        <f>J39+K38</f>
        <v/>
      </c>
      <c r="L39" s="266">
        <f>K39+L38</f>
        <v/>
      </c>
      <c r="M39" s="266">
        <f>L39+M38</f>
        <v/>
      </c>
      <c r="N39" s="266">
        <f>M39+N38</f>
        <v/>
      </c>
      <c r="O39" s="266">
        <f>N39+O38</f>
        <v/>
      </c>
      <c r="P39" s="266">
        <f>O39+P38</f>
        <v/>
      </c>
      <c r="Q39" s="266">
        <f>P39+Q38</f>
        <v/>
      </c>
      <c r="R39" s="266">
        <f>Q39+R38</f>
        <v/>
      </c>
      <c r="S39" s="266">
        <f>R39+S38</f>
        <v/>
      </c>
      <c r="T39" s="267">
        <f>S39+T38</f>
        <v/>
      </c>
      <c r="U39" s="753" t="n"/>
      <c r="V39" s="446" t="n"/>
      <c r="W39" s="252" t="n"/>
      <c r="X39" s="252" t="n"/>
      <c r="Y39" s="252" t="n"/>
      <c r="Z39" s="252" t="n"/>
      <c r="AA39" s="252" t="n"/>
      <c r="AB39" s="252" t="n"/>
      <c r="AC39" s="252" t="n"/>
      <c r="AD39" s="252" t="n"/>
      <c r="AE39" s="252" t="n"/>
      <c r="AF39" s="252" t="n"/>
    </row>
    <row r="40">
      <c r="A40" s="1170" t="n"/>
      <c r="B40" s="260" t="inlineStr">
        <is>
          <t>E</t>
        </is>
      </c>
      <c r="C40" s="1222" t="inlineStr">
        <is>
          <t>加工費/M.H  (単位)</t>
        </is>
      </c>
      <c r="D40" s="1220" t="inlineStr">
        <is>
          <t>số tiền GC / M.H</t>
        </is>
      </c>
      <c r="E40" s="264" t="inlineStr">
        <is>
          <t>単月</t>
        </is>
      </c>
      <c r="F40" s="264" t="inlineStr">
        <is>
          <t>đơn tháng</t>
        </is>
      </c>
      <c r="G40" s="406" t="inlineStr">
        <is>
          <t>E=C/e</t>
        </is>
      </c>
      <c r="H40" s="690" t="inlineStr">
        <is>
          <t>実績</t>
        </is>
      </c>
      <c r="I40" s="1238">
        <f>I38/I13</f>
        <v/>
      </c>
      <c r="J40" s="1238">
        <f>J38/J13</f>
        <v/>
      </c>
      <c r="K40" s="1238">
        <f>K38/K13</f>
        <v/>
      </c>
      <c r="L40" s="1238">
        <f>L38/L13</f>
        <v/>
      </c>
      <c r="M40" s="1238">
        <f>M38/M13</f>
        <v/>
      </c>
      <c r="N40" s="1238">
        <f>N38/N13</f>
        <v/>
      </c>
      <c r="O40" s="1238">
        <f>O38/O13</f>
        <v/>
      </c>
      <c r="P40" s="1238">
        <f>P38/P13</f>
        <v/>
      </c>
      <c r="Q40" s="1238">
        <f>Q38/Q13</f>
        <v/>
      </c>
      <c r="R40" s="1238">
        <f>R38/R13</f>
        <v/>
      </c>
      <c r="S40" s="1238">
        <f>S38/S13</f>
        <v/>
      </c>
      <c r="T40" s="1229">
        <f>T38/T13</f>
        <v/>
      </c>
      <c r="U40" s="1230" t="n"/>
      <c r="V40" s="1231" t="n"/>
      <c r="W40" s="252" t="n"/>
      <c r="X40" s="252" t="n"/>
      <c r="Y40" s="252" t="n"/>
      <c r="Z40" s="252" t="n"/>
      <c r="AA40" s="252" t="n"/>
      <c r="AB40" s="252" t="n"/>
      <c r="AC40" s="252" t="n"/>
      <c r="AD40" s="252" t="n"/>
      <c r="AE40" s="252" t="n"/>
      <c r="AF40" s="252" t="n"/>
    </row>
    <row r="41" ht="15" customHeight="1" s="1062" thickBot="1">
      <c r="A41" s="1216" t="n"/>
      <c r="B41" s="1048" t="inlineStr">
        <is>
          <t>F</t>
        </is>
      </c>
      <c r="C41" s="1217" t="n"/>
      <c r="D41" s="1217" t="n"/>
      <c r="E41" s="1058" t="inlineStr">
        <is>
          <t>累計</t>
        </is>
      </c>
      <c r="F41" s="1058" t="inlineStr">
        <is>
          <t>lũy kế</t>
        </is>
      </c>
      <c r="G41" s="779" t="inlineStr">
        <is>
          <t>F=D/f</t>
        </is>
      </c>
      <c r="H41" s="265" t="inlineStr">
        <is>
          <t>実績</t>
        </is>
      </c>
      <c r="I41" s="1232">
        <f>I39/I14</f>
        <v/>
      </c>
      <c r="J41" s="1232">
        <f>J39/J14</f>
        <v/>
      </c>
      <c r="K41" s="1232">
        <f>K39/K14</f>
        <v/>
      </c>
      <c r="L41" s="1232">
        <f>L39/L14</f>
        <v/>
      </c>
      <c r="M41" s="1232">
        <f>M39/M14</f>
        <v/>
      </c>
      <c r="N41" s="1232">
        <f>N39/N14</f>
        <v/>
      </c>
      <c r="O41" s="1232">
        <f>O39/O14</f>
        <v/>
      </c>
      <c r="P41" s="1232">
        <f>P39/P14</f>
        <v/>
      </c>
      <c r="Q41" s="1232">
        <f>Q39/Q14</f>
        <v/>
      </c>
      <c r="R41" s="1232">
        <f>R39/R14</f>
        <v/>
      </c>
      <c r="S41" s="1232">
        <f>S39/S14</f>
        <v/>
      </c>
      <c r="T41" s="1233">
        <f>T39/T14</f>
        <v/>
      </c>
      <c r="U41" s="1234" t="n"/>
      <c r="V41" s="1235" t="n"/>
      <c r="W41" s="252" t="n"/>
      <c r="X41" s="252" t="n"/>
      <c r="Y41" s="252" t="n"/>
      <c r="Z41" s="252" t="n"/>
      <c r="AA41" s="252" t="n"/>
      <c r="AB41" s="252" t="n"/>
      <c r="AC41" s="252" t="n"/>
      <c r="AD41" s="252" t="n"/>
      <c r="AE41" s="252" t="n"/>
      <c r="AF41" s="252" t="n"/>
    </row>
    <row r="42" ht="36" customHeight="1" s="1062">
      <c r="A42" s="1218" t="inlineStr">
        <is>
          <t>６．生産性
(外作)</t>
        </is>
      </c>
      <c r="B42" s="280" t="inlineStr">
        <is>
          <t>G</t>
        </is>
      </c>
      <c r="C42" s="398" t="inlineStr">
        <is>
          <t>完成総図面枚数 (枚)</t>
        </is>
      </c>
      <c r="D42" s="1053" t="inlineStr">
        <is>
          <t>số bv HT</t>
        </is>
      </c>
      <c r="E42" s="1223" t="inlineStr">
        <is>
          <t>単月</t>
        </is>
      </c>
      <c r="F42" s="253" t="inlineStr">
        <is>
          <t>đơn tháng</t>
        </is>
      </c>
      <c r="G42" s="398" t="inlineStr">
        <is>
          <t>G=指標1 (B34)
外作完了図面枚数</t>
        </is>
      </c>
      <c r="H42" s="697" t="inlineStr">
        <is>
          <t>実績</t>
        </is>
      </c>
      <c r="I42" s="698">
        <f>指標1!B34</f>
        <v/>
      </c>
      <c r="J42" s="698">
        <f>指標1!C34</f>
        <v/>
      </c>
      <c r="K42" s="698">
        <f>指標1!D34</f>
        <v/>
      </c>
      <c r="L42" s="698">
        <f>指標1!E34</f>
        <v/>
      </c>
      <c r="M42" s="698">
        <f>指標1!F34</f>
        <v/>
      </c>
      <c r="N42" s="698">
        <f>指標1!G34</f>
        <v/>
      </c>
      <c r="O42" s="698">
        <f>指標1!H34</f>
        <v/>
      </c>
      <c r="P42" s="698">
        <f>指標1!I34</f>
        <v/>
      </c>
      <c r="Q42" s="698">
        <f>指標1!J34</f>
        <v/>
      </c>
      <c r="R42" s="698">
        <f>指標1!K34</f>
        <v/>
      </c>
      <c r="S42" s="698">
        <f>指標1!L34</f>
        <v/>
      </c>
      <c r="T42" s="698">
        <f>指標1!M34</f>
        <v/>
      </c>
      <c r="U42" s="775" t="n"/>
      <c r="V42" s="459" t="n"/>
    </row>
    <row r="43" ht="13.8" customHeight="1" s="1062">
      <c r="A43" s="1170" t="n"/>
      <c r="B43" s="281" t="inlineStr">
        <is>
          <t>H</t>
        </is>
      </c>
      <c r="C43" s="403" t="inlineStr">
        <is>
          <t>完成総数量 (Pcs)</t>
        </is>
      </c>
      <c r="D43" s="699" t="inlineStr">
        <is>
          <t>số pcs HT</t>
        </is>
      </c>
      <c r="E43" s="1069" t="n"/>
      <c r="F43" s="1069" t="n"/>
      <c r="G43" s="403" t="inlineStr">
        <is>
          <t>T</t>
        </is>
      </c>
      <c r="H43" s="260" t="inlineStr">
        <is>
          <t>実績</t>
        </is>
      </c>
      <c r="I43" s="282" t="n">
        <v>9639</v>
      </c>
      <c r="J43" s="282" t="n">
        <v>7388</v>
      </c>
      <c r="K43" s="1239" t="n">
        <v>12870</v>
      </c>
      <c r="L43" s="282" t="n"/>
      <c r="M43" s="282" t="n"/>
      <c r="N43" s="282" t="n"/>
      <c r="O43" s="282" t="n"/>
      <c r="P43" s="282" t="n"/>
      <c r="Q43" s="282" t="n"/>
      <c r="R43" s="282" t="n"/>
      <c r="S43" s="282" t="n"/>
      <c r="T43" s="283" t="n"/>
      <c r="U43" s="769" t="n"/>
      <c r="V43" s="460" t="inlineStr">
        <is>
          <t xml:space="preserve"> </t>
        </is>
      </c>
    </row>
    <row r="44" ht="14.4" customHeight="1" s="1062" thickBot="1">
      <c r="A44" s="1170" t="n"/>
      <c r="B44" s="284" t="inlineStr">
        <is>
          <t>I</t>
        </is>
      </c>
      <c r="C44" s="399" t="inlineStr">
        <is>
          <t>加工金額 (単位)</t>
        </is>
      </c>
      <c r="D44" s="1054" t="inlineStr">
        <is>
          <t>kim ngạch gia công</t>
        </is>
      </c>
      <c r="E44" s="1217" t="n"/>
      <c r="F44" s="1217" t="n"/>
      <c r="G44" s="779" t="inlineStr">
        <is>
          <t>U</t>
        </is>
      </c>
      <c r="H44" s="730" t="inlineStr">
        <is>
          <t>実績</t>
        </is>
      </c>
      <c r="I44" s="285" t="n">
        <v>159134</v>
      </c>
      <c r="J44" s="285" t="n">
        <v>120846</v>
      </c>
      <c r="K44" s="1240" t="n">
        <v>187021</v>
      </c>
      <c r="L44" s="285" t="n"/>
      <c r="M44" s="285" t="n"/>
      <c r="N44" s="285" t="n"/>
      <c r="O44" s="285" t="n"/>
      <c r="P44" s="285" t="n"/>
      <c r="Q44" s="285" t="n"/>
      <c r="R44" s="285" t="n"/>
      <c r="S44" s="285" t="n"/>
      <c r="T44" s="286" t="n"/>
      <c r="U44" s="753" t="n"/>
      <c r="V44" s="461" t="n"/>
    </row>
    <row r="45" ht="13.8" customHeight="1" s="1062">
      <c r="A45" s="1170" t="n"/>
      <c r="B45" s="287" t="inlineStr">
        <is>
          <t>J</t>
        </is>
      </c>
      <c r="C45" s="700" t="inlineStr">
        <is>
          <t>完成総図面枚数 (枚)</t>
        </is>
      </c>
      <c r="D45" s="732" t="inlineStr">
        <is>
          <t>số bv HT</t>
        </is>
      </c>
      <c r="E45" s="1048" t="inlineStr">
        <is>
          <t>累計</t>
        </is>
      </c>
      <c r="F45" s="253" t="inlineStr">
        <is>
          <t>lũy kế</t>
        </is>
      </c>
      <c r="G45" s="410" t="inlineStr">
        <is>
          <t>s</t>
        </is>
      </c>
      <c r="H45" s="701" t="inlineStr">
        <is>
          <t>実績</t>
        </is>
      </c>
      <c r="I45" s="702">
        <f>I42</f>
        <v/>
      </c>
      <c r="J45" s="702">
        <f>I45+J42</f>
        <v/>
      </c>
      <c r="K45" s="702">
        <f>J45+K42</f>
        <v/>
      </c>
      <c r="L45" s="702">
        <f>K45+L42</f>
        <v/>
      </c>
      <c r="M45" s="702">
        <f>L45+M42</f>
        <v/>
      </c>
      <c r="N45" s="702">
        <f>M45+N42</f>
        <v/>
      </c>
      <c r="O45" s="702">
        <f>N45+O42</f>
        <v/>
      </c>
      <c r="P45" s="702">
        <f>O45+P42</f>
        <v/>
      </c>
      <c r="Q45" s="702">
        <f>P45+Q42</f>
        <v/>
      </c>
      <c r="R45" s="702">
        <f>Q45+R42</f>
        <v/>
      </c>
      <c r="S45" s="702">
        <f>R45+S42</f>
        <v/>
      </c>
      <c r="T45" s="703">
        <f>S45+T42</f>
        <v/>
      </c>
      <c r="U45" s="774" t="n"/>
      <c r="V45" s="462" t="n"/>
    </row>
    <row r="46" ht="13.8" customHeight="1" s="1062">
      <c r="A46" s="1170" t="n"/>
      <c r="B46" s="288" t="inlineStr">
        <is>
          <t>K</t>
        </is>
      </c>
      <c r="C46" s="403" t="inlineStr">
        <is>
          <t>完成総数量 (Pcs)</t>
        </is>
      </c>
      <c r="D46" s="699" t="inlineStr">
        <is>
          <t>số pcs HT</t>
        </is>
      </c>
      <c r="E46" s="1069" t="n"/>
      <c r="F46" s="1069" t="n"/>
      <c r="G46" s="704" t="inlineStr">
        <is>
          <t>t</t>
        </is>
      </c>
      <c r="H46" s="690" t="inlineStr">
        <is>
          <t>実績</t>
        </is>
      </c>
      <c r="I46" s="705">
        <f>I43</f>
        <v/>
      </c>
      <c r="J46" s="705">
        <f>J43+I46</f>
        <v/>
      </c>
      <c r="K46" s="705">
        <f>K43+J46</f>
        <v/>
      </c>
      <c r="L46" s="705">
        <f>L43+K46</f>
        <v/>
      </c>
      <c r="M46" s="705">
        <f>M43+L46</f>
        <v/>
      </c>
      <c r="N46" s="705">
        <f>N43+M46</f>
        <v/>
      </c>
      <c r="O46" s="705">
        <f>O43+N46</f>
        <v/>
      </c>
      <c r="P46" s="705">
        <f>P43+O46</f>
        <v/>
      </c>
      <c r="Q46" s="705">
        <f>Q43+P46</f>
        <v/>
      </c>
      <c r="R46" s="705">
        <f>R43+Q46</f>
        <v/>
      </c>
      <c r="S46" s="705">
        <f>S43+R46</f>
        <v/>
      </c>
      <c r="T46" s="706">
        <f>T43+S46</f>
        <v/>
      </c>
      <c r="U46" s="769" t="n"/>
      <c r="V46" s="454" t="n"/>
    </row>
    <row r="47" ht="14.4" customHeight="1" s="1062" thickBot="1">
      <c r="A47" s="1174" t="n"/>
      <c r="B47" s="289" t="inlineStr">
        <is>
          <t>L</t>
        </is>
      </c>
      <c r="C47" s="399" t="inlineStr">
        <is>
          <t>加工金額 (単位)</t>
        </is>
      </c>
      <c r="D47" s="1054" t="inlineStr">
        <is>
          <t>kim ngạch gia công</t>
        </is>
      </c>
      <c r="E47" s="1217" t="n"/>
      <c r="F47" s="1217" t="n"/>
      <c r="G47" s="779" t="inlineStr">
        <is>
          <t>u</t>
        </is>
      </c>
      <c r="H47" s="265" t="inlineStr">
        <is>
          <t>実績</t>
        </is>
      </c>
      <c r="I47" s="266">
        <f>I44</f>
        <v/>
      </c>
      <c r="J47" s="266">
        <f>J44+I47</f>
        <v/>
      </c>
      <c r="K47" s="266">
        <f>K44+J47</f>
        <v/>
      </c>
      <c r="L47" s="266">
        <f>L44+K47</f>
        <v/>
      </c>
      <c r="M47" s="266">
        <f>M44+L47</f>
        <v/>
      </c>
      <c r="N47" s="266">
        <f>N44+M47</f>
        <v/>
      </c>
      <c r="O47" s="266">
        <f>O44+N47</f>
        <v/>
      </c>
      <c r="P47" s="266">
        <f>P44+O47</f>
        <v/>
      </c>
      <c r="Q47" s="266">
        <f>Q44+P47</f>
        <v/>
      </c>
      <c r="R47" s="266">
        <f>R44+Q47</f>
        <v/>
      </c>
      <c r="S47" s="266">
        <f>S44+R47</f>
        <v/>
      </c>
      <c r="T47" s="267">
        <f>T44+S47</f>
        <v/>
      </c>
      <c r="U47" s="764" t="n"/>
      <c r="V47" s="452" t="n"/>
    </row>
    <row r="48">
      <c r="A48" s="1059" t="n"/>
      <c r="B48" s="425" t="inlineStr">
        <is>
          <t>M</t>
        </is>
      </c>
      <c r="C48" s="426" t="inlineStr">
        <is>
          <t>無加工労働時間</t>
        </is>
      </c>
      <c r="D48" s="437" t="n"/>
      <c r="E48" s="1223" t="inlineStr">
        <is>
          <t>単月</t>
        </is>
      </c>
      <c r="F48" s="253" t="inlineStr">
        <is>
          <t>đơn tháng</t>
        </is>
      </c>
      <c r="G48" s="427" t="inlineStr">
        <is>
          <t>M=e-j</t>
        </is>
      </c>
      <c r="H48" s="1241" t="inlineStr">
        <is>
          <t>実績</t>
        </is>
      </c>
      <c r="I48" s="428">
        <f>I13-I18</f>
        <v/>
      </c>
      <c r="J48" s="428">
        <f>J13-J18</f>
        <v/>
      </c>
      <c r="K48" s="428">
        <f>K13-K18</f>
        <v/>
      </c>
      <c r="L48" s="428">
        <f>L13-L18</f>
        <v/>
      </c>
      <c r="M48" s="428">
        <f>M13-M18</f>
        <v/>
      </c>
      <c r="N48" s="428">
        <f>N13-N18</f>
        <v/>
      </c>
      <c r="O48" s="428">
        <f>O13-O18</f>
        <v/>
      </c>
      <c r="P48" s="428">
        <f>P13-P18</f>
        <v/>
      </c>
      <c r="Q48" s="428">
        <f>Q13-Q18</f>
        <v/>
      </c>
      <c r="R48" s="428">
        <f>R13-R18</f>
        <v/>
      </c>
      <c r="S48" s="428">
        <f>S13-S18</f>
        <v/>
      </c>
      <c r="T48" s="428">
        <f>T13-T18</f>
        <v/>
      </c>
      <c r="U48" s="776" t="n"/>
      <c r="V48" s="429" t="n"/>
    </row>
    <row r="49">
      <c r="A49" s="1170" t="n"/>
      <c r="B49" s="430" t="inlineStr">
        <is>
          <t>N</t>
        </is>
      </c>
      <c r="C49" s="431" t="inlineStr">
        <is>
          <t>人稼働率（％）</t>
        </is>
      </c>
      <c r="D49" s="438" t="n"/>
      <c r="E49" s="1069" t="n"/>
      <c r="F49" s="1069" t="n"/>
      <c r="G49" s="432" t="inlineStr">
        <is>
          <t>N=j/e</t>
        </is>
      </c>
      <c r="H49" s="1069" t="n"/>
      <c r="I49" s="707">
        <f>I18/I13</f>
        <v/>
      </c>
      <c r="J49" s="707">
        <f>J18/J13</f>
        <v/>
      </c>
      <c r="K49" s="707">
        <f>K18/K13</f>
        <v/>
      </c>
      <c r="L49" s="707">
        <f>L18/L13</f>
        <v/>
      </c>
      <c r="M49" s="707">
        <f>M18/M13</f>
        <v/>
      </c>
      <c r="N49" s="707">
        <f>N18/N13</f>
        <v/>
      </c>
      <c r="O49" s="707">
        <f>O18/O13</f>
        <v/>
      </c>
      <c r="P49" s="707">
        <f>P18/P13</f>
        <v/>
      </c>
      <c r="Q49" s="707">
        <f>Q18/Q13</f>
        <v/>
      </c>
      <c r="R49" s="707">
        <f>R18/R13</f>
        <v/>
      </c>
      <c r="S49" s="707">
        <f>S18/S13</f>
        <v/>
      </c>
      <c r="T49" s="707">
        <f>T18/T13</f>
        <v/>
      </c>
      <c r="U49" s="777" t="n"/>
      <c r="V49" s="708" t="n"/>
    </row>
    <row r="50" ht="13.8" customHeight="1" s="1062" thickBot="1">
      <c r="A50" s="1242" t="n"/>
      <c r="B50" s="433" t="inlineStr">
        <is>
          <t>O</t>
        </is>
      </c>
      <c r="C50" s="434" t="inlineStr">
        <is>
          <t>目標値</t>
        </is>
      </c>
      <c r="D50" s="439" t="n"/>
      <c r="E50" s="1217" t="n"/>
      <c r="F50" s="1217" t="n"/>
      <c r="G50" s="734" t="n"/>
      <c r="H50" s="1217" t="n"/>
      <c r="I50" s="266" t="n"/>
      <c r="J50" s="266" t="n"/>
      <c r="K50" s="266" t="n"/>
      <c r="L50" s="266" t="n"/>
      <c r="M50" s="266" t="n"/>
      <c r="N50" s="266" t="n"/>
      <c r="O50" s="266" t="n"/>
      <c r="P50" s="266" t="n"/>
      <c r="Q50" s="266" t="n"/>
      <c r="R50" s="266" t="n"/>
      <c r="S50" s="266" t="n"/>
      <c r="T50" s="435" t="n"/>
      <c r="U50" s="778" t="n"/>
      <c r="V50" s="436" t="n"/>
    </row>
    <row r="67">
      <c r="A67" s="245" t="inlineStr">
        <is>
          <t>内作完了図面</t>
        </is>
      </c>
    </row>
    <row r="68">
      <c r="A68" s="245" t="inlineStr">
        <is>
          <t>外作完了図面</t>
        </is>
      </c>
    </row>
    <row r="69">
      <c r="A69" s="245" t="inlineStr">
        <is>
          <t>内作完了金額</t>
        </is>
      </c>
    </row>
    <row r="70">
      <c r="A70" s="245" t="inlineStr">
        <is>
          <t>外作完了金額</t>
        </is>
      </c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vkEiheaCjhjYyZl4DWlYJg==" formatRows="1" sort="1" spinCount="100000" hashValue="MO1EG4Fw3Qf8iNymaupVz0N1nCJqVDM/9Z0P9aquDO5MDu96dfNbztRatZeDy0nSgkxjGWy/01Sv3Tug9Ik+qA=="/>
  <mergeCells count="49">
    <mergeCell ref="C30:C31"/>
    <mergeCell ref="O5:Q5"/>
    <mergeCell ref="E45:E47"/>
    <mergeCell ref="L5:N5"/>
    <mergeCell ref="F24:F27"/>
    <mergeCell ref="C16:C17"/>
    <mergeCell ref="D36:D37"/>
    <mergeCell ref="F9:F11"/>
    <mergeCell ref="F48:F50"/>
    <mergeCell ref="D32:D33"/>
    <mergeCell ref="H48:H50"/>
    <mergeCell ref="E28:E29"/>
    <mergeCell ref="D13:D14"/>
    <mergeCell ref="F22:F23"/>
    <mergeCell ref="I5:K5"/>
    <mergeCell ref="D40:D41"/>
    <mergeCell ref="D16:D17"/>
    <mergeCell ref="C40:C41"/>
    <mergeCell ref="L6:N6"/>
    <mergeCell ref="C36:C37"/>
    <mergeCell ref="A30:A41"/>
    <mergeCell ref="E42:E44"/>
    <mergeCell ref="A9:A11"/>
    <mergeCell ref="E48:E50"/>
    <mergeCell ref="A48:A50"/>
    <mergeCell ref="R5:T5"/>
    <mergeCell ref="F28:F29"/>
    <mergeCell ref="C32:C33"/>
    <mergeCell ref="A12:A23"/>
    <mergeCell ref="E16:E17"/>
    <mergeCell ref="C13:C14"/>
    <mergeCell ref="I6:K6"/>
    <mergeCell ref="D30:D31"/>
    <mergeCell ref="R6:T6"/>
    <mergeCell ref="F45:F47"/>
    <mergeCell ref="A42:A47"/>
    <mergeCell ref="E24:E27"/>
    <mergeCell ref="C38:C39"/>
    <mergeCell ref="O6:Q6"/>
    <mergeCell ref="A28:A29"/>
    <mergeCell ref="C34:C35"/>
    <mergeCell ref="D38:D39"/>
    <mergeCell ref="I2:T2"/>
    <mergeCell ref="E22:E23"/>
    <mergeCell ref="F42:F44"/>
    <mergeCell ref="D34:D35"/>
    <mergeCell ref="A24:A27"/>
    <mergeCell ref="F16:F17"/>
    <mergeCell ref="E9:E11"/>
  </mergeCells>
  <pageMargins left="0" right="0" top="0" bottom="0" header="0.5118110236220472" footer="0.5118110236220472"/>
  <pageSetup orientation="landscape" paperSize="9" scale="7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hachisu takashi</dc:creator>
  <dcterms:created xmlns:dcterms="http://purl.org/dc/terms/" xmlns:xsi="http://www.w3.org/2001/XMLSchema-instance" xsi:type="dcterms:W3CDTF">2016-10-24T01:59:00Z</dcterms:created>
  <dcterms:modified xmlns:dcterms="http://purl.org/dc/terms/" xmlns:xsi="http://www.w3.org/2001/XMLSchema-instance" xsi:type="dcterms:W3CDTF">2026-04-27T08:31:11Z</dcterms:modified>
  <cp:lastModifiedBy>VDM/HOANG LE PHUOC</cp:lastModifiedBy>
  <cp:lastPrinted>2022-04-19T01:59:00Z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87694E2265B249229097E0FDA8AE3F9C</vt:lpwstr>
  </property>
  <property name="KSOProductBuildVer" fmtid="{D5CDD505-2E9C-101B-9397-08002B2CF9AE}" pid="3">
    <vt:lpwstr xmlns:vt="http://schemas.openxmlformats.org/officeDocument/2006/docPropsVTypes">2052-11.1.0.12358</vt:lpwstr>
  </property>
</Properties>
</file>