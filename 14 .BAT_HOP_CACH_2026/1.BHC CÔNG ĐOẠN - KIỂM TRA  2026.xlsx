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codeName="ThisWorkbook"/>
  <xr:revisionPtr revIDLastSave="0" documentId="13_ncr:1_{903A1A97-AB86-42A2-8D15-41249953079E}" xr6:coauthVersionLast="47" xr6:coauthVersionMax="47" xr10:uidLastSave="{00000000-0000-0000-0000-000000000000}"/>
  <bookViews>
    <workbookView xWindow="5760" yWindow="0" windowWidth="17280" windowHeight="10956" tabRatio="585" firstSheet="1" activeTab="1" xr2:uid="{00000000-000D-0000-FFFF-FFFF00000000}"/>
  </bookViews>
  <sheets>
    <sheet name="MT BHCCD" sheetId="55" r:id="rId1"/>
    <sheet name="BHCCD26" sheetId="51" r:id="rId2"/>
    <sheet name="MT BHCKT" sheetId="56" r:id="rId3"/>
    <sheet name="BHCKT26" sheetId="57" r:id="rId4"/>
  </sheets>
  <externalReferences>
    <externalReference r:id="rId5"/>
    <externalReference r:id="rId6"/>
    <externalReference r:id="rId7"/>
    <externalReference r:id="rId8"/>
    <externalReference r:id="rId9"/>
  </externalReferences>
  <definedNames>
    <definedName name="a">[1]設定!$B$11</definedName>
    <definedName name="averagerate">[2]設定!$B$15</definedName>
    <definedName name="currency">[2]設定!$B$11</definedName>
    <definedName name="currencycodeYEN">[3]設定!$C$10</definedName>
    <definedName name="factory">[2]設定!$B$8</definedName>
    <definedName name="lastyear">[2]設定!$B$3</definedName>
    <definedName name="lastyeardays">[2]設定!$C$24</definedName>
    <definedName name="lastyearpastdays">[2]設定!$B$24</definedName>
    <definedName name="month">[2]設定!$B$4</definedName>
    <definedName name="planningaveragerate">[2]設定!$B$17</definedName>
    <definedName name="planningtax">[2]設定!$B$21</definedName>
    <definedName name="previousaveragerate">[2]設定!$B$16</definedName>
    <definedName name="previoustax">[2]設定!$B$20</definedName>
    <definedName name="RECOM">[4]DEF!$B$4</definedName>
    <definedName name="RECOMNAME">[4]DEF!$C$4</definedName>
    <definedName name="RECUR">[4]DEF!$B$5</definedName>
    <definedName name="REMAE_DL">[4]DEF!$C$11</definedName>
    <definedName name="REMAE_MET">[4]DEF!$D$11</definedName>
    <definedName name="REMAE_UL">[4]DEF!$B$11</definedName>
    <definedName name="REPERNAME">[4]DEF!$C$2</definedName>
    <definedName name="representative">[2]設定!$B$34</definedName>
    <definedName name="RETDF_DL">[4]DEF!$C$12</definedName>
    <definedName name="RETDF_MET">[4]DEF!$D$12</definedName>
    <definedName name="RETDF_UL">[4]DEF!$B$12</definedName>
    <definedName name="REVER">[4]DEF!$B$1</definedName>
    <definedName name="ta">[5]TABLE!$A$2:$D$1683</definedName>
    <definedName name="TABLE">[4]TABLE!$A$2:$D$1714</definedName>
    <definedName name="tax">[2]設定!$B$19</definedName>
    <definedName name="thisyear">[2]設定!$B$2</definedName>
    <definedName name="thisyeardays">[2]設定!$C$23</definedName>
    <definedName name="thisyearpastdays">[2]設定!$B$23</definedName>
    <definedName name="unit">[2]設定!$C$11</definedName>
    <definedName name="unitname">[2]設定!$D$11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44" i="56" l="1"/>
  <c r="Y44" i="56"/>
  <c r="X44" i="56"/>
  <c r="W44" i="56"/>
  <c r="V44" i="56"/>
  <c r="U44" i="56"/>
  <c r="T44" i="56"/>
  <c r="S44" i="56"/>
  <c r="R44" i="56"/>
  <c r="Q44" i="56"/>
  <c r="P44" i="56"/>
  <c r="O44" i="56"/>
  <c r="N44" i="56"/>
  <c r="M44" i="56"/>
  <c r="L44" i="56"/>
  <c r="K44" i="56"/>
  <c r="J44" i="56"/>
  <c r="I44" i="56"/>
  <c r="H44" i="56"/>
  <c r="G44" i="56"/>
  <c r="F44" i="56"/>
  <c r="E44" i="56"/>
  <c r="D44" i="56"/>
  <c r="C44" i="56"/>
  <c r="Z43" i="56"/>
  <c r="Y43" i="56"/>
  <c r="X43" i="56"/>
  <c r="W43" i="56"/>
  <c r="V43" i="56"/>
  <c r="U43" i="56"/>
  <c r="T43" i="56"/>
  <c r="S43" i="56"/>
  <c r="R43" i="56"/>
  <c r="Q43" i="56"/>
  <c r="P43" i="56"/>
  <c r="O43" i="56"/>
  <c r="N43" i="56"/>
  <c r="M43" i="56"/>
  <c r="L43" i="56"/>
  <c r="K43" i="56"/>
  <c r="J43" i="56"/>
  <c r="I43" i="56"/>
  <c r="H43" i="56"/>
  <c r="G43" i="56"/>
  <c r="F43" i="56"/>
  <c r="E43" i="56"/>
  <c r="D43" i="56"/>
  <c r="C43" i="56"/>
  <c r="O42" i="56"/>
  <c r="P42" i="56" s="1"/>
  <c r="Q42" i="56" s="1"/>
  <c r="R42" i="56" s="1"/>
  <c r="S42" i="56" s="1"/>
  <c r="T42" i="56" s="1"/>
  <c r="U42" i="56" s="1"/>
  <c r="V42" i="56" s="1"/>
  <c r="W42" i="56" s="1"/>
  <c r="X42" i="56" s="1"/>
  <c r="Y42" i="56" s="1"/>
  <c r="Z42" i="56" s="1"/>
  <c r="C42" i="56"/>
  <c r="D42" i="56" s="1"/>
  <c r="E42" i="56" s="1"/>
  <c r="F42" i="56" s="1"/>
  <c r="G42" i="56" s="1"/>
  <c r="H42" i="56" s="1"/>
  <c r="I42" i="56" s="1"/>
  <c r="J42" i="56" s="1"/>
  <c r="K42" i="56" s="1"/>
  <c r="L42" i="56" s="1"/>
  <c r="M42" i="56" s="1"/>
  <c r="N42" i="56" s="1"/>
  <c r="O41" i="56"/>
  <c r="P41" i="56" s="1"/>
  <c r="Q41" i="56" s="1"/>
  <c r="R41" i="56" s="1"/>
  <c r="S41" i="56" s="1"/>
  <c r="T41" i="56" s="1"/>
  <c r="U41" i="56" s="1"/>
  <c r="V41" i="56" s="1"/>
  <c r="W41" i="56" s="1"/>
  <c r="X41" i="56" s="1"/>
  <c r="Y41" i="56" s="1"/>
  <c r="Z41" i="56" s="1"/>
  <c r="C41" i="56"/>
  <c r="D41" i="56" s="1"/>
  <c r="E41" i="56" s="1"/>
  <c r="F41" i="56" s="1"/>
  <c r="G41" i="56" s="1"/>
  <c r="H41" i="56" s="1"/>
  <c r="I41" i="56" s="1"/>
  <c r="J41" i="56" s="1"/>
  <c r="K41" i="56" s="1"/>
  <c r="L41" i="56" s="1"/>
  <c r="M41" i="56" s="1"/>
  <c r="N41" i="56" s="1"/>
  <c r="O38" i="56"/>
  <c r="C38" i="56"/>
  <c r="O36" i="56"/>
  <c r="P36" i="56" s="1"/>
  <c r="Q36" i="56" s="1"/>
  <c r="R36" i="56" s="1"/>
  <c r="S36" i="56" s="1"/>
  <c r="T36" i="56" s="1"/>
  <c r="U36" i="56" s="1"/>
  <c r="V36" i="56" s="1"/>
  <c r="W36" i="56" s="1"/>
  <c r="X36" i="56" s="1"/>
  <c r="Y36" i="56" s="1"/>
  <c r="Z36" i="56" s="1"/>
  <c r="C36" i="56"/>
  <c r="D36" i="56" s="1"/>
  <c r="E36" i="56" s="1"/>
  <c r="F36" i="56" s="1"/>
  <c r="G36" i="56" s="1"/>
  <c r="H36" i="56" s="1"/>
  <c r="I36" i="56" s="1"/>
  <c r="J36" i="56" s="1"/>
  <c r="K36" i="56" s="1"/>
  <c r="L36" i="56" s="1"/>
  <c r="M36" i="56" s="1"/>
  <c r="N36" i="56" s="1"/>
  <c r="Z27" i="56"/>
  <c r="Y27" i="56"/>
  <c r="X27" i="56"/>
  <c r="W27" i="56"/>
  <c r="V27" i="56"/>
  <c r="U27" i="56"/>
  <c r="T27" i="56"/>
  <c r="S27" i="56"/>
  <c r="R27" i="56"/>
  <c r="Q27" i="56"/>
  <c r="P27" i="56"/>
  <c r="O27" i="56"/>
  <c r="O28" i="56" s="1"/>
  <c r="P28" i="56" s="1"/>
  <c r="Q28" i="56" s="1"/>
  <c r="R28" i="56" s="1"/>
  <c r="S28" i="56" s="1"/>
  <c r="T28" i="56" s="1"/>
  <c r="U28" i="56" s="1"/>
  <c r="V28" i="56" s="1"/>
  <c r="W28" i="56" s="1"/>
  <c r="X28" i="56" s="1"/>
  <c r="Y28" i="56" s="1"/>
  <c r="Z28" i="56" s="1"/>
  <c r="N27" i="56"/>
  <c r="M27" i="56"/>
  <c r="L27" i="56"/>
  <c r="K27" i="56"/>
  <c r="J27" i="56"/>
  <c r="I27" i="56"/>
  <c r="H27" i="56"/>
  <c r="G27" i="56"/>
  <c r="F27" i="56"/>
  <c r="E27" i="56"/>
  <c r="D27" i="56"/>
  <c r="C27" i="56"/>
  <c r="C28" i="56" s="1"/>
  <c r="D28" i="56" s="1"/>
  <c r="E28" i="56" s="1"/>
  <c r="F28" i="56" s="1"/>
  <c r="G28" i="56" s="1"/>
  <c r="H28" i="56" s="1"/>
  <c r="I28" i="56" s="1"/>
  <c r="J28" i="56" s="1"/>
  <c r="K28" i="56" s="1"/>
  <c r="L28" i="56" s="1"/>
  <c r="M28" i="56" s="1"/>
  <c r="N28" i="56" s="1"/>
  <c r="L53" i="55"/>
  <c r="M53" i="55"/>
  <c r="L51" i="55"/>
  <c r="M51" i="55"/>
  <c r="C46" i="56" l="1"/>
  <c r="D38" i="56"/>
  <c r="O46" i="56"/>
  <c r="P38" i="56"/>
  <c r="K49" i="55"/>
  <c r="L49" i="55" s="1"/>
  <c r="M49" i="55" s="1"/>
  <c r="K51" i="55"/>
  <c r="K53" i="55"/>
  <c r="K48" i="55"/>
  <c r="K44" i="55"/>
  <c r="Z7" i="55"/>
  <c r="Y7" i="55"/>
  <c r="X7" i="55"/>
  <c r="W7" i="55"/>
  <c r="V7" i="55"/>
  <c r="U7" i="55"/>
  <c r="T7" i="55"/>
  <c r="S7" i="55"/>
  <c r="R7" i="55"/>
  <c r="Q7" i="55"/>
  <c r="P7" i="55"/>
  <c r="O7" i="55"/>
  <c r="O8" i="55" s="1"/>
  <c r="P8" i="55" s="1"/>
  <c r="Q8" i="55" s="1"/>
  <c r="R8" i="55" s="1"/>
  <c r="S8" i="55" s="1"/>
  <c r="T8" i="55" s="1"/>
  <c r="U8" i="55" s="1"/>
  <c r="V8" i="55" s="1"/>
  <c r="W8" i="55" s="1"/>
  <c r="X8" i="55" s="1"/>
  <c r="Y8" i="55" s="1"/>
  <c r="Z8" i="55" s="1"/>
  <c r="N7" i="55"/>
  <c r="M7" i="55"/>
  <c r="L7" i="55"/>
  <c r="K7" i="55"/>
  <c r="J7" i="55"/>
  <c r="I7" i="55"/>
  <c r="H7" i="55"/>
  <c r="G7" i="55"/>
  <c r="F7" i="55"/>
  <c r="E7" i="55"/>
  <c r="D7" i="55"/>
  <c r="C7" i="55"/>
  <c r="C8" i="55" s="1"/>
  <c r="D8" i="55" s="1"/>
  <c r="E8" i="55" s="1"/>
  <c r="F8" i="55" s="1"/>
  <c r="G8" i="55" s="1"/>
  <c r="H8" i="55" s="1"/>
  <c r="I8" i="55" s="1"/>
  <c r="J8" i="55" s="1"/>
  <c r="K8" i="55" s="1"/>
  <c r="L8" i="55" s="1"/>
  <c r="M8" i="55" s="1"/>
  <c r="N8" i="55" s="1"/>
  <c r="P46" i="56" l="1"/>
  <c r="Q38" i="56"/>
  <c r="D46" i="56"/>
  <c r="E38" i="56"/>
  <c r="AA8" i="55"/>
  <c r="L44" i="55"/>
  <c r="L48" i="55"/>
  <c r="E46" i="56" l="1"/>
  <c r="F38" i="56"/>
  <c r="Q46" i="56"/>
  <c r="R38" i="56"/>
  <c r="M48" i="55"/>
  <c r="M44" i="55"/>
  <c r="R46" i="56" l="1"/>
  <c r="S38" i="56"/>
  <c r="F46" i="56"/>
  <c r="G38" i="56"/>
  <c r="N44" i="55"/>
  <c r="N48" i="55"/>
  <c r="G46" i="56" l="1"/>
  <c r="H38" i="56"/>
  <c r="S46" i="56"/>
  <c r="T38" i="56"/>
  <c r="O48" i="55"/>
  <c r="O44" i="55"/>
  <c r="T46" i="56" l="1"/>
  <c r="U38" i="56"/>
  <c r="H46" i="56"/>
  <c r="I38" i="56"/>
  <c r="P44" i="55"/>
  <c r="P48" i="55"/>
  <c r="I46" i="56" l="1"/>
  <c r="J38" i="56"/>
  <c r="U46" i="56"/>
  <c r="V38" i="56"/>
  <c r="Q48" i="55"/>
  <c r="Q44" i="55"/>
  <c r="V46" i="56" l="1"/>
  <c r="W38" i="56"/>
  <c r="J46" i="56"/>
  <c r="K38" i="56"/>
  <c r="R44" i="55"/>
  <c r="R48" i="55"/>
  <c r="K46" i="56" l="1"/>
  <c r="L38" i="56"/>
  <c r="W46" i="56"/>
  <c r="X38" i="56"/>
  <c r="S48" i="55"/>
  <c r="S44" i="55"/>
  <c r="X46" i="56" l="1"/>
  <c r="Y38" i="56"/>
  <c r="L46" i="56"/>
  <c r="M38" i="56"/>
  <c r="T44" i="55"/>
  <c r="T48" i="55"/>
  <c r="M46" i="56" l="1"/>
  <c r="N38" i="56"/>
  <c r="N46" i="56" s="1"/>
  <c r="Y46" i="56"/>
  <c r="Z38" i="56"/>
  <c r="Z46" i="56" s="1"/>
  <c r="U48" i="55"/>
  <c r="U44" i="55"/>
  <c r="V44" i="55" l="1"/>
  <c r="V48" i="55"/>
</calcChain>
</file>

<file path=xl/sharedStrings.xml><?xml version="1.0" encoding="utf-8"?>
<sst xmlns="http://schemas.openxmlformats.org/spreadsheetml/2006/main" count="288" uniqueCount="140">
  <si>
    <t>STT</t>
    <phoneticPr fontId="0"/>
  </si>
  <si>
    <t>SỐ
 QUẢN LÝ</t>
    <phoneticPr fontId="0"/>
  </si>
  <si>
    <t>NGÀY
 P. HÀNH
BHC</t>
  </si>
  <si>
    <t>MÃ SỐ
 YÊU CẦU</t>
  </si>
  <si>
    <t>Reep
 No.</t>
  </si>
  <si>
    <t>Số pcs
yêu cầu</t>
  </si>
  <si>
    <t>Số Pcs
hư</t>
  </si>
  <si>
    <t xml:space="preserve"> NỘI DUNG
HƯ HỎNG</t>
    <phoneticPr fontId="0"/>
  </si>
  <si>
    <t>PP XỬ LÝ</t>
    <phoneticPr fontId="0"/>
  </si>
  <si>
    <t>MÃ SỐ 
PHÁT HÀNH</t>
    <phoneticPr fontId="0"/>
  </si>
  <si>
    <t>NGÀY
 P. HÀNH</t>
    <phoneticPr fontId="0"/>
  </si>
  <si>
    <t>NGÀY
 H. THÀNH</t>
    <phoneticPr fontId="0"/>
  </si>
  <si>
    <t>VẬT LIỆU</t>
    <phoneticPr fontId="0"/>
  </si>
  <si>
    <t>CÔNG
ĐOẠN</t>
    <phoneticPr fontId="0"/>
  </si>
  <si>
    <t>NGƯỜI
GC</t>
    <phoneticPr fontId="0"/>
  </si>
  <si>
    <t>MÃ
NV</t>
    <phoneticPr fontId="0"/>
  </si>
  <si>
    <t>CA LÀM VIỆC</t>
  </si>
  <si>
    <t>TIỀN 
VẬT LIỆU</t>
  </si>
  <si>
    <t>TIỀN GIA CÔNG</t>
  </si>
  <si>
    <t xml:space="preserve">TỔNG
TIỀN 
</t>
  </si>
  <si>
    <t>NGÀY
 H. THÀNH
BHC</t>
  </si>
  <si>
    <t>GHI CHÚ</t>
    <phoneticPr fontId="0"/>
  </si>
  <si>
    <t>XỬ LY</t>
  </si>
  <si>
    <t>1月</t>
    <rPh sb="1" eb="2">
      <t>ゲツ</t>
    </rPh>
    <phoneticPr fontId="1"/>
  </si>
  <si>
    <t>2月</t>
  </si>
  <si>
    <t>3月</t>
  </si>
  <si>
    <t>4月</t>
  </si>
  <si>
    <t>5月</t>
  </si>
  <si>
    <t>6月</t>
  </si>
  <si>
    <t>7月</t>
  </si>
  <si>
    <t>8月</t>
  </si>
  <si>
    <t>9月</t>
  </si>
  <si>
    <t>10月</t>
  </si>
  <si>
    <t>11月</t>
  </si>
  <si>
    <t>12月</t>
  </si>
  <si>
    <t>NGÀY
PHÁT 
SINH</t>
  </si>
  <si>
    <t>工程不良件数 số kiện bhc công đoạn phát sinh</t>
  </si>
  <si>
    <t>目標Mục tiêu</t>
  </si>
  <si>
    <t>実績Thực tế</t>
  </si>
  <si>
    <t>工程不良件数 累計số kiện bhc phát sinh( lũy kế)</t>
  </si>
  <si>
    <t>A.完成総図面数量 (枚)số bản vẽ hoàn thành</t>
  </si>
  <si>
    <t>B.完成総図面数量累計số bản vẽ hoàn thành lũy kế</t>
  </si>
  <si>
    <t>工程不良率 tỷ lệ phế phẩm công đoạn</t>
  </si>
  <si>
    <t>工程不良率 tỷ lệ phế phẩm công đoạn (lũy kế)</t>
  </si>
  <si>
    <t xml:space="preserve">THÁNG </t>
  </si>
  <si>
    <t>BIỂU BÁO CÁO CHI TIẾT MỤC TIÊU THÁNG CỦA PHÒNG CƠ KHÍ - NĂM 2025</t>
  </si>
  <si>
    <t>SỐ KIỆN BẤT HỢP CÁCH CÔNG ĐOẠN</t>
  </si>
  <si>
    <t>2024年</t>
  </si>
  <si>
    <t>2025年</t>
  </si>
  <si>
    <t>Nội dung hư</t>
  </si>
  <si>
    <t>LỖI XÁC NHẬN</t>
  </si>
  <si>
    <t>LỖI GIA CÔNG</t>
  </si>
  <si>
    <t>LỖI ĐO ĐẠC</t>
  </si>
  <si>
    <t>Đơn Tháng</t>
  </si>
  <si>
    <t>Lũy kế</t>
  </si>
  <si>
    <t>TỈ LỆ BẤT HỢP CÁCH CÔNG ĐOẠN</t>
  </si>
  <si>
    <t>Mục tiêu đơn tháng</t>
  </si>
  <si>
    <t>Thực tích đơn tháng</t>
  </si>
  <si>
    <t xml:space="preserve">Mục tiêu lũy kế </t>
  </si>
  <si>
    <t xml:space="preserve">Thực tích lũy kế </t>
  </si>
  <si>
    <t>工程不良
phế phẩm công đoạn</t>
  </si>
  <si>
    <t>ĐIỂM VẤN ĐỀ</t>
  </si>
  <si>
    <t>HƯỚNG CẢI THIỆN</t>
  </si>
  <si>
    <t>MỤC TIÊU 2025</t>
  </si>
  <si>
    <t>*Năm 2024 : BHC CĐ phát sinh 23 kiện, trong đó:
1. Lỗi xác nhận: Nhân viên không tuân thủ các vấn đề xác nhận liên quan đến độ cứng, kích thước trước gia công dẫn đến phát sinh NG phát sinh 8 kiện(chiếm 34.7%)
2. Lỗi gia công: Phát sinh 13 kiện(chiếm 56.5%) chủ yếu là lỗi do ý thức chủ quan của nhân viên,không tuân theo trình tự gia công dẫn đến phát sinh NG
3. Lỗi đo đạc: Phát sinh do nhân viên không tuân thủ việc đo đạc khi gia công hoàn tất, không tuân thủ việc set công dụng cụ trước khi xác  nhận dẫn đến kích thước sai lệch so với dung sai yêu cầu. Phát sinh 2 kiện (chiếm 8.8%)</t>
  </si>
  <si>
    <r>
      <t xml:space="preserve">1. Tiêu chuẩn hóa chương trình gia công những sno có tầng xuất </t>
    </r>
    <r>
      <rPr>
        <sz val="12"/>
        <color theme="1"/>
        <rFont val="Arial"/>
        <family val="2"/>
      </rPr>
      <t>gia công lặp lại cao.
Năm 2024 TCH 200  kiện
=&gt;Mục tiêu 2025 210 kiện(tăng 5% so với 2024)</t>
    </r>
    <r>
      <rPr>
        <sz val="12"/>
        <rFont val="Arial"/>
        <family val="2"/>
      </rPr>
      <t xml:space="preserve">
- Đẩy mạnh các hoạt động cải thiện như chế tạo đồ gá hổ trợ gia công,chuẩn hoá phương pháp gia công nhưng số S có tần suất lặp lại nhằm cắt giảm thời gian phụ nâng cao năng lực gia công của nhân viên 
   (đảm trách:Quản lý tổ, kỳ hạn T12/2025)
2.Chào lễ hằng ngày QLT nhắc nhỡ để nâng cao ý thực việc thực thi xác nhận bản vẽ, kích thướt trước và sau khi gia công hoàn thành.(đảm trách: Quẩn lý tổ, kỳ hạn: Hằng ngày)
- Quản lý tổ, người thiết định ghi chú trực tiếp lên bản vẽ các vị trí hay xảy ra nhầm lẫn về kích thướt và hình chiếu (đảm trách:Quản lý tổ, kỳ hạn : Hằng ngày)
3.1 Hằng ngày QC sẽ đi đo đạc xác suất tại các công đoạn, ghi chú nhưng nhân viên năng lực đo còn yếu =&gt; lên kế hoạch để tái giáo dục nâng cao năng lực đo.(đảm trách: Sương 20132, Hằng ngày)
=&gt;Quản lý tổ xác nhận, liên lạc QC sẽ tập hợp lên kế hoạch đào tạo
3.2. Tái giáo dục cho nhân viên ở các công đoạn vận hành được các dụng cụ đo như máy CNM,ISM để nhân viên có thể tự chủ trong việc xác nhận các bản vẽ khó, có biên dạng phức tạp trước đây phải nhờ quản lý tổ hoặc QC hổ trợ.
=&gt;Kế hoạch giáo dục 2025 đính kèm</t>
    </r>
  </si>
  <si>
    <t xml:space="preserve">Thực tích 2024 :0.07 (23 kiện)
* Mục tiêu 2025:tỷ lệ là 0.07 bằng thực tích 2024. Tuy nhiên số kiện giảm xuống 21 kiện
=&gt; Giảm 2 kiện so với năm 2024
Tháng 1~2 gia công các bản vẽ còn tồn đọng của 2024 là các bản vẽ khó, có thời gian gia công lâu nên sẽ phát sinh NG
mục tiêu 2 kiện
Tháng 3~12 giai đoạn triển khai kế hoạch gia công nội tác  linh kiện tồn kho và khuôn thành hình nên khả năng phát sinh gia công sai cao.
=&gt; mục tiêu 19 kiện BHC CĐ.
  </t>
  </si>
  <si>
    <t>KỲ HẠN 
C412</t>
  </si>
  <si>
    <t>MÃ SỐ 
BẢN VẼ</t>
  </si>
  <si>
    <t>LINK
BV</t>
  </si>
  <si>
    <t>TRIM</t>
  </si>
  <si>
    <t>BẤT HỢP CÁCH CÔNG ĐOẠN 2026</t>
  </si>
  <si>
    <t>K CÓ</t>
  </si>
  <si>
    <t>CĐ412603001</t>
  </si>
  <si>
    <t>BVTN232602018-1169</t>
  </si>
  <si>
    <t xml:space="preserve">CHI TIẾT BỊ GÃY </t>
  </si>
  <si>
    <t>GIA CÔNG LẠI</t>
  </si>
  <si>
    <t>SKS3</t>
  </si>
  <si>
    <t>DUY</t>
  </si>
  <si>
    <t>BẤT HỢP CÁCH KIỂM TRA</t>
  </si>
  <si>
    <t>Số kiện phát sinh</t>
  </si>
  <si>
    <t>BẤT HỢP CÁCH KIỂM TRA 2024</t>
  </si>
  <si>
    <t>Hạng mục</t>
  </si>
  <si>
    <t>T1</t>
  </si>
  <si>
    <t>T2</t>
  </si>
  <si>
    <t>T3</t>
  </si>
  <si>
    <t>T4</t>
  </si>
  <si>
    <t>T5</t>
  </si>
  <si>
    <t>T6</t>
  </si>
  <si>
    <t>T7</t>
  </si>
  <si>
    <t>T8</t>
  </si>
  <si>
    <t>T9</t>
  </si>
  <si>
    <t>T10</t>
  </si>
  <si>
    <t>T11</t>
  </si>
  <si>
    <t>T12</t>
  </si>
  <si>
    <t>Total</t>
  </si>
  <si>
    <t>Total lũy kế</t>
  </si>
  <si>
    <t>単月不合格件数 số kiện bhc phát sinh</t>
  </si>
  <si>
    <t>単月不合格件数 số kiện bhc phát sinh( lũy kế)</t>
  </si>
  <si>
    <t>単月不合格件数累計 số kiện bhc phát sinh ( lũy kế)</t>
  </si>
  <si>
    <t>a.完成総図面数量 (枚)số bản vẽ hoàn thành</t>
  </si>
  <si>
    <t>b.完成総図面数量累計số bản vẽ hoàn thành lũy kế</t>
  </si>
  <si>
    <t>検査合格率 tỷ lệ hợp cách kiểm tra</t>
  </si>
  <si>
    <t>検査合格率累計 tỷ lệ hợp cách kiểm tra( lũy kế)</t>
  </si>
  <si>
    <t xml:space="preserve">Điểm vấn đề </t>
  </si>
  <si>
    <t>Hướng cải thiện</t>
  </si>
  <si>
    <t>Mục tiêu 2025</t>
  </si>
  <si>
    <r>
      <t>*Năm 2024 : Phát sinh 6 kiện BHC KT tập trung ở các lỗi sau :
1.Lỗi xác nhận : Nhân viên chưa thực hiện triệt để vấn đề xác nhận trước khi gia công như xác nhận độ cứng,các kích thước và ngoại quan của công đoạn trước 
Phát sinh 1 kiện chiếm 16.7%
2.Lỗi gia công : Nhân viên không tuân thủ trình tự gia công đãn đến phát sinh NG
(Phát sinh 2 kiện, chiếm 33.3%)
3.Lỗi đo đạc: Nhân viên không tuân thủ vấn đề sét dụng cụ đo trước khi đo đạc, Không đo lại các kích thước gia công mà phán định kích thước dựa vào hệ toạ độ gốc của máy khi gia công cùng 1 gốc toạ độ.</t>
    </r>
    <r>
      <rPr>
        <b/>
        <sz val="12"/>
        <color theme="1"/>
        <rFont val="Arial"/>
        <family val="2"/>
      </rPr>
      <t xml:space="preserve">
</t>
    </r>
    <r>
      <rPr>
        <sz val="12"/>
        <color theme="1"/>
        <rFont val="Arial"/>
        <family val="2"/>
      </rPr>
      <t>( Phát sinh 3 kiện chiếm 50%).</t>
    </r>
  </si>
  <si>
    <t xml:space="preserve">1.Giáo dục lại toàn bộ nhân viên vấn đề xác nhận trước khi gia công. 
=&gt; Hằng ngày, Quản lý công đoạn phân chia thời gian để xác nhận vấn đề gia công của nhân viên nhằm nhắc nhỡ kịp thời nhân viên tuân thủ việc xác nhận trước gia công.
2.Quản lý tổ tiến hành tái giáo dục nhân viên vấn đề tuân thủ trình tự gia công, tuân thủ thao tác gia công.
Định kỳ đầu ca và cuối ca(Đảm trách Quản lý tổ, Kỳ hạn hằng tuần)
3. Quản lý xác nhận đặt hàng các dụng cụ hổ trợ đo đạc, gia công.
Phải tuân thủ việc đo đạc và xác nhận tất cả các kích thước gia công .
QC xác nhận và hổ trợ các bản vẽ khó đo đạc.
=&gt;QC tiến hành hành giáo dục các nhân viên tại Tổ mài, Tổ Cắt gọt 2, Tổ chính xác sử dụng các thiết bị đọ như CNM( máy đo 3 chiêu), ISM(máy đo hình ảnh) để nhân viên tự chủ trong quá trình đo đạc, xác nhận.
</t>
  </si>
  <si>
    <r>
      <rPr>
        <sz val="12"/>
        <color rgb="FF0000FF"/>
        <rFont val="Arial"/>
        <family val="2"/>
      </rPr>
      <t xml:space="preserve">*Năm 2024: Phát sinh 8 kiện BHC KT
=&gt; Tỷ lệ hợp cách kiểm tra đạt 99.97%=&gt;Không đạt mục tiêu
</t>
    </r>
    <r>
      <rPr>
        <sz val="12"/>
        <color rgb="FFFF0000"/>
        <rFont val="Arial"/>
        <family val="2"/>
      </rPr>
      <t>*Năm 2025:
=&gt; Mục tiêu bất hợp cách kiểm tra: 6 kiện
Tỷ lệ hợp cách kiểm tra đạt 99.99 %</t>
    </r>
    <r>
      <rPr>
        <sz val="12"/>
        <color rgb="FF0000FF"/>
        <rFont val="Arial"/>
        <family val="2"/>
      </rPr>
      <t xml:space="preserve">
</t>
    </r>
    <r>
      <rPr>
        <sz val="12"/>
        <color theme="1"/>
        <rFont val="Arial"/>
        <family val="2"/>
      </rPr>
      <t xml:space="preserve">* Cụ thể: 
- Tháng 1, 2: Tập trung giải quyết các bản vẽ còn tồn đọng trong năm 2024 đa số là các bản vẽ khó gia công, có khả năng phát sinh NG cao.
mục tiêu : phát sinh 1 kiện
- Tháng 3~4: Giai đoạn đưa hệ thống gia công không bản vẽ giấy vào hoạt động, nhân viên đang tập làm quen với hệ thống nên sẽ có nhiều thiếu sót dẫn đến phát sinh NG cao.
Mục tiêu 1 kiện
- Tháng 5~12: Giai đoạ đẩy mạnh các hoạt động gia công nội tác, gia công các bản vẽ khuôn, linh kiện thành hình có giá thành cao lần đầu gia công nội tác tại VDM nên khả năng phát sinh NG nhiều
Mục tiêu 4 kiện
</t>
    </r>
  </si>
  <si>
    <t>BẤT HỢP CÁCH KIỂM TRA 2026</t>
  </si>
  <si>
    <t>THÁNG</t>
  </si>
  <si>
    <t>STT</t>
  </si>
  <si>
    <t>SỐ
 QUẢN LÝ</t>
    <phoneticPr fontId="4"/>
  </si>
  <si>
    <t>MÃ SỐ 
BẢN VẼ</t>
    <phoneticPr fontId="4"/>
  </si>
  <si>
    <t>SỐ
 YÊU CẦU</t>
  </si>
  <si>
    <t>LINK BV</t>
  </si>
  <si>
    <t>SỐ REP</t>
  </si>
  <si>
    <t>SL
HƯ</t>
  </si>
  <si>
    <t>NGÀY
PHÁT SINH</t>
    <phoneticPr fontId="4"/>
  </si>
  <si>
    <t xml:space="preserve"> NỘI DUNG
HƯ HỎNG</t>
    <phoneticPr fontId="4"/>
  </si>
  <si>
    <t>PP XỬ LÝ</t>
  </si>
  <si>
    <t>MÃ SỐ 
PHÁT HÀNH</t>
    <phoneticPr fontId="4"/>
  </si>
  <si>
    <t>NGÀY
 P. HÀNH</t>
    <phoneticPr fontId="4"/>
  </si>
  <si>
    <t>NGÀY
 H. THÀNH</t>
    <phoneticPr fontId="4"/>
  </si>
  <si>
    <t>VẬT LIỆU</t>
    <phoneticPr fontId="4"/>
  </si>
  <si>
    <t>CÔNG
ĐOẠN</t>
    <phoneticPr fontId="4"/>
  </si>
  <si>
    <t>NGƯỜI
GC</t>
    <phoneticPr fontId="4"/>
  </si>
  <si>
    <t>MÃ
NV</t>
    <phoneticPr fontId="4"/>
  </si>
  <si>
    <t>CA
LÀM VIỆC</t>
  </si>
  <si>
    <t>GHI CHÚ</t>
    <phoneticPr fontId="4"/>
  </si>
  <si>
    <t>KT412604001</t>
  </si>
  <si>
    <t>L630511055</t>
  </si>
  <si>
    <t>BVTN6302511020-004</t>
  </si>
  <si>
    <t>KT:19.48+-0.01 TĐ 19.43</t>
  </si>
  <si>
    <t>SKD11</t>
  </si>
  <si>
    <t>EW</t>
  </si>
  <si>
    <t>DŨNG</t>
  </si>
  <si>
    <t>Kco</t>
  </si>
  <si>
    <t>AA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</si>
</sst>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1" formatCode="_(* #,##0_);_(* \(#,##0\);_(* &quot;-&quot;_);_(@_)"/>
    <numFmt numFmtId="43" formatCode="_(* #,##0.00_);_(* \(#,##0.00\);_(* &quot;-&quot;??_);_(@_)"/>
    <numFmt numFmtId="164" formatCode="m&quot;月&quot;d&quot;日&quot;;@"/>
    <numFmt numFmtId="165" formatCode="[$-F800]dddd\,\ mmmm\ dd\,\ yyyy"/>
    <numFmt numFmtId="166" formatCode="[$-1045F]dd/mm/yyyy;@"/>
    <numFmt numFmtId="167" formatCode="_(* #,##0_);_(* \(#,##0\);_(* &quot;-&quot;??_);_(@_)"/>
    <numFmt numFmtId="168" formatCode="0;[Red]0"/>
    <numFmt numFmtId="169" formatCode="#,##0.0"/>
    <numFmt numFmtId="170" formatCode="0.0%"/>
    <numFmt numFmtId="171" formatCode="yyyy/m/d;@"/>
  </numFmts>
  <fonts count="50">
    <font>
      <sz val="11"/>
      <color theme="1"/>
      <name val="Calibri"/>
      <family val="2"/>
      <scheme val="minor"/>
    </font>
    <font>
      <sz val="11"/>
      <color theme="1"/>
      <name val="Calibri"/>
      <family val="2"/>
      <scheme val="minor"/>
    </font>
    <font>
      <u/>
      <sz val="11"/>
      <color theme="10"/>
      <name val="Calibri"/>
      <family val="2"/>
      <scheme val="minor"/>
    </font>
    <font>
      <sz val="11"/>
      <name val="ＭＳ Ｐゴシック"/>
      <family val="3"/>
      <charset val="128"/>
    </font>
    <font>
      <b/>
      <sz val="20"/>
      <color indexed="10"/>
      <name val="Arial"/>
      <family val="2"/>
    </font>
    <font>
      <sz val="12"/>
      <name val="Arial"/>
      <family val="2"/>
    </font>
    <font>
      <sz val="8"/>
      <name val="Calibri"/>
      <family val="2"/>
      <scheme val="minor"/>
    </font>
    <font>
      <b/>
      <sz val="10"/>
      <name val="Arial"/>
      <family val="2"/>
    </font>
    <font>
      <sz val="10"/>
      <name val="Arial"/>
      <family val="2"/>
    </font>
    <font>
      <sz val="12"/>
      <color theme="1"/>
      <name val="Arial"/>
      <family val="2"/>
    </font>
    <font>
      <sz val="10"/>
      <color theme="1"/>
      <name val="Arial"/>
      <family val="2"/>
    </font>
    <font>
      <sz val="9"/>
      <name val="Arial"/>
      <family val="2"/>
    </font>
    <font>
      <b/>
      <sz val="12"/>
      <name val="Arial"/>
      <family val="2"/>
    </font>
    <font>
      <sz val="10"/>
      <name val="Calibri"/>
      <family val="2"/>
      <scheme val="minor"/>
    </font>
    <font>
      <sz val="10"/>
      <color rgb="FF0000FF"/>
      <name val="Arial"/>
      <family val="2"/>
    </font>
    <font>
      <sz val="12"/>
      <color rgb="FFFF0000"/>
      <name val="Arial"/>
      <family val="2"/>
    </font>
    <font>
      <sz val="10"/>
      <color indexed="18"/>
      <name val="Arial"/>
      <family val="2"/>
    </font>
    <font>
      <sz val="10"/>
      <color rgb="FFFF0000"/>
      <name val="Calibri"/>
      <family val="2"/>
      <scheme val="minor"/>
    </font>
    <font>
      <sz val="10"/>
      <color theme="1"/>
      <name val="Calibri"/>
      <family val="2"/>
      <scheme val="minor"/>
    </font>
    <font>
      <b/>
      <sz val="11"/>
      <color indexed="10"/>
      <name val="Arial"/>
      <family val="2"/>
    </font>
    <font>
      <sz val="8"/>
      <color indexed="18"/>
      <name val="Arial"/>
      <family val="2"/>
    </font>
    <font>
      <sz val="8"/>
      <color indexed="12"/>
      <name val="Arial"/>
      <family val="2"/>
    </font>
    <font>
      <sz val="9"/>
      <color theme="1"/>
      <name val="Arial"/>
      <family val="2"/>
    </font>
    <font>
      <sz val="8"/>
      <name val="Arial"/>
      <family val="2"/>
    </font>
    <font>
      <b/>
      <sz val="9"/>
      <name val="Arial"/>
      <family val="2"/>
    </font>
    <font>
      <b/>
      <u/>
      <sz val="10"/>
      <color theme="10"/>
      <name val="Calibri"/>
      <family val="2"/>
      <scheme val="minor"/>
    </font>
    <font>
      <sz val="10"/>
      <name val="ＭＳ Ｐゴシック"/>
      <family val="3"/>
      <charset val="128"/>
    </font>
    <font>
      <sz val="9"/>
      <name val="ＭＳ Ｐゴシック"/>
      <family val="3"/>
      <charset val="128"/>
    </font>
    <font>
      <sz val="8"/>
      <name val="ＭＳ Ｐゴシック"/>
      <family val="3"/>
      <charset val="128"/>
    </font>
    <font>
      <b/>
      <sz val="10"/>
      <color rgb="FF0000FF"/>
      <name val="Arial"/>
      <family val="2"/>
    </font>
    <font>
      <u/>
      <sz val="11"/>
      <color rgb="FFFF0000"/>
      <name val="Calibri"/>
      <family val="2"/>
      <scheme val="minor"/>
    </font>
    <font>
      <u/>
      <sz val="11"/>
      <color indexed="12"/>
      <name val="ＭＳ Ｐゴシック"/>
      <family val="3"/>
      <charset val="128"/>
    </font>
    <font>
      <u/>
      <sz val="11"/>
      <color theme="1"/>
      <name val="Calibri"/>
      <family val="2"/>
      <scheme val="minor"/>
    </font>
    <font>
      <b/>
      <sz val="10"/>
      <color rgb="FFFF0000"/>
      <name val="Arial"/>
      <family val="2"/>
    </font>
    <font>
      <sz val="11"/>
      <name val="Arial"/>
      <family val="2"/>
    </font>
    <font>
      <sz val="24"/>
      <name val="Arial"/>
      <family val="2"/>
    </font>
    <font>
      <b/>
      <sz val="10"/>
      <color theme="4"/>
      <name val="Arial"/>
      <family val="2"/>
    </font>
    <font>
      <sz val="10"/>
      <color rgb="FFFF0000"/>
      <name val="Arial"/>
      <family val="2"/>
    </font>
    <font>
      <sz val="10"/>
      <color indexed="12"/>
      <name val="Arial"/>
      <family val="2"/>
    </font>
    <font>
      <sz val="7"/>
      <name val="Arial"/>
      <family val="2"/>
    </font>
    <font>
      <b/>
      <sz val="16"/>
      <name val="Arial"/>
      <family val="2"/>
    </font>
    <font>
      <b/>
      <sz val="12"/>
      <color theme="1"/>
      <name val="Arial"/>
      <family val="2"/>
    </font>
    <font>
      <sz val="12"/>
      <color rgb="FF0000FF"/>
      <name val="Arial"/>
      <family val="2"/>
    </font>
    <font>
      <b/>
      <sz val="24"/>
      <color indexed="10"/>
      <name val="Arial"/>
      <family val="2"/>
    </font>
    <font>
      <b/>
      <sz val="8"/>
      <name val="Arial"/>
      <family val="2"/>
    </font>
    <font>
      <u/>
      <sz val="11"/>
      <color theme="10"/>
      <name val="Arial"/>
      <family val="2"/>
    </font>
    <font>
      <b/>
      <u/>
      <sz val="9"/>
      <name val="Arial"/>
      <family val="2"/>
    </font>
    <font>
      <sz val="10"/>
      <color theme="4" tint="-0.499984740745262"/>
      <name val="Arial"/>
      <family val="2"/>
    </font>
    <font>
      <u/>
      <sz val="10"/>
      <color indexed="12"/>
      <name val="Arial"/>
      <family val="2"/>
    </font>
    <font>
      <u/>
      <sz val="10"/>
      <color theme="4" tint="-0.499984740745262"/>
      <name val="Arial"/>
      <family val="2"/>
    </font>
  </fonts>
  <fills count="17">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43"/>
        <bgColor indexed="64"/>
      </patternFill>
    </fill>
    <fill>
      <patternFill patternType="solid">
        <fgColor theme="0" tint="-0.14999847407452621"/>
        <bgColor indexed="64"/>
      </patternFill>
    </fill>
    <fill>
      <patternFill patternType="solid">
        <fgColor rgb="FF00B0F0"/>
        <bgColor indexed="64"/>
      </patternFill>
    </fill>
    <fill>
      <patternFill patternType="solid">
        <fgColor theme="9" tint="0.79998168889431442"/>
        <bgColor indexed="64"/>
      </patternFill>
    </fill>
    <fill>
      <patternFill patternType="solid">
        <fgColor rgb="FFEAB200"/>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6"/>
        <bgColor indexed="64"/>
      </patternFill>
    </fill>
    <fill>
      <patternFill patternType="solid">
        <fgColor rgb="FFFFC000"/>
        <bgColor indexed="64"/>
      </patternFill>
    </fill>
    <fill>
      <patternFill patternType="solid">
        <fgColor theme="2"/>
        <bgColor indexed="64"/>
      </patternFill>
    </fill>
    <fill>
      <patternFill patternType="solid">
        <fgColor rgb="FFFFFF66"/>
        <bgColor indexed="64"/>
      </patternFill>
    </fill>
    <fill>
      <patternFill patternType="solid">
        <fgColor rgb="FFFFFF0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s>
  <cellStyleXfs count="17">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0"/>
    <xf numFmtId="0" fontId="3" fillId="0" borderId="0">
      <alignment vertical="center"/>
    </xf>
    <xf numFmtId="0" fontId="3" fillId="0" borderId="0"/>
    <xf numFmtId="38" fontId="3" fillId="0" borderId="0" applyFont="0" applyFill="0" applyBorder="0" applyAlignment="0" applyProtection="0"/>
    <xf numFmtId="9" fontId="3" fillId="0" borderId="0" applyFont="0" applyFill="0" applyBorder="0" applyAlignment="0" applyProtection="0"/>
    <xf numFmtId="40" fontId="3" fillId="0" borderId="0" applyFont="0" applyFill="0" applyBorder="0" applyAlignment="0" applyProtection="0"/>
    <xf numFmtId="41" fontId="1" fillId="0" borderId="0" applyFont="0" applyFill="0" applyBorder="0" applyAlignment="0" applyProtection="0"/>
    <xf numFmtId="9" fontId="1" fillId="0" borderId="0" applyFont="0" applyFill="0" applyBorder="0" applyAlignment="0" applyProtection="0"/>
    <xf numFmtId="0" fontId="3" fillId="0" borderId="0"/>
    <xf numFmtId="0" fontId="3" fillId="0" borderId="0"/>
    <xf numFmtId="0" fontId="31" fillId="0" borderId="0" applyNumberFormat="0" applyFill="0" applyBorder="0" applyAlignment="0" applyProtection="0">
      <alignment vertical="top"/>
      <protection locked="0"/>
    </xf>
    <xf numFmtId="9" fontId="3" fillId="0" borderId="0" applyFont="0" applyFill="0" applyBorder="0" applyAlignment="0" applyProtection="0"/>
    <xf numFmtId="40" fontId="3" fillId="0" borderId="0" applyFont="0" applyFill="0" applyBorder="0" applyAlignment="0" applyProtection="0"/>
    <xf numFmtId="38" fontId="3" fillId="0" borderId="0" applyFont="0" applyFill="0" applyBorder="0" applyAlignment="0" applyProtection="0"/>
  </cellStyleXfs>
  <cellXfs count="183">
    <xf numFmtId="0" fontId="0" fillId="0" borderId="0" xfId="0"/>
    <xf numFmtId="0" fontId="5" fillId="0" borderId="0" xfId="0" applyFont="1" applyAlignment="1">
      <alignment horizontal="center" vertical="center"/>
    </xf>
    <xf numFmtId="165" fontId="5" fillId="0" borderId="0" xfId="0" applyNumberFormat="1" applyFont="1" applyAlignment="1">
      <alignment horizontal="center" vertical="center"/>
    </xf>
    <xf numFmtId="168" fontId="5" fillId="0" borderId="0" xfId="0" applyNumberFormat="1" applyFont="1" applyAlignment="1">
      <alignment horizontal="center" vertical="center"/>
    </xf>
    <xf numFmtId="166" fontId="5" fillId="0" borderId="0" xfId="0" applyNumberFormat="1" applyFont="1" applyAlignment="1">
      <alignment horizontal="center" vertical="center"/>
    </xf>
    <xf numFmtId="3" fontId="7" fillId="2" borderId="1" xfId="0" applyNumberFormat="1" applyFont="1" applyFill="1" applyBorder="1" applyAlignment="1">
      <alignment horizontal="center" vertical="center"/>
    </xf>
    <xf numFmtId="14" fontId="8" fillId="0" borderId="1" xfId="0" applyNumberFormat="1" applyFont="1" applyBorder="1" applyAlignment="1">
      <alignment horizontal="center" vertical="center"/>
    </xf>
    <xf numFmtId="0" fontId="8" fillId="0" borderId="1" xfId="0" applyFont="1" applyBorder="1" applyAlignment="1">
      <alignment horizontal="center" vertical="center"/>
    </xf>
    <xf numFmtId="166" fontId="8" fillId="0" borderId="1" xfId="0" applyNumberFormat="1" applyFont="1" applyBorder="1" applyAlignment="1">
      <alignment horizontal="center" vertical="center"/>
    </xf>
    <xf numFmtId="0" fontId="7" fillId="0" borderId="0" xfId="0" applyFont="1" applyAlignment="1">
      <alignment horizontal="center" vertical="center"/>
    </xf>
    <xf numFmtId="0" fontId="8" fillId="0" borderId="0" xfId="0" applyFont="1" applyAlignment="1">
      <alignment horizontal="center" vertical="center"/>
    </xf>
    <xf numFmtId="0" fontId="5" fillId="0" borderId="0" xfId="0" applyFont="1"/>
    <xf numFmtId="0" fontId="5" fillId="0" borderId="1" xfId="3" applyFont="1" applyBorder="1" applyAlignment="1">
      <alignment horizontal="center" vertical="center"/>
    </xf>
    <xf numFmtId="0" fontId="5" fillId="0" borderId="0" xfId="0" quotePrefix="1" applyFont="1" applyAlignment="1">
      <alignment vertical="top" wrapText="1"/>
    </xf>
    <xf numFmtId="0" fontId="10" fillId="0" borderId="1" xfId="0" applyFont="1" applyBorder="1" applyAlignment="1">
      <alignment horizontal="center" vertical="center"/>
    </xf>
    <xf numFmtId="41" fontId="8" fillId="0" borderId="1" xfId="9" applyFont="1" applyBorder="1" applyAlignment="1">
      <alignment horizontal="center" vertical="center"/>
    </xf>
    <xf numFmtId="0" fontId="5" fillId="0" borderId="0" xfId="0" applyFont="1" applyAlignment="1">
      <alignment vertical="center"/>
    </xf>
    <xf numFmtId="166" fontId="7" fillId="2" borderId="1" xfId="0" applyNumberFormat="1" applyFont="1" applyFill="1" applyBorder="1" applyAlignment="1">
      <alignment horizontal="center" vertical="center"/>
    </xf>
    <xf numFmtId="0" fontId="5" fillId="0" borderId="1" xfId="0" applyFont="1" applyBorder="1" applyAlignment="1">
      <alignment horizontal="center" vertical="center"/>
    </xf>
    <xf numFmtId="0" fontId="12" fillId="2" borderId="0" xfId="0" applyFont="1" applyFill="1" applyAlignment="1">
      <alignment vertical="center"/>
    </xf>
    <xf numFmtId="0" fontId="13" fillId="6" borderId="1" xfId="0" applyFont="1" applyFill="1" applyBorder="1" applyAlignment="1">
      <alignment horizontal="left" vertical="center"/>
    </xf>
    <xf numFmtId="0" fontId="14" fillId="2" borderId="1" xfId="0" applyFont="1" applyFill="1" applyBorder="1" applyAlignment="1">
      <alignment horizontal="center" vertical="center"/>
    </xf>
    <xf numFmtId="0" fontId="5" fillId="0" borderId="1" xfId="0" applyFont="1" applyBorder="1"/>
    <xf numFmtId="0" fontId="13" fillId="8" borderId="1" xfId="0" applyFont="1" applyFill="1" applyBorder="1" applyAlignment="1">
      <alignment horizontal="left" vertical="center"/>
    </xf>
    <xf numFmtId="0" fontId="13" fillId="9" borderId="1" xfId="0" applyFont="1" applyFill="1" applyBorder="1" applyAlignment="1">
      <alignment horizontal="left" vertical="center"/>
    </xf>
    <xf numFmtId="0" fontId="14" fillId="2" borderId="1" xfId="0" applyFont="1" applyFill="1" applyBorder="1" applyAlignment="1">
      <alignment horizontal="left" vertical="center"/>
    </xf>
    <xf numFmtId="1" fontId="15" fillId="0" borderId="1" xfId="0" applyNumberFormat="1" applyFont="1" applyBorder="1" applyAlignment="1">
      <alignment horizontal="center" vertical="center"/>
    </xf>
    <xf numFmtId="1" fontId="5" fillId="0" borderId="1" xfId="0" applyNumberFormat="1" applyFont="1" applyBorder="1" applyAlignment="1">
      <alignment horizontal="center" vertical="center"/>
    </xf>
    <xf numFmtId="9" fontId="5" fillId="0" borderId="0" xfId="10" applyFont="1"/>
    <xf numFmtId="0" fontId="9" fillId="0" borderId="6" xfId="0" applyFont="1" applyBorder="1"/>
    <xf numFmtId="0" fontId="9" fillId="0" borderId="4" xfId="0" applyFont="1" applyBorder="1"/>
    <xf numFmtId="0" fontId="16" fillId="5" borderId="1" xfId="3" applyFont="1" applyFill="1" applyBorder="1" applyAlignment="1">
      <alignment horizontal="left" vertical="center"/>
    </xf>
    <xf numFmtId="2" fontId="17" fillId="0" borderId="1" xfId="0" applyNumberFormat="1" applyFont="1" applyBorder="1" applyAlignment="1">
      <alignment horizontal="center" vertical="center"/>
    </xf>
    <xf numFmtId="2" fontId="18" fillId="0" borderId="1" xfId="0" applyNumberFormat="1" applyFont="1" applyBorder="1" applyAlignment="1">
      <alignment horizontal="center" vertical="center"/>
    </xf>
    <xf numFmtId="2" fontId="8" fillId="0" borderId="1" xfId="0" applyNumberFormat="1" applyFont="1" applyBorder="1" applyAlignment="1">
      <alignment horizontal="center" vertical="center"/>
    </xf>
    <xf numFmtId="2" fontId="10" fillId="0" borderId="1" xfId="1" applyNumberFormat="1" applyFont="1" applyBorder="1" applyAlignment="1">
      <alignment horizontal="center" vertical="center"/>
    </xf>
    <xf numFmtId="0" fontId="18" fillId="0" borderId="0" xfId="0" applyFont="1" applyAlignment="1">
      <alignment horizontal="center" vertical="center"/>
    </xf>
    <xf numFmtId="2" fontId="18" fillId="10" borderId="1" xfId="0" applyNumberFormat="1" applyFont="1" applyFill="1" applyBorder="1" applyAlignment="1">
      <alignment horizontal="center" vertical="center"/>
    </xf>
    <xf numFmtId="2" fontId="18" fillId="0" borderId="5" xfId="0" applyNumberFormat="1" applyFont="1" applyBorder="1" applyAlignment="1">
      <alignment horizontal="center" vertical="center"/>
    </xf>
    <xf numFmtId="2" fontId="18" fillId="7" borderId="1" xfId="0" applyNumberFormat="1" applyFont="1" applyFill="1" applyBorder="1" applyAlignment="1">
      <alignment horizontal="center" vertical="center"/>
    </xf>
    <xf numFmtId="0" fontId="7" fillId="0" borderId="0" xfId="3" applyFont="1" applyAlignment="1">
      <alignment vertical="center"/>
    </xf>
    <xf numFmtId="0" fontId="7" fillId="0" borderId="0" xfId="3" applyFont="1" applyAlignment="1">
      <alignment vertical="center" wrapText="1"/>
    </xf>
    <xf numFmtId="0" fontId="8" fillId="0" borderId="1" xfId="3" applyFont="1" applyBorder="1" applyAlignment="1">
      <alignment horizontal="center" vertical="center"/>
    </xf>
    <xf numFmtId="0" fontId="20" fillId="3" borderId="1" xfId="3" applyFont="1" applyFill="1" applyBorder="1" applyAlignment="1">
      <alignment horizontal="center" vertical="center" wrapText="1"/>
    </xf>
    <xf numFmtId="0" fontId="21" fillId="0" borderId="1" xfId="3" applyFont="1" applyBorder="1" applyAlignment="1">
      <alignment horizontal="center" vertical="center" wrapText="1"/>
    </xf>
    <xf numFmtId="0" fontId="10" fillId="4" borderId="1" xfId="0" applyFont="1" applyFill="1" applyBorder="1" applyAlignment="1">
      <alignment horizontal="center" vertical="center"/>
    </xf>
    <xf numFmtId="41" fontId="23" fillId="4" borderId="1" xfId="9" applyFont="1" applyFill="1" applyBorder="1" applyAlignment="1">
      <alignment horizontal="center" vertical="center"/>
    </xf>
    <xf numFmtId="41" fontId="23" fillId="0" borderId="1" xfId="9" applyFont="1" applyBorder="1" applyAlignment="1">
      <alignment horizontal="center" vertical="center"/>
    </xf>
    <xf numFmtId="43" fontId="8" fillId="0" borderId="1" xfId="1" applyFont="1" applyBorder="1" applyAlignment="1">
      <alignment horizontal="center" vertical="center"/>
    </xf>
    <xf numFmtId="0" fontId="21" fillId="0" borderId="2" xfId="3" applyFont="1" applyBorder="1" applyAlignment="1">
      <alignment horizontal="center" vertical="center" wrapText="1"/>
    </xf>
    <xf numFmtId="43" fontId="8" fillId="0" borderId="2" xfId="1" applyFont="1" applyBorder="1" applyAlignment="1">
      <alignment horizontal="center" vertical="center"/>
    </xf>
    <xf numFmtId="14" fontId="7" fillId="0" borderId="1" xfId="0" applyNumberFormat="1" applyFont="1" applyBorder="1" applyAlignment="1">
      <alignment horizontal="center" vertical="center"/>
    </xf>
    <xf numFmtId="0" fontId="7" fillId="0" borderId="1" xfId="0" applyFont="1" applyBorder="1" applyAlignment="1">
      <alignment horizontal="center" vertical="center"/>
    </xf>
    <xf numFmtId="17" fontId="7" fillId="0" borderId="1" xfId="0" applyNumberFormat="1" applyFont="1" applyBorder="1" applyAlignment="1">
      <alignment horizontal="center" vertical="center"/>
    </xf>
    <xf numFmtId="0" fontId="24" fillId="0" borderId="1" xfId="0" applyFont="1" applyBorder="1" applyAlignment="1">
      <alignment horizontal="left" vertical="center" wrapText="1"/>
    </xf>
    <xf numFmtId="0" fontId="25" fillId="2" borderId="1" xfId="2" applyFont="1" applyFill="1" applyBorder="1" applyAlignment="1">
      <alignment horizontal="center" vertical="center" wrapText="1"/>
    </xf>
    <xf numFmtId="166" fontId="7" fillId="0" borderId="1" xfId="0" applyNumberFormat="1" applyFont="1" applyBorder="1" applyAlignment="1">
      <alignment horizontal="center" vertical="center"/>
    </xf>
    <xf numFmtId="3" fontId="7" fillId="0" borderId="1" xfId="0" applyNumberFormat="1" applyFont="1" applyBorder="1" applyAlignment="1">
      <alignment horizontal="center" vertical="center"/>
    </xf>
    <xf numFmtId="3" fontId="7" fillId="0" borderId="1" xfId="0" applyNumberFormat="1" applyFont="1" applyBorder="1" applyAlignment="1">
      <alignment vertical="center"/>
    </xf>
    <xf numFmtId="167" fontId="7" fillId="0" borderId="1" xfId="1" applyNumberFormat="1" applyFont="1" applyBorder="1" applyAlignment="1">
      <alignment vertical="center"/>
    </xf>
    <xf numFmtId="0" fontId="24" fillId="0" borderId="1" xfId="0" applyFont="1" applyBorder="1" applyAlignment="1">
      <alignment horizontal="left" vertical="center"/>
    </xf>
    <xf numFmtId="0" fontId="7" fillId="2" borderId="1" xfId="0" applyFont="1" applyFill="1" applyBorder="1" applyAlignment="1">
      <alignment horizontal="center" vertical="center"/>
    </xf>
    <xf numFmtId="0" fontId="0" fillId="4" borderId="7" xfId="0" applyFill="1" applyBorder="1" applyAlignment="1">
      <alignment horizontal="center" vertical="center"/>
    </xf>
    <xf numFmtId="0" fontId="0" fillId="4" borderId="1" xfId="0" applyFill="1" applyBorder="1" applyAlignment="1">
      <alignment horizontal="center" vertical="center"/>
    </xf>
    <xf numFmtId="0" fontId="0" fillId="4" borderId="8" xfId="0" applyFill="1" applyBorder="1" applyAlignment="1">
      <alignment horizontal="center" vertical="center"/>
    </xf>
    <xf numFmtId="38" fontId="26" fillId="4" borderId="9" xfId="6" applyFont="1" applyFill="1" applyBorder="1" applyAlignment="1">
      <alignment horizontal="center" vertical="center"/>
    </xf>
    <xf numFmtId="38" fontId="26" fillId="4" borderId="1" xfId="6" applyFont="1" applyFill="1" applyBorder="1" applyAlignment="1">
      <alignment horizontal="center" vertical="center"/>
    </xf>
    <xf numFmtId="38" fontId="26" fillId="4" borderId="8" xfId="6" applyFont="1" applyFill="1" applyBorder="1" applyAlignment="1">
      <alignment horizontal="center" vertical="center"/>
    </xf>
    <xf numFmtId="2" fontId="27" fillId="4" borderId="7" xfId="7" applyNumberFormat="1" applyFont="1" applyFill="1" applyBorder="1" applyAlignment="1">
      <alignment horizontal="center" vertical="center"/>
    </xf>
    <xf numFmtId="2" fontId="27" fillId="4" borderId="8" xfId="7" applyNumberFormat="1" applyFont="1" applyFill="1" applyBorder="1" applyAlignment="1">
      <alignment horizontal="center" vertical="center"/>
    </xf>
    <xf numFmtId="2" fontId="28" fillId="4" borderId="7" xfId="7" applyNumberFormat="1" applyFont="1" applyFill="1" applyBorder="1" applyAlignment="1">
      <alignment horizontal="center" vertical="center"/>
    </xf>
    <xf numFmtId="2" fontId="28" fillId="4" borderId="8" xfId="7" applyNumberFormat="1" applyFont="1" applyFill="1" applyBorder="1" applyAlignment="1">
      <alignment horizontal="center" vertical="center"/>
    </xf>
    <xf numFmtId="0" fontId="29" fillId="0" borderId="1" xfId="0" applyFont="1" applyBorder="1" applyAlignment="1">
      <alignment horizontal="center" vertical="center"/>
    </xf>
    <xf numFmtId="38" fontId="27" fillId="0" borderId="1" xfId="6" applyFont="1" applyBorder="1" applyAlignment="1">
      <alignment horizontal="center" vertical="center"/>
    </xf>
    <xf numFmtId="0" fontId="7" fillId="11" borderId="1" xfId="0" applyFont="1" applyFill="1" applyBorder="1" applyAlignment="1">
      <alignment horizontal="center" vertical="center" wrapText="1"/>
    </xf>
    <xf numFmtId="165" fontId="7" fillId="11" borderId="1" xfId="0" applyNumberFormat="1" applyFont="1" applyFill="1" applyBorder="1" applyAlignment="1">
      <alignment horizontal="center" vertical="center" wrapText="1"/>
    </xf>
    <xf numFmtId="168" fontId="7" fillId="11" borderId="1" xfId="0" applyNumberFormat="1" applyFont="1" applyFill="1" applyBorder="1" applyAlignment="1">
      <alignment horizontal="center" vertical="center" wrapText="1"/>
    </xf>
    <xf numFmtId="166" fontId="7" fillId="11" borderId="1" xfId="0" applyNumberFormat="1" applyFont="1" applyFill="1" applyBorder="1" applyAlignment="1">
      <alignment horizontal="center" vertical="center" wrapText="1"/>
    </xf>
    <xf numFmtId="164" fontId="7" fillId="11" borderId="1" xfId="0" applyNumberFormat="1" applyFont="1" applyFill="1" applyBorder="1" applyAlignment="1">
      <alignment horizontal="center" vertical="center" wrapText="1"/>
    </xf>
    <xf numFmtId="0" fontId="30" fillId="0" borderId="1" xfId="2" applyFont="1" applyBorder="1" applyAlignment="1">
      <alignment horizontal="center" vertical="center"/>
    </xf>
    <xf numFmtId="169" fontId="5" fillId="0" borderId="0" xfId="0" applyNumberFormat="1" applyFont="1" applyAlignment="1">
      <alignment horizontal="center" vertical="center"/>
    </xf>
    <xf numFmtId="0" fontId="32" fillId="0" borderId="1" xfId="2" applyFont="1" applyBorder="1" applyAlignment="1">
      <alignment horizontal="center" vertical="center"/>
    </xf>
    <xf numFmtId="0" fontId="34" fillId="0" borderId="0" xfId="12" applyFont="1"/>
    <xf numFmtId="0" fontId="10" fillId="0" borderId="1" xfId="12" applyFont="1" applyBorder="1"/>
    <xf numFmtId="0" fontId="10" fillId="0" borderId="2" xfId="12" applyFont="1" applyBorder="1"/>
    <xf numFmtId="0" fontId="8" fillId="0" borderId="2" xfId="3" applyFont="1" applyBorder="1" applyAlignment="1">
      <alignment horizontal="center" vertical="center"/>
    </xf>
    <xf numFmtId="0" fontId="10" fillId="0" borderId="2" xfId="12" applyFont="1" applyBorder="1" applyAlignment="1">
      <alignment horizontal="left" vertical="center"/>
    </xf>
    <xf numFmtId="49" fontId="8" fillId="0" borderId="1" xfId="10" applyNumberFormat="1" applyFont="1" applyFill="1" applyBorder="1" applyAlignment="1">
      <alignment horizontal="center" vertical="center"/>
    </xf>
    <xf numFmtId="49" fontId="8" fillId="0" borderId="1" xfId="7" applyNumberFormat="1" applyFont="1" applyFill="1" applyBorder="1" applyAlignment="1">
      <alignment horizontal="center" vertical="center"/>
    </xf>
    <xf numFmtId="0" fontId="16" fillId="5" borderId="1" xfId="3" applyFont="1" applyFill="1" applyBorder="1" applyAlignment="1">
      <alignment horizontal="left" vertical="center" wrapText="1"/>
    </xf>
    <xf numFmtId="2" fontId="8" fillId="2" borderId="1" xfId="7" applyNumberFormat="1" applyFont="1" applyFill="1" applyBorder="1" applyAlignment="1">
      <alignment horizontal="center" vertical="center"/>
    </xf>
    <xf numFmtId="2" fontId="8" fillId="2" borderId="1" xfId="14" applyNumberFormat="1" applyFont="1" applyFill="1" applyBorder="1" applyAlignment="1">
      <alignment horizontal="center" vertical="center"/>
    </xf>
    <xf numFmtId="170" fontId="22" fillId="0" borderId="1" xfId="7" applyNumberFormat="1" applyFont="1" applyBorder="1" applyAlignment="1">
      <alignment horizontal="center" vertical="center"/>
    </xf>
    <xf numFmtId="10" fontId="22" fillId="0" borderId="1" xfId="7" applyNumberFormat="1" applyFont="1" applyBorder="1" applyAlignment="1">
      <alignment horizontal="center" vertical="center"/>
    </xf>
    <xf numFmtId="10" fontId="22" fillId="0" borderId="1" xfId="12" applyNumberFormat="1" applyFont="1" applyBorder="1" applyAlignment="1">
      <alignment horizontal="center" vertical="center"/>
    </xf>
    <xf numFmtId="10" fontId="10" fillId="0" borderId="1" xfId="12" applyNumberFormat="1" applyFont="1" applyBorder="1" applyAlignment="1">
      <alignment horizontal="center" vertical="center"/>
    </xf>
    <xf numFmtId="10" fontId="10" fillId="0" borderId="1" xfId="7" applyNumberFormat="1" applyFont="1" applyBorder="1" applyAlignment="1">
      <alignment horizontal="center" vertical="center"/>
    </xf>
    <xf numFmtId="2" fontId="34" fillId="0" borderId="11" xfId="12" applyNumberFormat="1" applyFont="1" applyBorder="1"/>
    <xf numFmtId="2" fontId="34" fillId="0" borderId="0" xfId="12" applyNumberFormat="1" applyFont="1"/>
    <xf numFmtId="0" fontId="36" fillId="12" borderId="1" xfId="0" applyFont="1" applyFill="1" applyBorder="1" applyAlignment="1">
      <alignment vertical="center"/>
    </xf>
    <xf numFmtId="0" fontId="8" fillId="6" borderId="1" xfId="0" applyFont="1" applyFill="1" applyBorder="1" applyAlignment="1">
      <alignment horizontal="left" vertical="center"/>
    </xf>
    <xf numFmtId="0" fontId="37" fillId="2" borderId="1" xfId="0" applyFont="1" applyFill="1" applyBorder="1" applyAlignment="1">
      <alignment horizontal="center" vertical="center"/>
    </xf>
    <xf numFmtId="0" fontId="8" fillId="0" borderId="1" xfId="12" applyFont="1" applyBorder="1" applyAlignment="1">
      <alignment horizontal="center" vertical="center"/>
    </xf>
    <xf numFmtId="0" fontId="8" fillId="13" borderId="1" xfId="0" applyFont="1" applyFill="1" applyBorder="1" applyAlignment="1">
      <alignment horizontal="left" vertical="center"/>
    </xf>
    <xf numFmtId="0" fontId="8" fillId="0" borderId="0" xfId="12" applyFont="1"/>
    <xf numFmtId="0" fontId="10" fillId="14" borderId="1" xfId="0" applyFont="1" applyFill="1" applyBorder="1" applyAlignment="1">
      <alignment horizontal="left" vertical="center"/>
    </xf>
    <xf numFmtId="0" fontId="8" fillId="2" borderId="1" xfId="0" applyFont="1" applyFill="1" applyBorder="1" applyAlignment="1">
      <alignment horizontal="left" vertical="center"/>
    </xf>
    <xf numFmtId="0" fontId="8" fillId="0" borderId="1" xfId="12" applyFont="1" applyBorder="1" applyAlignment="1">
      <alignment horizontal="left" vertical="center"/>
    </xf>
    <xf numFmtId="0" fontId="8" fillId="0" borderId="0" xfId="0" applyFont="1"/>
    <xf numFmtId="0" fontId="23" fillId="0" borderId="5" xfId="3" applyFont="1" applyBorder="1" applyAlignment="1">
      <alignment vertical="center" wrapText="1"/>
    </xf>
    <xf numFmtId="0" fontId="16" fillId="3" borderId="1" xfId="3" applyFont="1" applyFill="1" applyBorder="1" applyAlignment="1">
      <alignment horizontal="center" vertical="center" wrapText="1"/>
    </xf>
    <xf numFmtId="38" fontId="8" fillId="4" borderId="1" xfId="15" applyNumberFormat="1" applyFont="1" applyFill="1" applyBorder="1" applyAlignment="1">
      <alignment horizontal="center" vertical="center"/>
    </xf>
    <xf numFmtId="0" fontId="38" fillId="0" borderId="1" xfId="3" applyFont="1" applyBorder="1" applyAlignment="1">
      <alignment horizontal="center" vertical="center" wrapText="1"/>
    </xf>
    <xf numFmtId="38" fontId="8" fillId="0" borderId="1" xfId="16" applyFont="1" applyBorder="1" applyAlignment="1">
      <alignment horizontal="center" vertical="center"/>
    </xf>
    <xf numFmtId="38" fontId="8" fillId="4" borderId="1" xfId="16" applyFont="1" applyFill="1" applyBorder="1" applyAlignment="1">
      <alignment horizontal="center" vertical="center"/>
    </xf>
    <xf numFmtId="0" fontId="23" fillId="0" borderId="5" xfId="4" applyFont="1" applyBorder="1" applyAlignment="1">
      <alignment vertical="center" wrapText="1"/>
    </xf>
    <xf numFmtId="10" fontId="8" fillId="4" borderId="1" xfId="10" applyNumberFormat="1" applyFont="1" applyFill="1" applyBorder="1" applyAlignment="1">
      <alignment horizontal="center" vertical="center"/>
    </xf>
    <xf numFmtId="10" fontId="8" fillId="0" borderId="1" xfId="14" applyNumberFormat="1" applyFont="1" applyFill="1" applyBorder="1" applyAlignment="1">
      <alignment horizontal="center" vertical="center"/>
    </xf>
    <xf numFmtId="2" fontId="8" fillId="15" borderId="1" xfId="14" applyNumberFormat="1" applyFont="1" applyFill="1" applyBorder="1" applyAlignment="1">
      <alignment horizontal="center" vertical="center"/>
    </xf>
    <xf numFmtId="0" fontId="39" fillId="0" borderId="5" xfId="4" applyFont="1" applyBorder="1" applyAlignment="1">
      <alignment vertical="center" wrapText="1"/>
    </xf>
    <xf numFmtId="0" fontId="34" fillId="0" borderId="0" xfId="12" applyFont="1" applyAlignment="1" applyProtection="1">
      <alignment horizontal="center" vertical="center"/>
      <protection locked="0"/>
    </xf>
    <xf numFmtId="0" fontId="34" fillId="0" borderId="0" xfId="12" applyFont="1" applyAlignment="1">
      <alignment horizontal="center" vertical="center"/>
    </xf>
    <xf numFmtId="0" fontId="44" fillId="7" borderId="1" xfId="12" applyFont="1" applyFill="1" applyBorder="1" applyAlignment="1" applyProtection="1">
      <alignment horizontal="center" vertical="center" wrapText="1"/>
      <protection locked="0"/>
    </xf>
    <xf numFmtId="14" fontId="44" fillId="7" borderId="1" xfId="12" applyNumberFormat="1" applyFont="1" applyFill="1" applyBorder="1" applyAlignment="1" applyProtection="1">
      <alignment horizontal="center" vertical="center" wrapText="1"/>
      <protection locked="0"/>
    </xf>
    <xf numFmtId="0" fontId="44" fillId="7" borderId="1" xfId="12" applyFont="1" applyFill="1" applyBorder="1" applyAlignment="1" applyProtection="1">
      <alignment horizontal="center" vertical="center"/>
      <protection locked="0"/>
    </xf>
    <xf numFmtId="171" fontId="44" fillId="7" borderId="1" xfId="12" applyNumberFormat="1" applyFont="1" applyFill="1" applyBorder="1" applyAlignment="1" applyProtection="1">
      <alignment horizontal="center" vertical="center" wrapText="1"/>
      <protection locked="0"/>
    </xf>
    <xf numFmtId="0" fontId="44" fillId="7" borderId="1" xfId="12" applyFont="1" applyFill="1" applyBorder="1" applyAlignment="1">
      <alignment horizontal="center" vertical="center" wrapText="1"/>
    </xf>
    <xf numFmtId="0" fontId="44" fillId="16" borderId="1" xfId="12" applyFont="1" applyFill="1" applyBorder="1" applyAlignment="1">
      <alignment horizontal="center" vertical="center" wrapText="1"/>
    </xf>
    <xf numFmtId="0" fontId="44" fillId="0" borderId="0" xfId="12" applyFont="1" applyAlignment="1">
      <alignment horizontal="center" vertical="center"/>
    </xf>
    <xf numFmtId="0" fontId="23" fillId="0" borderId="0" xfId="12" applyFont="1" applyAlignment="1">
      <alignment horizontal="center" vertical="center"/>
    </xf>
    <xf numFmtId="0" fontId="24" fillId="2" borderId="1" xfId="12" applyFont="1" applyFill="1" applyBorder="1" applyAlignment="1">
      <alignment horizontal="center" vertical="center"/>
    </xf>
    <xf numFmtId="0" fontId="45" fillId="2" borderId="1" xfId="2" applyFont="1" applyFill="1" applyBorder="1" applyAlignment="1" applyProtection="1">
      <alignment horizontal="center" vertical="center"/>
    </xf>
    <xf numFmtId="14" fontId="46" fillId="2" borderId="1" xfId="13" applyNumberFormat="1" applyFont="1" applyFill="1" applyBorder="1" applyAlignment="1" applyProtection="1">
      <alignment horizontal="center" vertical="center"/>
    </xf>
    <xf numFmtId="0" fontId="46" fillId="2" borderId="1" xfId="13" applyFont="1" applyFill="1" applyBorder="1" applyAlignment="1" applyProtection="1">
      <alignment horizontal="center" vertical="center"/>
    </xf>
    <xf numFmtId="0" fontId="33" fillId="0" borderId="1" xfId="0" applyFont="1" applyBorder="1" applyAlignment="1">
      <alignment horizontal="center" vertical="center"/>
    </xf>
    <xf numFmtId="0" fontId="46" fillId="2" borderId="1" xfId="13" applyFont="1" applyFill="1" applyBorder="1" applyAlignment="1" applyProtection="1">
      <alignment horizontal="center" vertical="center" wrapText="1"/>
    </xf>
    <xf numFmtId="0" fontId="24" fillId="2" borderId="0" xfId="12" applyFont="1" applyFill="1" applyAlignment="1">
      <alignment horizontal="center" vertical="center"/>
    </xf>
    <xf numFmtId="0" fontId="30" fillId="2" borderId="1" xfId="2" applyFont="1" applyFill="1" applyBorder="1" applyAlignment="1" applyProtection="1">
      <alignment horizontal="center" vertical="center"/>
    </xf>
    <xf numFmtId="167" fontId="46" fillId="2" borderId="1" xfId="1" quotePrefix="1" applyNumberFormat="1" applyFont="1" applyFill="1" applyBorder="1" applyAlignment="1" applyProtection="1">
      <alignment horizontal="center" vertical="center"/>
    </xf>
    <xf numFmtId="167" fontId="46" fillId="2" borderId="1" xfId="13" quotePrefix="1" applyNumberFormat="1" applyFont="1" applyFill="1" applyBorder="1" applyAlignment="1" applyProtection="1">
      <alignment horizontal="center" vertical="center"/>
    </xf>
    <xf numFmtId="14" fontId="34" fillId="0" borderId="0" xfId="12" applyNumberFormat="1" applyFont="1" applyAlignment="1">
      <alignment horizontal="center" vertical="center"/>
    </xf>
    <xf numFmtId="38" fontId="34" fillId="0" borderId="0" xfId="8" applyNumberFormat="1" applyFont="1" applyAlignment="1">
      <alignment horizontal="center" vertical="center"/>
    </xf>
    <xf numFmtId="38" fontId="34" fillId="0" borderId="0" xfId="12" applyNumberFormat="1" applyFont="1" applyAlignment="1">
      <alignment horizontal="center" vertical="center"/>
    </xf>
    <xf numFmtId="0" fontId="33" fillId="2" borderId="1" xfId="0" applyFont="1" applyFill="1" applyBorder="1" applyAlignment="1">
      <alignment horizontal="center" vertical="center"/>
    </xf>
    <xf numFmtId="0" fontId="2" fillId="0" borderId="1" xfId="2" applyBorder="1" applyAlignment="1">
      <alignment horizontal="center" vertical="center"/>
    </xf>
    <xf numFmtId="0" fontId="47" fillId="2" borderId="1" xfId="12" applyFont="1" applyFill="1" applyBorder="1" applyAlignment="1">
      <alignment horizontal="center" vertical="center"/>
    </xf>
    <xf numFmtId="0" fontId="8" fillId="2" borderId="1" xfId="12" applyFont="1" applyFill="1" applyBorder="1" applyAlignment="1">
      <alignment horizontal="center" vertical="center"/>
    </xf>
    <xf numFmtId="0" fontId="48" fillId="2" borderId="1" xfId="13" applyFont="1" applyFill="1" applyBorder="1" applyAlignment="1" applyProtection="1">
      <alignment horizontal="center" vertical="center"/>
    </xf>
    <xf numFmtId="14" fontId="8" fillId="0" borderId="1" xfId="12" applyNumberFormat="1" applyFont="1" applyBorder="1" applyAlignment="1" applyProtection="1">
      <alignment horizontal="center" vertical="center"/>
      <protection locked="0"/>
    </xf>
    <xf numFmtId="0" fontId="8" fillId="0" borderId="1" xfId="13" applyFont="1" applyBorder="1" applyAlignment="1" applyProtection="1">
      <alignment horizontal="center" vertical="center" wrapText="1"/>
    </xf>
    <xf numFmtId="0" fontId="8" fillId="0" borderId="1" xfId="13" applyFont="1" applyBorder="1" applyAlignment="1" applyProtection="1">
      <alignment horizontal="center" vertical="center"/>
    </xf>
    <xf numFmtId="0" fontId="8" fillId="0" borderId="1" xfId="12" applyFont="1" applyBorder="1" applyAlignment="1" applyProtection="1">
      <alignment horizontal="center" vertical="center"/>
      <protection locked="0"/>
    </xf>
    <xf numFmtId="0" fontId="8" fillId="0" borderId="1" xfId="12" applyFont="1" applyBorder="1" applyAlignment="1" applyProtection="1">
      <alignment horizontal="center" vertical="center" wrapText="1"/>
      <protection locked="0"/>
    </xf>
    <xf numFmtId="38" fontId="8" fillId="0" borderId="1" xfId="8" applyNumberFormat="1" applyFont="1" applyBorder="1" applyAlignment="1" applyProtection="1">
      <alignment horizontal="center" vertical="center"/>
      <protection locked="0"/>
    </xf>
    <xf numFmtId="14" fontId="8" fillId="2" borderId="1" xfId="12" applyNumberFormat="1" applyFont="1" applyFill="1" applyBorder="1" applyAlignment="1" applyProtection="1">
      <alignment horizontal="center" vertical="center"/>
      <protection locked="0"/>
    </xf>
    <xf numFmtId="0" fontId="49" fillId="2" borderId="1" xfId="13" applyFont="1" applyFill="1" applyBorder="1" applyAlignment="1" applyProtection="1">
      <alignment horizontal="center" vertical="center"/>
    </xf>
    <xf numFmtId="0" fontId="8" fillId="0" borderId="0" xfId="12" applyFont="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quotePrefix="1" applyFont="1" applyBorder="1" applyAlignment="1">
      <alignment horizontal="left" vertical="top" wrapText="1"/>
    </xf>
    <xf numFmtId="0" fontId="5" fillId="0" borderId="1" xfId="0" applyFont="1" applyBorder="1" applyAlignment="1">
      <alignment horizontal="left" vertical="top" wrapText="1"/>
    </xf>
    <xf numFmtId="0" fontId="9" fillId="0" borderId="1" xfId="0" applyFont="1" applyBorder="1" applyAlignment="1">
      <alignment horizontal="center"/>
    </xf>
    <xf numFmtId="0" fontId="19" fillId="0" borderId="1" xfId="3" applyFont="1" applyBorder="1" applyAlignment="1">
      <alignment horizontal="center" vertical="center" wrapText="1"/>
    </xf>
    <xf numFmtId="0" fontId="19" fillId="0" borderId="2" xfId="3" applyFont="1" applyBorder="1" applyAlignment="1">
      <alignment horizontal="center" vertical="center" wrapText="1"/>
    </xf>
    <xf numFmtId="0" fontId="11" fillId="0" borderId="1" xfId="0" applyFont="1" applyBorder="1" applyAlignment="1">
      <alignment horizontal="center" vertical="center"/>
    </xf>
    <xf numFmtId="0" fontId="22" fillId="4" borderId="1" xfId="0" applyFont="1" applyFill="1" applyBorder="1" applyAlignment="1">
      <alignment horizontal="center" vertical="center"/>
    </xf>
    <xf numFmtId="0" fontId="11" fillId="0" borderId="1" xfId="3" applyFont="1" applyBorder="1" applyAlignment="1">
      <alignment horizontal="center" vertical="center" wrapText="1"/>
    </xf>
    <xf numFmtId="0" fontId="11" fillId="0" borderId="1" xfId="4" applyFont="1" applyBorder="1" applyAlignment="1">
      <alignment horizontal="center" vertical="center"/>
    </xf>
    <xf numFmtId="0" fontId="11" fillId="0" borderId="2" xfId="4" applyFont="1" applyBorder="1" applyAlignment="1">
      <alignment horizontal="center" vertical="center"/>
    </xf>
    <xf numFmtId="1" fontId="4" fillId="0" borderId="3" xfId="0" applyNumberFormat="1" applyFont="1" applyBorder="1" applyAlignment="1">
      <alignment horizontal="left" vertical="center" wrapText="1"/>
    </xf>
    <xf numFmtId="1" fontId="4" fillId="0" borderId="0" xfId="0" applyNumberFormat="1" applyFont="1" applyBorder="1" applyAlignment="1">
      <alignment horizontal="left" vertical="center" wrapText="1"/>
    </xf>
    <xf numFmtId="0" fontId="9" fillId="0" borderId="1" xfId="0" applyFont="1" applyBorder="1" applyAlignment="1">
      <alignment horizontal="left" vertical="top" wrapText="1"/>
    </xf>
    <xf numFmtId="0" fontId="35" fillId="0" borderId="1" xfId="12" applyFont="1" applyBorder="1" applyAlignment="1">
      <alignment horizontal="center" vertical="center"/>
    </xf>
    <xf numFmtId="0" fontId="10" fillId="0" borderId="5" xfId="12" applyFont="1" applyBorder="1" applyAlignment="1">
      <alignment horizontal="center" vertical="center"/>
    </xf>
    <xf numFmtId="0" fontId="10" fillId="0" borderId="10" xfId="12" applyFont="1" applyBorder="1" applyAlignment="1">
      <alignment horizontal="center" vertical="center"/>
    </xf>
    <xf numFmtId="0" fontId="10" fillId="0" borderId="7" xfId="12" applyFont="1" applyBorder="1" applyAlignment="1">
      <alignment horizontal="center" vertical="center"/>
    </xf>
    <xf numFmtId="0" fontId="10" fillId="0" borderId="1" xfId="12" applyFont="1" applyBorder="1" applyAlignment="1">
      <alignment horizontal="center" vertical="center"/>
    </xf>
    <xf numFmtId="0" fontId="8" fillId="0" borderId="1" xfId="12" applyFont="1" applyBorder="1" applyAlignment="1">
      <alignment horizontal="center"/>
    </xf>
    <xf numFmtId="0" fontId="16" fillId="3" borderId="1" xfId="3" applyFont="1" applyFill="1" applyBorder="1" applyAlignment="1">
      <alignment horizontal="center" vertical="center" wrapText="1"/>
    </xf>
    <xf numFmtId="0" fontId="38" fillId="0" borderId="1" xfId="3" applyFont="1" applyBorder="1" applyAlignment="1">
      <alignment horizontal="center" vertical="center" wrapText="1"/>
    </xf>
    <xf numFmtId="0" fontId="40" fillId="0" borderId="1" xfId="12" applyFont="1" applyBorder="1" applyAlignment="1">
      <alignment horizontal="center" vertical="center"/>
    </xf>
    <xf numFmtId="0" fontId="43" fillId="0" borderId="3" xfId="12" applyFont="1" applyBorder="1" applyAlignment="1" applyProtection="1">
      <alignment horizontal="center" vertical="center" wrapText="1"/>
      <protection locked="0"/>
    </xf>
    <xf numFmtId="0" fontId="43" fillId="0" borderId="0" xfId="12" applyFont="1" applyAlignment="1" applyProtection="1">
      <alignment horizontal="center" vertical="center" wrapText="1"/>
      <protection locked="0"/>
    </xf>
  </cellXfs>
  <cellStyles count="17">
    <cellStyle name="Comma" xfId="1" builtinId="3"/>
    <cellStyle name="Comma [0]" xfId="9" builtinId="6"/>
    <cellStyle name="Comma [0] 2" xfId="6" xr:uid="{00000000-0005-0000-0000-000001000000}"/>
    <cellStyle name="Comma 2" xfId="8" xr:uid="{00000000-0005-0000-0000-000002000000}"/>
    <cellStyle name="Dấu phẩy [0] 2" xfId="16" xr:uid="{9C90B369-0A7E-4141-858E-532EC3758D33}"/>
    <cellStyle name="Dấu phẩy 2 2" xfId="15" xr:uid="{8B32CD29-2D72-4642-A404-C557FA40480A}"/>
    <cellStyle name="Hyperlink" xfId="2" builtinId="8"/>
    <cellStyle name="Hyperlink 2" xfId="13" xr:uid="{6E6E467B-013F-48DD-8C61-4207951AE29E}"/>
    <cellStyle name="Normal" xfId="0" builtinId="0"/>
    <cellStyle name="Normal 2" xfId="5" xr:uid="{00000000-0005-0000-0000-000005000000}"/>
    <cellStyle name="Normal 2 2" xfId="12" xr:uid="{814A4029-8778-49E0-8E57-E43A0406E3AC}"/>
    <cellStyle name="Normal 3" xfId="11" xr:uid="{6431C910-1AEF-4190-8681-E902B10367CA}"/>
    <cellStyle name="Percent" xfId="10" builtinId="5"/>
    <cellStyle name="Percent 2" xfId="7" xr:uid="{00000000-0005-0000-0000-000007000000}"/>
    <cellStyle name="Phần trăm 3" xfId="14" xr:uid="{201C903D-96FD-47DD-9E0B-E7A98EAC35B8}"/>
    <cellStyle name="標準_Du lieu tinh san xuat VNM-VDM" xfId="4" xr:uid="{00000000-0005-0000-0000-000008000000}"/>
    <cellStyle name="標準_Sheet1" xfId="3" xr:uid="{00000000-0005-0000-0000-000009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styles" Target="styles.xml"/><Relationship Id="rId5" Type="http://schemas.openxmlformats.org/officeDocument/2006/relationships/externalLink" Target="externalLinks/externalLink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a:t>TỶ</a:t>
            </a:r>
            <a:r>
              <a:rPr lang="en-US" baseline="0"/>
              <a:t> LỆ BHC 2024 - MỤC TIÊU 2025</a:t>
            </a:r>
            <a:endParaRPr lang="en-US"/>
          </a:p>
        </c:rich>
      </c:tx>
      <c:layout>
        <c:manualLayout>
          <c:xMode val="edge"/>
          <c:yMode val="edge"/>
          <c:x val="0.61011896728281745"/>
          <c:y val="1.65638778777020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4.8089527442056371E-2"/>
          <c:y val="0.12208055967905374"/>
          <c:w val="0.93556574744650234"/>
          <c:h val="0.69369259703345731"/>
        </c:manualLayout>
      </c:layout>
      <c:barChart>
        <c:barDir val="col"/>
        <c:grouping val="clustered"/>
        <c:varyColors val="0"/>
        <c:ser>
          <c:idx val="0"/>
          <c:order val="0"/>
          <c:tx>
            <c:strRef>
              <c:f>'MT BHCCD'!$B$22</c:f>
              <c:strCache>
                <c:ptCount val="1"/>
                <c:pt idx="0">
                  <c:v>Mục tiêu đơn tháng</c:v>
                </c:pt>
              </c:strCache>
            </c:strRef>
          </c:tx>
          <c:spPr>
            <a:solidFill>
              <a:schemeClr val="accent1"/>
            </a:solidFill>
            <a:ln>
              <a:noFill/>
            </a:ln>
            <a:effectLst/>
          </c:spPr>
          <c:invertIfNegative val="0"/>
          <c:cat>
            <c:multiLvlStrRef>
              <c:f>'MT BHCCD'!$C$20:$Z$21</c:f>
              <c:multiLvlStrCache>
                <c:ptCount val="24"/>
                <c:lvl>
                  <c:pt idx="0">
                    <c:v>1月</c:v>
                  </c:pt>
                  <c:pt idx="1">
                    <c:v>2月</c:v>
                  </c:pt>
                  <c:pt idx="2">
                    <c:v>3月</c:v>
                  </c:pt>
                  <c:pt idx="3">
                    <c:v>4月</c:v>
                  </c:pt>
                  <c:pt idx="4">
                    <c:v>5月</c:v>
                  </c:pt>
                  <c:pt idx="5">
                    <c:v>6月</c:v>
                  </c:pt>
                  <c:pt idx="6">
                    <c:v>7月</c:v>
                  </c:pt>
                  <c:pt idx="7">
                    <c:v>8月</c:v>
                  </c:pt>
                  <c:pt idx="8">
                    <c:v>9月</c:v>
                  </c:pt>
                  <c:pt idx="9">
                    <c:v>10月</c:v>
                  </c:pt>
                  <c:pt idx="10">
                    <c:v>11月</c:v>
                  </c:pt>
                  <c:pt idx="11">
                    <c:v>12月</c:v>
                  </c:pt>
                  <c:pt idx="12">
                    <c:v>1月</c:v>
                  </c:pt>
                  <c:pt idx="13">
                    <c:v>2月</c:v>
                  </c:pt>
                  <c:pt idx="14">
                    <c:v>3月</c:v>
                  </c:pt>
                  <c:pt idx="15">
                    <c:v>4月</c:v>
                  </c:pt>
                  <c:pt idx="16">
                    <c:v>5月</c:v>
                  </c:pt>
                  <c:pt idx="17">
                    <c:v>6月</c:v>
                  </c:pt>
                  <c:pt idx="18">
                    <c:v>7月</c:v>
                  </c:pt>
                  <c:pt idx="19">
                    <c:v>8月</c:v>
                  </c:pt>
                  <c:pt idx="20">
                    <c:v>9月</c:v>
                  </c:pt>
                  <c:pt idx="21">
                    <c:v>10月</c:v>
                  </c:pt>
                  <c:pt idx="22">
                    <c:v>11月</c:v>
                  </c:pt>
                  <c:pt idx="23">
                    <c:v>12月</c:v>
                  </c:pt>
                </c:lvl>
                <c:lvl>
                  <c:pt idx="0">
                    <c:v>2024年</c:v>
                  </c:pt>
                  <c:pt idx="12">
                    <c:v>2025年</c:v>
                  </c:pt>
                </c:lvl>
              </c:multiLvlStrCache>
            </c:multiLvlStrRef>
          </c:cat>
          <c:val>
            <c:numRef>
              <c:f>'MT BHCCD'!$C$22:$Z$22</c:f>
              <c:numCache>
                <c:formatCode>0.00</c:formatCode>
                <c:ptCount val="24"/>
                <c:pt idx="0">
                  <c:v>7.4432452549311509E-2</c:v>
                </c:pt>
                <c:pt idx="1">
                  <c:v>6.4850843060959784E-2</c:v>
                </c:pt>
                <c:pt idx="2">
                  <c:v>0.10482180293501049</c:v>
                </c:pt>
                <c:pt idx="3">
                  <c:v>7.147962830593281E-2</c:v>
                </c:pt>
                <c:pt idx="4">
                  <c:v>7.5386355069732375E-2</c:v>
                </c:pt>
                <c:pt idx="5">
                  <c:v>6.951685783802572E-2</c:v>
                </c:pt>
                <c:pt idx="6">
                  <c:v>0.10964912280701754</c:v>
                </c:pt>
                <c:pt idx="7">
                  <c:v>0.10748835542816196</c:v>
                </c:pt>
                <c:pt idx="8">
                  <c:v>7.3882526782415955E-2</c:v>
                </c:pt>
                <c:pt idx="9">
                  <c:v>0.10482180293501049</c:v>
                </c:pt>
                <c:pt idx="10">
                  <c:v>7.5244544770504129E-2</c:v>
                </c:pt>
                <c:pt idx="11">
                  <c:v>7.0472163495419307E-2</c:v>
                </c:pt>
                <c:pt idx="12">
                  <c:v>5.8038305281485777E-2</c:v>
                </c:pt>
                <c:pt idx="13">
                  <c:v>2.5529742149604292E-2</c:v>
                </c:pt>
                <c:pt idx="14">
                  <c:v>3.02571860816944E-2</c:v>
                </c:pt>
                <c:pt idx="15">
                  <c:v>2.1168501270110076E-2</c:v>
                </c:pt>
                <c:pt idx="16">
                  <c:v>1.6237720224080539E-2</c:v>
                </c:pt>
                <c:pt idx="17">
                  <c:v>1.3304064391671656E-2</c:v>
                </c:pt>
                <c:pt idx="18">
                  <c:v>1.1305822498586773E-2</c:v>
                </c:pt>
                <c:pt idx="19">
                  <c:v>9.9631363953372517E-3</c:v>
                </c:pt>
                <c:pt idx="20">
                  <c:v>4.49842555105713E-3</c:v>
                </c:pt>
                <c:pt idx="21">
                  <c:v>8.1340491296567445E-3</c:v>
                </c:pt>
                <c:pt idx="22">
                  <c:v>7.4582338902147976E-3</c:v>
                </c:pt>
                <c:pt idx="23">
                  <c:v>6.8872895072144358E-3</c:v>
                </c:pt>
              </c:numCache>
            </c:numRef>
          </c:val>
          <c:extLst>
            <c:ext xmlns:c16="http://schemas.microsoft.com/office/drawing/2014/chart" uri="{C3380CC4-5D6E-409C-BE32-E72D297353CC}">
              <c16:uniqueId val="{00000000-EA5F-4686-9D0F-239CED1F7F7A}"/>
            </c:ext>
          </c:extLst>
        </c:ser>
        <c:ser>
          <c:idx val="1"/>
          <c:order val="1"/>
          <c:tx>
            <c:strRef>
              <c:f>'MT BHCCD'!$B$23</c:f>
              <c:strCache>
                <c:ptCount val="1"/>
                <c:pt idx="0">
                  <c:v>Thực tích đơn tháng</c:v>
                </c:pt>
              </c:strCache>
            </c:strRef>
          </c:tx>
          <c:spPr>
            <a:solidFill>
              <a:schemeClr val="accent2"/>
            </a:solidFill>
            <a:ln>
              <a:noFill/>
            </a:ln>
            <a:effectLst/>
          </c:spPr>
          <c:invertIfNegative val="0"/>
          <c:cat>
            <c:multiLvlStrRef>
              <c:f>'MT BHCCD'!$C$20:$Z$21</c:f>
              <c:multiLvlStrCache>
                <c:ptCount val="24"/>
                <c:lvl>
                  <c:pt idx="0">
                    <c:v>1月</c:v>
                  </c:pt>
                  <c:pt idx="1">
                    <c:v>2月</c:v>
                  </c:pt>
                  <c:pt idx="2">
                    <c:v>3月</c:v>
                  </c:pt>
                  <c:pt idx="3">
                    <c:v>4月</c:v>
                  </c:pt>
                  <c:pt idx="4">
                    <c:v>5月</c:v>
                  </c:pt>
                  <c:pt idx="5">
                    <c:v>6月</c:v>
                  </c:pt>
                  <c:pt idx="6">
                    <c:v>7月</c:v>
                  </c:pt>
                  <c:pt idx="7">
                    <c:v>8月</c:v>
                  </c:pt>
                  <c:pt idx="8">
                    <c:v>9月</c:v>
                  </c:pt>
                  <c:pt idx="9">
                    <c:v>10月</c:v>
                  </c:pt>
                  <c:pt idx="10">
                    <c:v>11月</c:v>
                  </c:pt>
                  <c:pt idx="11">
                    <c:v>12月</c:v>
                  </c:pt>
                  <c:pt idx="12">
                    <c:v>1月</c:v>
                  </c:pt>
                  <c:pt idx="13">
                    <c:v>2月</c:v>
                  </c:pt>
                  <c:pt idx="14">
                    <c:v>3月</c:v>
                  </c:pt>
                  <c:pt idx="15">
                    <c:v>4月</c:v>
                  </c:pt>
                  <c:pt idx="16">
                    <c:v>5月</c:v>
                  </c:pt>
                  <c:pt idx="17">
                    <c:v>6月</c:v>
                  </c:pt>
                  <c:pt idx="18">
                    <c:v>7月</c:v>
                  </c:pt>
                  <c:pt idx="19">
                    <c:v>8月</c:v>
                  </c:pt>
                  <c:pt idx="20">
                    <c:v>9月</c:v>
                  </c:pt>
                  <c:pt idx="21">
                    <c:v>10月</c:v>
                  </c:pt>
                  <c:pt idx="22">
                    <c:v>11月</c:v>
                  </c:pt>
                  <c:pt idx="23">
                    <c:v>12月</c:v>
                  </c:pt>
                </c:lvl>
                <c:lvl>
                  <c:pt idx="0">
                    <c:v>2024年</c:v>
                  </c:pt>
                  <c:pt idx="12">
                    <c:v>2025年</c:v>
                  </c:pt>
                </c:lvl>
              </c:multiLvlStrCache>
            </c:multiLvlStrRef>
          </c:cat>
          <c:val>
            <c:numRef>
              <c:f>'MT BHCCD'!$C$23:$Z$23</c:f>
              <c:numCache>
                <c:formatCode>0.00</c:formatCode>
                <c:ptCount val="24"/>
                <c:pt idx="0">
                  <c:v>3.6737692872887577E-2</c:v>
                </c:pt>
                <c:pt idx="1">
                  <c:v>0.12055455093429776</c:v>
                </c:pt>
                <c:pt idx="2">
                  <c:v>7.5471698113207544E-2</c:v>
                </c:pt>
                <c:pt idx="3">
                  <c:v>3.6737692872887577E-2</c:v>
                </c:pt>
                <c:pt idx="4">
                  <c:v>0.13320013320013319</c:v>
                </c:pt>
                <c:pt idx="5">
                  <c:v>3.5906642728904849E-2</c:v>
                </c:pt>
                <c:pt idx="6">
                  <c:v>3.4482758620689655E-2</c:v>
                </c:pt>
                <c:pt idx="7">
                  <c:v>0.11838989739542227</c:v>
                </c:pt>
                <c:pt idx="8">
                  <c:v>4.0387722132471729E-2</c:v>
                </c:pt>
                <c:pt idx="9">
                  <c:v>7.7459333849728904E-2</c:v>
                </c:pt>
                <c:pt idx="10">
                  <c:v>0</c:v>
                </c:pt>
                <c:pt idx="11">
                  <c:v>0</c:v>
                </c:pt>
                <c:pt idx="12" formatCode="General">
                  <c:v>0.01</c:v>
                </c:pt>
                <c:pt idx="13">
                  <c:v>0.04</c:v>
                </c:pt>
                <c:pt idx="14">
                  <c:v>0.04</c:v>
                </c:pt>
              </c:numCache>
            </c:numRef>
          </c:val>
          <c:extLst>
            <c:ext xmlns:c16="http://schemas.microsoft.com/office/drawing/2014/chart" uri="{C3380CC4-5D6E-409C-BE32-E72D297353CC}">
              <c16:uniqueId val="{00000001-EA5F-4686-9D0F-239CED1F7F7A}"/>
            </c:ext>
          </c:extLst>
        </c:ser>
        <c:dLbls>
          <c:showLegendKey val="0"/>
          <c:showVal val="0"/>
          <c:showCatName val="0"/>
          <c:showSerName val="0"/>
          <c:showPercent val="0"/>
          <c:showBubbleSize val="0"/>
        </c:dLbls>
        <c:gapWidth val="219"/>
        <c:overlap val="-27"/>
        <c:axId val="984641224"/>
        <c:axId val="984636544"/>
      </c:barChart>
      <c:lineChart>
        <c:grouping val="standard"/>
        <c:varyColors val="0"/>
        <c:ser>
          <c:idx val="2"/>
          <c:order val="2"/>
          <c:tx>
            <c:strRef>
              <c:f>'MT BHCCD'!$B$24</c:f>
              <c:strCache>
                <c:ptCount val="1"/>
                <c:pt idx="0">
                  <c:v>Mục tiêu lũy kế </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multiLvlStrRef>
              <c:f>'MT BHCCD'!$C$20:$Z$21</c:f>
              <c:multiLvlStrCache>
                <c:ptCount val="24"/>
                <c:lvl>
                  <c:pt idx="0">
                    <c:v>1月</c:v>
                  </c:pt>
                  <c:pt idx="1">
                    <c:v>2月</c:v>
                  </c:pt>
                  <c:pt idx="2">
                    <c:v>3月</c:v>
                  </c:pt>
                  <c:pt idx="3">
                    <c:v>4月</c:v>
                  </c:pt>
                  <c:pt idx="4">
                    <c:v>5月</c:v>
                  </c:pt>
                  <c:pt idx="5">
                    <c:v>6月</c:v>
                  </c:pt>
                  <c:pt idx="6">
                    <c:v>7月</c:v>
                  </c:pt>
                  <c:pt idx="7">
                    <c:v>8月</c:v>
                  </c:pt>
                  <c:pt idx="8">
                    <c:v>9月</c:v>
                  </c:pt>
                  <c:pt idx="9">
                    <c:v>10月</c:v>
                  </c:pt>
                  <c:pt idx="10">
                    <c:v>11月</c:v>
                  </c:pt>
                  <c:pt idx="11">
                    <c:v>12月</c:v>
                  </c:pt>
                  <c:pt idx="12">
                    <c:v>1月</c:v>
                  </c:pt>
                  <c:pt idx="13">
                    <c:v>2月</c:v>
                  </c:pt>
                  <c:pt idx="14">
                    <c:v>3月</c:v>
                  </c:pt>
                  <c:pt idx="15">
                    <c:v>4月</c:v>
                  </c:pt>
                  <c:pt idx="16">
                    <c:v>5月</c:v>
                  </c:pt>
                  <c:pt idx="17">
                    <c:v>6月</c:v>
                  </c:pt>
                  <c:pt idx="18">
                    <c:v>7月</c:v>
                  </c:pt>
                  <c:pt idx="19">
                    <c:v>8月</c:v>
                  </c:pt>
                  <c:pt idx="20">
                    <c:v>9月</c:v>
                  </c:pt>
                  <c:pt idx="21">
                    <c:v>10月</c:v>
                  </c:pt>
                  <c:pt idx="22">
                    <c:v>11月</c:v>
                  </c:pt>
                  <c:pt idx="23">
                    <c:v>12月</c:v>
                  </c:pt>
                </c:lvl>
                <c:lvl>
                  <c:pt idx="0">
                    <c:v>2024年</c:v>
                  </c:pt>
                  <c:pt idx="12">
                    <c:v>2025年</c:v>
                  </c:pt>
                </c:lvl>
              </c:multiLvlStrCache>
            </c:multiLvlStrRef>
          </c:cat>
          <c:val>
            <c:numRef>
              <c:f>'MT BHCCD'!$C$24:$Z$24</c:f>
              <c:numCache>
                <c:formatCode>0.00</c:formatCode>
                <c:ptCount val="24"/>
                <c:pt idx="0">
                  <c:v>7.4432452549311509E-2</c:v>
                </c:pt>
                <c:pt idx="1">
                  <c:v>7.0938756207141171E-2</c:v>
                </c:pt>
                <c:pt idx="2">
                  <c:v>8.4614299816669014E-2</c:v>
                </c:pt>
                <c:pt idx="3">
                  <c:v>8.08979674385681E-2</c:v>
                </c:pt>
                <c:pt idx="4">
                  <c:v>7.9732100143517781E-2</c:v>
                </c:pt>
                <c:pt idx="5">
                  <c:v>7.7826058758674363E-2</c:v>
                </c:pt>
                <c:pt idx="6">
                  <c:v>8.262186725419994E-2</c:v>
                </c:pt>
                <c:pt idx="7">
                  <c:v>8.5935262102549412E-2</c:v>
                </c:pt>
                <c:pt idx="8">
                  <c:v>8.4555870291294966E-2</c:v>
                </c:pt>
                <c:pt idx="9">
                  <c:v>8.6743352819158973E-2</c:v>
                </c:pt>
                <c:pt idx="10">
                  <c:v>8.5695677510026394E-2</c:v>
                </c:pt>
                <c:pt idx="11">
                  <c:v>8.4346006060416728E-2</c:v>
                </c:pt>
                <c:pt idx="12">
                  <c:v>5.8038305281485777E-2</c:v>
                </c:pt>
                <c:pt idx="13">
                  <c:v>5.1059484299208584E-2</c:v>
                </c:pt>
                <c:pt idx="14">
                  <c:v>6.0514372163388799E-2</c:v>
                </c:pt>
                <c:pt idx="15">
                  <c:v>6.3505503810330224E-2</c:v>
                </c:pt>
                <c:pt idx="16">
                  <c:v>6.4950880896322158E-2</c:v>
                </c:pt>
                <c:pt idx="17">
                  <c:v>6.6520321958358289E-2</c:v>
                </c:pt>
                <c:pt idx="18">
                  <c:v>6.7834934991520643E-2</c:v>
                </c:pt>
                <c:pt idx="19">
                  <c:v>6.9741954767360767E-2</c:v>
                </c:pt>
                <c:pt idx="20">
                  <c:v>6.7476383265856948E-2</c:v>
                </c:pt>
                <c:pt idx="21">
                  <c:v>6.9139417602082309E-2</c:v>
                </c:pt>
                <c:pt idx="22">
                  <c:v>7.0853221957040566E-2</c:v>
                </c:pt>
                <c:pt idx="23">
                  <c:v>7.2316539825751577E-2</c:v>
                </c:pt>
              </c:numCache>
            </c:numRef>
          </c:val>
          <c:smooth val="0"/>
          <c:extLst>
            <c:ext xmlns:c16="http://schemas.microsoft.com/office/drawing/2014/chart" uri="{C3380CC4-5D6E-409C-BE32-E72D297353CC}">
              <c16:uniqueId val="{00000002-EA5F-4686-9D0F-239CED1F7F7A}"/>
            </c:ext>
          </c:extLst>
        </c:ser>
        <c:ser>
          <c:idx val="3"/>
          <c:order val="3"/>
          <c:tx>
            <c:strRef>
              <c:f>'MT BHCCD'!$B$25</c:f>
              <c:strCache>
                <c:ptCount val="1"/>
                <c:pt idx="0">
                  <c:v>Thực tích lũy kế </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multiLvlStrRef>
              <c:f>'MT BHCCD'!$C$20:$Z$21</c:f>
              <c:multiLvlStrCache>
                <c:ptCount val="24"/>
                <c:lvl>
                  <c:pt idx="0">
                    <c:v>1月</c:v>
                  </c:pt>
                  <c:pt idx="1">
                    <c:v>2月</c:v>
                  </c:pt>
                  <c:pt idx="2">
                    <c:v>3月</c:v>
                  </c:pt>
                  <c:pt idx="3">
                    <c:v>4月</c:v>
                  </c:pt>
                  <c:pt idx="4">
                    <c:v>5月</c:v>
                  </c:pt>
                  <c:pt idx="5">
                    <c:v>6月</c:v>
                  </c:pt>
                  <c:pt idx="6">
                    <c:v>7月</c:v>
                  </c:pt>
                  <c:pt idx="7">
                    <c:v>8月</c:v>
                  </c:pt>
                  <c:pt idx="8">
                    <c:v>9月</c:v>
                  </c:pt>
                  <c:pt idx="9">
                    <c:v>10月</c:v>
                  </c:pt>
                  <c:pt idx="10">
                    <c:v>11月</c:v>
                  </c:pt>
                  <c:pt idx="11">
                    <c:v>12月</c:v>
                  </c:pt>
                  <c:pt idx="12">
                    <c:v>1月</c:v>
                  </c:pt>
                  <c:pt idx="13">
                    <c:v>2月</c:v>
                  </c:pt>
                  <c:pt idx="14">
                    <c:v>3月</c:v>
                  </c:pt>
                  <c:pt idx="15">
                    <c:v>4月</c:v>
                  </c:pt>
                  <c:pt idx="16">
                    <c:v>5月</c:v>
                  </c:pt>
                  <c:pt idx="17">
                    <c:v>6月</c:v>
                  </c:pt>
                  <c:pt idx="18">
                    <c:v>7月</c:v>
                  </c:pt>
                  <c:pt idx="19">
                    <c:v>8月</c:v>
                  </c:pt>
                  <c:pt idx="20">
                    <c:v>9月</c:v>
                  </c:pt>
                  <c:pt idx="21">
                    <c:v>10月</c:v>
                  </c:pt>
                  <c:pt idx="22">
                    <c:v>11月</c:v>
                  </c:pt>
                  <c:pt idx="23">
                    <c:v>12月</c:v>
                  </c:pt>
                </c:lvl>
                <c:lvl>
                  <c:pt idx="0">
                    <c:v>2024年</c:v>
                  </c:pt>
                  <c:pt idx="12">
                    <c:v>2025年</c:v>
                  </c:pt>
                </c:lvl>
              </c:multiLvlStrCache>
            </c:multiLvlStrRef>
          </c:cat>
          <c:val>
            <c:numRef>
              <c:f>'MT BHCCD'!$C$25:$Z$25</c:f>
              <c:numCache>
                <c:formatCode>0.00</c:formatCode>
                <c:ptCount val="24"/>
                <c:pt idx="0">
                  <c:v>3.6737692872887577E-2</c:v>
                </c:pt>
                <c:pt idx="1">
                  <c:v>6.8477516548733158E-2</c:v>
                </c:pt>
                <c:pt idx="2">
                  <c:v>7.1113639596074515E-2</c:v>
                </c:pt>
                <c:pt idx="3">
                  <c:v>6.1519532451553373E-2</c:v>
                </c:pt>
                <c:pt idx="4">
                  <c:v>7.8394481028535593E-2</c:v>
                </c:pt>
                <c:pt idx="5">
                  <c:v>7.0780516054307963E-2</c:v>
                </c:pt>
                <c:pt idx="6">
                  <c:v>6.5072393037253956E-2</c:v>
                </c:pt>
                <c:pt idx="7">
                  <c:v>7.1513706793802145E-2</c:v>
                </c:pt>
                <c:pt idx="8">
                  <c:v>6.8227367702869815E-2</c:v>
                </c:pt>
                <c:pt idx="9">
                  <c:v>6.9143010793992238E-2</c:v>
                </c:pt>
                <c:pt idx="10">
                  <c:v>6.9143010793992238E-2</c:v>
                </c:pt>
                <c:pt idx="11">
                  <c:v>6.9143010793992238E-2</c:v>
                </c:pt>
                <c:pt idx="12" formatCode="_(* #,##0.00_);_(* \(#,##0.00\);_(* &quot;-&quot;??_);_(@_)">
                  <c:v>0.1</c:v>
                </c:pt>
                <c:pt idx="13" formatCode="_(* #,##0.00_);_(* \(#,##0.00\);_(* &quot;-&quot;??_);_(@_)">
                  <c:v>0.04</c:v>
                </c:pt>
                <c:pt idx="14" formatCode="_(* #,##0.00_);_(* \(#,##0.00\);_(* &quot;-&quot;??_);_(@_)">
                  <c:v>0.04</c:v>
                </c:pt>
              </c:numCache>
            </c:numRef>
          </c:val>
          <c:smooth val="0"/>
          <c:extLst>
            <c:ext xmlns:c16="http://schemas.microsoft.com/office/drawing/2014/chart" uri="{C3380CC4-5D6E-409C-BE32-E72D297353CC}">
              <c16:uniqueId val="{00000003-EA5F-4686-9D0F-239CED1F7F7A}"/>
            </c:ext>
          </c:extLst>
        </c:ser>
        <c:dLbls>
          <c:showLegendKey val="0"/>
          <c:showVal val="0"/>
          <c:showCatName val="0"/>
          <c:showSerName val="0"/>
          <c:showPercent val="0"/>
          <c:showBubbleSize val="0"/>
        </c:dLbls>
        <c:marker val="1"/>
        <c:smooth val="0"/>
        <c:axId val="984641224"/>
        <c:axId val="984636544"/>
      </c:lineChart>
      <c:catAx>
        <c:axId val="984641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984636544"/>
        <c:crosses val="autoZero"/>
        <c:auto val="1"/>
        <c:lblAlgn val="ctr"/>
        <c:lblOffset val="100"/>
        <c:noMultiLvlLbl val="0"/>
      </c:catAx>
      <c:valAx>
        <c:axId val="9846365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984641224"/>
        <c:crosses val="autoZero"/>
        <c:crossBetween val="between"/>
      </c:valAx>
      <c:spPr>
        <a:noFill/>
        <a:ln>
          <a:noFill/>
        </a:ln>
        <a:effectLst/>
      </c:spPr>
    </c:plotArea>
    <c:legend>
      <c:legendPos val="b"/>
      <c:layout>
        <c:manualLayout>
          <c:xMode val="edge"/>
          <c:yMode val="edge"/>
          <c:x val="6.0001538397684788E-2"/>
          <c:y val="1.2740060905029759E-2"/>
          <c:w val="0.50188743175072092"/>
          <c:h val="8.6644264060451323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6647955566708389E-2"/>
          <c:y val="6.8217054263565891E-2"/>
          <c:w val="0.96156054017412773"/>
          <c:h val="0.65176194836110601"/>
        </c:manualLayout>
      </c:layout>
      <c:barChart>
        <c:barDir val="col"/>
        <c:grouping val="clustered"/>
        <c:varyColors val="0"/>
        <c:ser>
          <c:idx val="0"/>
          <c:order val="0"/>
          <c:tx>
            <c:strRef>
              <c:f>'MT BHCCD'!$B$7</c:f>
              <c:strCache>
                <c:ptCount val="1"/>
                <c:pt idx="0">
                  <c:v>Đơn Tháng</c:v>
                </c:pt>
              </c:strCache>
            </c:strRef>
          </c:tx>
          <c:spPr>
            <a:solidFill>
              <a:schemeClr val="accent1"/>
            </a:solidFill>
            <a:ln>
              <a:noFill/>
            </a:ln>
            <a:effectLst/>
          </c:spPr>
          <c:invertIfNegative val="0"/>
          <c:cat>
            <c:strRef>
              <c:f>'MT BHCCD'!$C$3:$Z$3</c:f>
              <c:strCache>
                <c:ptCount val="24"/>
                <c:pt idx="0">
                  <c:v>1月</c:v>
                </c:pt>
                <c:pt idx="1">
                  <c:v>2月</c:v>
                </c:pt>
                <c:pt idx="2">
                  <c:v>3月</c:v>
                </c:pt>
                <c:pt idx="3">
                  <c:v>4月</c:v>
                </c:pt>
                <c:pt idx="4">
                  <c:v>5月</c:v>
                </c:pt>
                <c:pt idx="5">
                  <c:v>6月</c:v>
                </c:pt>
                <c:pt idx="6">
                  <c:v>7月</c:v>
                </c:pt>
                <c:pt idx="7">
                  <c:v>8月</c:v>
                </c:pt>
                <c:pt idx="8">
                  <c:v>9月</c:v>
                </c:pt>
                <c:pt idx="9">
                  <c:v>10月</c:v>
                </c:pt>
                <c:pt idx="10">
                  <c:v>11月</c:v>
                </c:pt>
                <c:pt idx="11">
                  <c:v>12月</c:v>
                </c:pt>
                <c:pt idx="12">
                  <c:v>1月</c:v>
                </c:pt>
                <c:pt idx="13">
                  <c:v>2月</c:v>
                </c:pt>
                <c:pt idx="14">
                  <c:v>3月</c:v>
                </c:pt>
                <c:pt idx="15">
                  <c:v>4月</c:v>
                </c:pt>
                <c:pt idx="16">
                  <c:v>5月</c:v>
                </c:pt>
                <c:pt idx="17">
                  <c:v>6月</c:v>
                </c:pt>
                <c:pt idx="18">
                  <c:v>7月</c:v>
                </c:pt>
                <c:pt idx="19">
                  <c:v>8月</c:v>
                </c:pt>
                <c:pt idx="20">
                  <c:v>9月</c:v>
                </c:pt>
                <c:pt idx="21">
                  <c:v>10月</c:v>
                </c:pt>
                <c:pt idx="22">
                  <c:v>11月</c:v>
                </c:pt>
                <c:pt idx="23">
                  <c:v>12月</c:v>
                </c:pt>
              </c:strCache>
            </c:strRef>
          </c:cat>
          <c:val>
            <c:numRef>
              <c:f>'MT BHCCD'!$C$7:$Z$7</c:f>
              <c:numCache>
                <c:formatCode>General</c:formatCode>
                <c:ptCount val="24"/>
                <c:pt idx="0">
                  <c:v>1</c:v>
                </c:pt>
                <c:pt idx="1">
                  <c:v>2</c:v>
                </c:pt>
                <c:pt idx="2">
                  <c:v>2</c:v>
                </c:pt>
                <c:pt idx="3">
                  <c:v>1</c:v>
                </c:pt>
                <c:pt idx="4">
                  <c:v>4</c:v>
                </c:pt>
                <c:pt idx="5">
                  <c:v>1</c:v>
                </c:pt>
                <c:pt idx="6">
                  <c:v>1</c:v>
                </c:pt>
                <c:pt idx="7">
                  <c:v>3</c:v>
                </c:pt>
                <c:pt idx="8">
                  <c:v>1</c:v>
                </c:pt>
                <c:pt idx="9">
                  <c:v>2</c:v>
                </c:pt>
                <c:pt idx="10">
                  <c:v>2</c:v>
                </c:pt>
                <c:pt idx="11">
                  <c:v>3</c:v>
                </c:pt>
                <c:pt idx="12">
                  <c:v>1</c:v>
                </c:pt>
                <c:pt idx="13">
                  <c:v>1</c:v>
                </c:pt>
                <c:pt idx="14">
                  <c:v>2</c:v>
                </c:pt>
                <c:pt idx="15">
                  <c:v>2</c:v>
                </c:pt>
                <c:pt idx="16">
                  <c:v>2</c:v>
                </c:pt>
                <c:pt idx="17">
                  <c:v>2</c:v>
                </c:pt>
                <c:pt idx="18">
                  <c:v>2</c:v>
                </c:pt>
                <c:pt idx="19">
                  <c:v>1</c:v>
                </c:pt>
                <c:pt idx="20">
                  <c:v>2</c:v>
                </c:pt>
                <c:pt idx="21">
                  <c:v>2</c:v>
                </c:pt>
                <c:pt idx="22">
                  <c:v>2</c:v>
                </c:pt>
                <c:pt idx="23">
                  <c:v>2</c:v>
                </c:pt>
              </c:numCache>
            </c:numRef>
          </c:val>
          <c:extLst>
            <c:ext xmlns:c16="http://schemas.microsoft.com/office/drawing/2014/chart" uri="{C3380CC4-5D6E-409C-BE32-E72D297353CC}">
              <c16:uniqueId val="{00000000-64C7-4069-AF4E-347223801A55}"/>
            </c:ext>
          </c:extLst>
        </c:ser>
        <c:dLbls>
          <c:showLegendKey val="0"/>
          <c:showVal val="0"/>
          <c:showCatName val="0"/>
          <c:showSerName val="0"/>
          <c:showPercent val="0"/>
          <c:showBubbleSize val="0"/>
        </c:dLbls>
        <c:gapWidth val="219"/>
        <c:overlap val="-27"/>
        <c:axId val="1063050336"/>
        <c:axId val="1063051056"/>
      </c:barChart>
      <c:lineChart>
        <c:grouping val="standard"/>
        <c:varyColors val="0"/>
        <c:ser>
          <c:idx val="1"/>
          <c:order val="1"/>
          <c:tx>
            <c:strRef>
              <c:f>'MT BHCCD'!$B$8</c:f>
              <c:strCache>
                <c:ptCount val="1"/>
                <c:pt idx="0">
                  <c:v>Lũy kế</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'MT BHCCD'!$C$3:$Z$3</c:f>
              <c:strCache>
                <c:ptCount val="24"/>
                <c:pt idx="0">
                  <c:v>1月</c:v>
                </c:pt>
                <c:pt idx="1">
                  <c:v>2月</c:v>
                </c:pt>
                <c:pt idx="2">
                  <c:v>3月</c:v>
                </c:pt>
                <c:pt idx="3">
                  <c:v>4月</c:v>
                </c:pt>
                <c:pt idx="4">
                  <c:v>5月</c:v>
                </c:pt>
                <c:pt idx="5">
                  <c:v>6月</c:v>
                </c:pt>
                <c:pt idx="6">
                  <c:v>7月</c:v>
                </c:pt>
                <c:pt idx="7">
                  <c:v>8月</c:v>
                </c:pt>
                <c:pt idx="8">
                  <c:v>9月</c:v>
                </c:pt>
                <c:pt idx="9">
                  <c:v>10月</c:v>
                </c:pt>
                <c:pt idx="10">
                  <c:v>11月</c:v>
                </c:pt>
                <c:pt idx="11">
                  <c:v>12月</c:v>
                </c:pt>
                <c:pt idx="12">
                  <c:v>1月</c:v>
                </c:pt>
                <c:pt idx="13">
                  <c:v>2月</c:v>
                </c:pt>
                <c:pt idx="14">
                  <c:v>3月</c:v>
                </c:pt>
                <c:pt idx="15">
                  <c:v>4月</c:v>
                </c:pt>
                <c:pt idx="16">
                  <c:v>5月</c:v>
                </c:pt>
                <c:pt idx="17">
                  <c:v>6月</c:v>
                </c:pt>
                <c:pt idx="18">
                  <c:v>7月</c:v>
                </c:pt>
                <c:pt idx="19">
                  <c:v>8月</c:v>
                </c:pt>
                <c:pt idx="20">
                  <c:v>9月</c:v>
                </c:pt>
                <c:pt idx="21">
                  <c:v>10月</c:v>
                </c:pt>
                <c:pt idx="22">
                  <c:v>11月</c:v>
                </c:pt>
                <c:pt idx="23">
                  <c:v>12月</c:v>
                </c:pt>
              </c:strCache>
            </c:strRef>
          </c:cat>
          <c:val>
            <c:numRef>
              <c:f>'MT BHCCD'!$C$8:$Z$8</c:f>
              <c:numCache>
                <c:formatCode>General</c:formatCode>
                <c:ptCount val="24"/>
                <c:pt idx="0">
                  <c:v>1</c:v>
                </c:pt>
                <c:pt idx="1">
                  <c:v>3</c:v>
                </c:pt>
                <c:pt idx="2">
                  <c:v>5</c:v>
                </c:pt>
                <c:pt idx="3">
                  <c:v>6</c:v>
                </c:pt>
                <c:pt idx="4">
                  <c:v>10</c:v>
                </c:pt>
                <c:pt idx="5">
                  <c:v>11</c:v>
                </c:pt>
                <c:pt idx="6">
                  <c:v>12</c:v>
                </c:pt>
                <c:pt idx="7">
                  <c:v>15</c:v>
                </c:pt>
                <c:pt idx="8">
                  <c:v>16</c:v>
                </c:pt>
                <c:pt idx="9">
                  <c:v>18</c:v>
                </c:pt>
                <c:pt idx="10">
                  <c:v>20</c:v>
                </c:pt>
                <c:pt idx="11">
                  <c:v>23</c:v>
                </c:pt>
                <c:pt idx="12" formatCode="0">
                  <c:v>1</c:v>
                </c:pt>
                <c:pt idx="13" formatCode="0">
                  <c:v>2</c:v>
                </c:pt>
                <c:pt idx="14" formatCode="0">
                  <c:v>4</c:v>
                </c:pt>
                <c:pt idx="15" formatCode="0">
                  <c:v>6</c:v>
                </c:pt>
                <c:pt idx="16" formatCode="0">
                  <c:v>8</c:v>
                </c:pt>
                <c:pt idx="17" formatCode="0">
                  <c:v>10</c:v>
                </c:pt>
                <c:pt idx="18" formatCode="0">
                  <c:v>12</c:v>
                </c:pt>
                <c:pt idx="19" formatCode="0">
                  <c:v>13</c:v>
                </c:pt>
                <c:pt idx="20" formatCode="0">
                  <c:v>15</c:v>
                </c:pt>
                <c:pt idx="21" formatCode="0">
                  <c:v>17</c:v>
                </c:pt>
                <c:pt idx="22" formatCode="0">
                  <c:v>19</c:v>
                </c:pt>
                <c:pt idx="23" formatCode="0">
                  <c:v>21</c:v>
                </c:pt>
              </c:numCache>
            </c:numRef>
          </c:val>
          <c:smooth val="0"/>
          <c:extLst>
            <c:ext xmlns:c16="http://schemas.microsoft.com/office/drawing/2014/chart" uri="{C3380CC4-5D6E-409C-BE32-E72D297353CC}">
              <c16:uniqueId val="{00000001-64C7-4069-AF4E-347223801A55}"/>
            </c:ext>
          </c:extLst>
        </c:ser>
        <c:dLbls>
          <c:showLegendKey val="0"/>
          <c:showVal val="0"/>
          <c:showCatName val="0"/>
          <c:showSerName val="0"/>
          <c:showPercent val="0"/>
          <c:showBubbleSize val="0"/>
        </c:dLbls>
        <c:marker val="1"/>
        <c:smooth val="0"/>
        <c:axId val="1063050336"/>
        <c:axId val="1063051056"/>
      </c:lineChart>
      <c:catAx>
        <c:axId val="1063050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051056"/>
        <c:crosses val="autoZero"/>
        <c:auto val="1"/>
        <c:lblAlgn val="ctr"/>
        <c:lblOffset val="100"/>
        <c:noMultiLvlLbl val="0"/>
      </c:catAx>
      <c:valAx>
        <c:axId val="1063051056"/>
        <c:scaling>
          <c:orientation val="minMax"/>
          <c:max val="24"/>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050336"/>
        <c:crosses val="autoZero"/>
        <c:crossBetween val="between"/>
        <c:majorUnit val="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SỐ</a:t>
            </a:r>
            <a:r>
              <a:rPr lang="en-US" sz="1100" baseline="0"/>
              <a:t> KIỆN BHC PHÂN THEO LOẠI 2024</a:t>
            </a:r>
            <a:endParaRPr lang="vi-VN" sz="1100"/>
          </a:p>
        </c:rich>
      </c:tx>
      <c:layout>
        <c:manualLayout>
          <c:xMode val="edge"/>
          <c:yMode val="edge"/>
          <c:x val="0.26231933508311461"/>
          <c:y val="6.2015503875968991E-3"/>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vi-VN"/>
        </a:p>
      </c:txPr>
    </c:title>
    <c:autoTitleDeleted val="0"/>
    <c:plotArea>
      <c:layout>
        <c:manualLayout>
          <c:layoutTarget val="inner"/>
          <c:xMode val="edge"/>
          <c:yMode val="edge"/>
          <c:x val="5.5150481189851268E-2"/>
          <c:y val="0.13522505035707746"/>
          <c:w val="0.91429396325459322"/>
          <c:h val="0.59095550265519137"/>
        </c:manualLayout>
      </c:layout>
      <c:barChart>
        <c:barDir val="col"/>
        <c:grouping val="stacked"/>
        <c:varyColors val="0"/>
        <c:ser>
          <c:idx val="0"/>
          <c:order val="0"/>
          <c:tx>
            <c:strRef>
              <c:f>'MT BHCCD'!$B$4</c:f>
              <c:strCache>
                <c:ptCount val="1"/>
                <c:pt idx="0">
                  <c:v>LỖI XÁC NHẬN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'MT BHCCD'!$C$3:$N$3</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'MT BHCCD'!$C$4:$N$4</c:f>
              <c:numCache>
                <c:formatCode>General</c:formatCode>
                <c:ptCount val="12"/>
                <c:pt idx="0">
                  <c:v>1</c:v>
                </c:pt>
                <c:pt idx="2">
                  <c:v>1</c:v>
                </c:pt>
                <c:pt idx="4">
                  <c:v>1</c:v>
                </c:pt>
                <c:pt idx="5">
                  <c:v>1</c:v>
                </c:pt>
                <c:pt idx="7">
                  <c:v>1</c:v>
                </c:pt>
                <c:pt idx="9">
                  <c:v>1</c:v>
                </c:pt>
                <c:pt idx="10">
                  <c:v>1</c:v>
                </c:pt>
                <c:pt idx="11">
                  <c:v>1</c:v>
                </c:pt>
              </c:numCache>
            </c:numRef>
          </c:val>
          <c:extLst>
            <c:ext xmlns:c16="http://schemas.microsoft.com/office/drawing/2014/chart" uri="{C3380CC4-5D6E-409C-BE32-E72D297353CC}">
              <c16:uniqueId val="{00000000-E571-4893-993F-1E1C3D52CBEF}"/>
            </c:ext>
          </c:extLst>
        </c:ser>
        <c:ser>
          <c:idx val="1"/>
          <c:order val="1"/>
          <c:tx>
            <c:strRef>
              <c:f>'MT BHCCD'!$B$5</c:f>
              <c:strCache>
                <c:ptCount val="1"/>
                <c:pt idx="0">
                  <c:v>LỖI GIA CÔNG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'MT BHCCD'!$C$3:$N$3</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'MT BHCCD'!$C$5:$N$5</c:f>
              <c:numCache>
                <c:formatCode>General</c:formatCode>
                <c:ptCount val="12"/>
                <c:pt idx="1">
                  <c:v>1</c:v>
                </c:pt>
                <c:pt idx="2">
                  <c:v>1</c:v>
                </c:pt>
                <c:pt idx="3">
                  <c:v>1</c:v>
                </c:pt>
                <c:pt idx="4">
                  <c:v>3</c:v>
                </c:pt>
                <c:pt idx="7">
                  <c:v>2</c:v>
                </c:pt>
                <c:pt idx="8">
                  <c:v>1</c:v>
                </c:pt>
                <c:pt idx="9">
                  <c:v>1</c:v>
                </c:pt>
                <c:pt idx="10">
                  <c:v>1</c:v>
                </c:pt>
                <c:pt idx="11">
                  <c:v>2</c:v>
                </c:pt>
              </c:numCache>
            </c:numRef>
          </c:val>
          <c:extLst>
            <c:ext xmlns:c16="http://schemas.microsoft.com/office/drawing/2014/chart" uri="{C3380CC4-5D6E-409C-BE32-E72D297353CC}">
              <c16:uniqueId val="{00000001-E571-4893-993F-1E1C3D52CBEF}"/>
            </c:ext>
          </c:extLst>
        </c:ser>
        <c:ser>
          <c:idx val="2"/>
          <c:order val="2"/>
          <c:tx>
            <c:strRef>
              <c:f>'MT BHCCD'!$B$6</c:f>
              <c:strCache>
                <c:ptCount val="1"/>
                <c:pt idx="0">
                  <c:v>LỖI ĐO ĐẠC</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'MT BHCCD'!$C$3:$N$3</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'MT BHCCD'!$C$6:$N$6</c:f>
              <c:numCache>
                <c:formatCode>General</c:formatCode>
                <c:ptCount val="12"/>
                <c:pt idx="1">
                  <c:v>1</c:v>
                </c:pt>
                <c:pt idx="6">
                  <c:v>1</c:v>
                </c:pt>
              </c:numCache>
            </c:numRef>
          </c:val>
          <c:extLst>
            <c:ext xmlns:c16="http://schemas.microsoft.com/office/drawing/2014/chart" uri="{C3380CC4-5D6E-409C-BE32-E72D297353CC}">
              <c16:uniqueId val="{00000002-E571-4893-993F-1E1C3D52CBEF}"/>
            </c:ext>
          </c:extLst>
        </c:ser>
        <c:dLbls>
          <c:showLegendKey val="0"/>
          <c:showVal val="0"/>
          <c:showCatName val="0"/>
          <c:showSerName val="0"/>
          <c:showPercent val="0"/>
          <c:showBubbleSize val="0"/>
        </c:dLbls>
        <c:gapWidth val="150"/>
        <c:overlap val="100"/>
        <c:axId val="1253633480"/>
        <c:axId val="1253634920"/>
      </c:barChart>
      <c:catAx>
        <c:axId val="1253633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634920"/>
        <c:crosses val="autoZero"/>
        <c:auto val="1"/>
        <c:lblAlgn val="ctr"/>
        <c:lblOffset val="100"/>
        <c:noMultiLvlLbl val="0"/>
      </c:catAx>
      <c:valAx>
        <c:axId val="1253634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6334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i="0" u="none" strike="noStrike" baseline="0">
                <a:solidFill>
                  <a:srgbClr val="333333"/>
                </a:solidFill>
                <a:latin typeface="Calibri"/>
                <a:ea typeface="Calibri"/>
                <a:cs typeface="Calibri"/>
              </a:defRPr>
            </a:pPr>
            <a:r>
              <a:rPr lang="en-US" sz="1400" b="1">
                <a:latin typeface="Arial" panose="020B0604020202020204" pitchFamily="34" charset="0"/>
                <a:cs typeface="Arial" panose="020B0604020202020204" pitchFamily="34" charset="0"/>
              </a:rPr>
              <a:t>BHC KT</a:t>
            </a:r>
          </a:p>
        </c:rich>
      </c:tx>
      <c:layout>
        <c:manualLayout>
          <c:xMode val="edge"/>
          <c:yMode val="edge"/>
          <c:x val="4.2671673566483277E-2"/>
          <c:y val="1.7360327959833395E-2"/>
        </c:manualLayout>
      </c:layout>
      <c:overlay val="0"/>
      <c:spPr>
        <a:noFill/>
        <a:ln w="25400">
          <a:noFill/>
        </a:ln>
      </c:spPr>
    </c:title>
    <c:autoTitleDeleted val="0"/>
    <c:plotArea>
      <c:layout>
        <c:manualLayout>
          <c:layoutTarget val="inner"/>
          <c:xMode val="edge"/>
          <c:yMode val="edge"/>
          <c:x val="3.5710856302978801E-2"/>
          <c:y val="0.16702082960289194"/>
          <c:w val="0.94588005231271111"/>
          <c:h val="0.6501006111127855"/>
        </c:manualLayout>
      </c:layout>
      <c:barChart>
        <c:barDir val="col"/>
        <c:grouping val="clustered"/>
        <c:varyColors val="0"/>
        <c:ser>
          <c:idx val="0"/>
          <c:order val="0"/>
          <c:tx>
            <c:strRef>
              <c:f>'MT BHCKT'!$B$4</c:f>
              <c:strCache>
                <c:ptCount val="1"/>
                <c:pt idx="0">
                  <c:v>Số kiện phát sinh</c:v>
                </c:pt>
              </c:strCache>
            </c:strRef>
          </c:tx>
          <c:spPr>
            <a:solidFill>
              <a:srgbClr val="4F81BD"/>
            </a:solidFill>
            <a:ln w="25400">
              <a:noFill/>
            </a:ln>
          </c:spPr>
          <c:invertIfNegative val="0"/>
          <c:cat>
            <c:multiLvlStrRef>
              <c:f>'MT BHCKT'!$C$2:$Z$3</c:f>
              <c:multiLvlStrCache>
                <c:ptCount val="24"/>
                <c:lvl>
                  <c:pt idx="0">
                    <c:v>1月</c:v>
                  </c:pt>
                  <c:pt idx="1">
                    <c:v>2月</c:v>
                  </c:pt>
                  <c:pt idx="2">
                    <c:v>3月</c:v>
                  </c:pt>
                  <c:pt idx="3">
                    <c:v>4月</c:v>
                  </c:pt>
                  <c:pt idx="4">
                    <c:v>5月</c:v>
                  </c:pt>
                  <c:pt idx="5">
                    <c:v>6月</c:v>
                  </c:pt>
                  <c:pt idx="6">
                    <c:v>7月</c:v>
                  </c:pt>
                  <c:pt idx="7">
                    <c:v>8月</c:v>
                  </c:pt>
                  <c:pt idx="8">
                    <c:v>9月</c:v>
                  </c:pt>
                  <c:pt idx="9">
                    <c:v>10月</c:v>
                  </c:pt>
                  <c:pt idx="10">
                    <c:v>11月</c:v>
                  </c:pt>
                  <c:pt idx="11">
                    <c:v>12月</c:v>
                  </c:pt>
                  <c:pt idx="12">
                    <c:v>1月</c:v>
                  </c:pt>
                  <c:pt idx="13">
                    <c:v>2月</c:v>
                  </c:pt>
                  <c:pt idx="14">
                    <c:v>3月</c:v>
                  </c:pt>
                  <c:pt idx="15">
                    <c:v>4月</c:v>
                  </c:pt>
                  <c:pt idx="16">
                    <c:v>5月</c:v>
                  </c:pt>
                  <c:pt idx="17">
                    <c:v>6月</c:v>
                  </c:pt>
                  <c:pt idx="18">
                    <c:v>7月</c:v>
                  </c:pt>
                  <c:pt idx="19">
                    <c:v>8月</c:v>
                  </c:pt>
                  <c:pt idx="20">
                    <c:v>9月</c:v>
                  </c:pt>
                  <c:pt idx="21">
                    <c:v>10月</c:v>
                  </c:pt>
                  <c:pt idx="22">
                    <c:v>11月</c:v>
                  </c:pt>
                  <c:pt idx="23">
                    <c:v>12月</c:v>
                  </c:pt>
                </c:lvl>
                <c:lvl>
                  <c:pt idx="0">
                    <c:v>2024</c:v>
                  </c:pt>
                  <c:pt idx="12">
                    <c:v>2025</c:v>
                  </c:pt>
                </c:lvl>
              </c:multiLvlStrCache>
            </c:multiLvlStrRef>
          </c:cat>
          <c:val>
            <c:numRef>
              <c:f>'MT BHCKT'!$C$4:$Z$4</c:f>
              <c:numCache>
                <c:formatCode>General</c:formatCode>
                <c:ptCount val="24"/>
                <c:pt idx="0">
                  <c:v>0</c:v>
                </c:pt>
                <c:pt idx="1">
                  <c:v>1</c:v>
                </c:pt>
                <c:pt idx="2">
                  <c:v>1</c:v>
                </c:pt>
                <c:pt idx="3">
                  <c:v>0</c:v>
                </c:pt>
                <c:pt idx="4">
                  <c:v>1</c:v>
                </c:pt>
                <c:pt idx="5">
                  <c:v>0</c:v>
                </c:pt>
                <c:pt idx="6">
                  <c:v>0</c:v>
                </c:pt>
                <c:pt idx="7">
                  <c:v>0</c:v>
                </c:pt>
                <c:pt idx="8">
                  <c:v>1</c:v>
                </c:pt>
                <c:pt idx="9">
                  <c:v>1</c:v>
                </c:pt>
                <c:pt idx="10">
                  <c:v>3</c:v>
                </c:pt>
                <c:pt idx="12" formatCode="@">
                  <c:v>0</c:v>
                </c:pt>
                <c:pt idx="13" formatCode="@">
                  <c:v>1</c:v>
                </c:pt>
                <c:pt idx="14" formatCode="@">
                  <c:v>0</c:v>
                </c:pt>
                <c:pt idx="15" formatCode="@">
                  <c:v>1</c:v>
                </c:pt>
                <c:pt idx="16" formatCode="@">
                  <c:v>0</c:v>
                </c:pt>
                <c:pt idx="17" formatCode="@">
                  <c:v>1</c:v>
                </c:pt>
                <c:pt idx="18" formatCode="@">
                  <c:v>0</c:v>
                </c:pt>
                <c:pt idx="19" formatCode="@">
                  <c:v>1</c:v>
                </c:pt>
                <c:pt idx="20" formatCode="@">
                  <c:v>0</c:v>
                </c:pt>
                <c:pt idx="21" formatCode="@">
                  <c:v>1</c:v>
                </c:pt>
                <c:pt idx="22" formatCode="@">
                  <c:v>0</c:v>
                </c:pt>
                <c:pt idx="23" formatCode="@">
                  <c:v>1</c:v>
                </c:pt>
              </c:numCache>
            </c:numRef>
          </c:val>
          <c:extLst>
            <c:ext xmlns:c16="http://schemas.microsoft.com/office/drawing/2014/chart" uri="{C3380CC4-5D6E-409C-BE32-E72D297353CC}">
              <c16:uniqueId val="{00000000-1D61-4766-BFE7-D8C1DAB7D8D6}"/>
            </c:ext>
          </c:extLst>
        </c:ser>
        <c:dLbls>
          <c:showLegendKey val="0"/>
          <c:showVal val="0"/>
          <c:showCatName val="0"/>
          <c:showSerName val="0"/>
          <c:showPercent val="0"/>
          <c:showBubbleSize val="0"/>
        </c:dLbls>
        <c:gapWidth val="219"/>
        <c:overlap val="-27"/>
        <c:axId val="3"/>
        <c:axId val="4"/>
      </c:barChart>
      <c:lineChart>
        <c:grouping val="percentStacked"/>
        <c:varyColors val="0"/>
        <c:ser>
          <c:idx val="1"/>
          <c:order val="1"/>
          <c:tx>
            <c:strRef>
              <c:f>'MT BHCKT'!$B$5</c:f>
              <c:strCache>
                <c:ptCount val="1"/>
                <c:pt idx="0">
                  <c:v>Mục tiêu lũy kế </c:v>
                </c:pt>
              </c:strCache>
            </c:strRef>
          </c:tx>
          <c:spPr>
            <a:ln w="25400">
              <a:solidFill>
                <a:srgbClr val="FF0000"/>
              </a:solidFill>
              <a:prstDash val="solid"/>
            </a:ln>
          </c:spPr>
          <c:marker>
            <c:symbol val="triangle"/>
            <c:size val="5"/>
            <c:spPr>
              <a:solidFill>
                <a:srgbClr val="FF0000"/>
              </a:solidFill>
              <a:ln>
                <a:solidFill>
                  <a:srgbClr val="FF0000"/>
                </a:solidFill>
              </a:ln>
            </c:spPr>
          </c:marker>
          <c:cat>
            <c:multiLvlStrRef>
              <c:f>'MT BHCKT'!$C$2:$Z$3</c:f>
              <c:multiLvlStrCache>
                <c:ptCount val="24"/>
                <c:lvl>
                  <c:pt idx="0">
                    <c:v>1月</c:v>
                  </c:pt>
                  <c:pt idx="1">
                    <c:v>2月</c:v>
                  </c:pt>
                  <c:pt idx="2">
                    <c:v>3月</c:v>
                  </c:pt>
                  <c:pt idx="3">
                    <c:v>4月</c:v>
                  </c:pt>
                  <c:pt idx="4">
                    <c:v>5月</c:v>
                  </c:pt>
                  <c:pt idx="5">
                    <c:v>6月</c:v>
                  </c:pt>
                  <c:pt idx="6">
                    <c:v>7月</c:v>
                  </c:pt>
                  <c:pt idx="7">
                    <c:v>8月</c:v>
                  </c:pt>
                  <c:pt idx="8">
                    <c:v>9月</c:v>
                  </c:pt>
                  <c:pt idx="9">
                    <c:v>10月</c:v>
                  </c:pt>
                  <c:pt idx="10">
                    <c:v>11月</c:v>
                  </c:pt>
                  <c:pt idx="11">
                    <c:v>12月</c:v>
                  </c:pt>
                  <c:pt idx="12">
                    <c:v>1月</c:v>
                  </c:pt>
                  <c:pt idx="13">
                    <c:v>2月</c:v>
                  </c:pt>
                  <c:pt idx="14">
                    <c:v>3月</c:v>
                  </c:pt>
                  <c:pt idx="15">
                    <c:v>4月</c:v>
                  </c:pt>
                  <c:pt idx="16">
                    <c:v>5月</c:v>
                  </c:pt>
                  <c:pt idx="17">
                    <c:v>6月</c:v>
                  </c:pt>
                  <c:pt idx="18">
                    <c:v>7月</c:v>
                  </c:pt>
                  <c:pt idx="19">
                    <c:v>8月</c:v>
                  </c:pt>
                  <c:pt idx="20">
                    <c:v>9月</c:v>
                  </c:pt>
                  <c:pt idx="21">
                    <c:v>10月</c:v>
                  </c:pt>
                  <c:pt idx="22">
                    <c:v>11月</c:v>
                  </c:pt>
                  <c:pt idx="23">
                    <c:v>12月</c:v>
                  </c:pt>
                </c:lvl>
                <c:lvl>
                  <c:pt idx="0">
                    <c:v>2024</c:v>
                  </c:pt>
                  <c:pt idx="12">
                    <c:v>2025</c:v>
                  </c:pt>
                </c:lvl>
              </c:multiLvlStrCache>
            </c:multiLvlStrRef>
          </c:cat>
          <c:val>
            <c:numRef>
              <c:f>'MT BHCKT'!$C$5:$Z$5</c:f>
              <c:numCache>
                <c:formatCode>0.00</c:formatCode>
                <c:ptCount val="24"/>
                <c:pt idx="0">
                  <c:v>100</c:v>
                </c:pt>
                <c:pt idx="1">
                  <c:v>100</c:v>
                </c:pt>
                <c:pt idx="2">
                  <c:v>100</c:v>
                </c:pt>
                <c:pt idx="3">
                  <c:v>99.989887754070182</c:v>
                </c:pt>
                <c:pt idx="4">
                  <c:v>99.992026789985644</c:v>
                </c:pt>
                <c:pt idx="5">
                  <c:v>99.987028990206881</c:v>
                </c:pt>
                <c:pt idx="6">
                  <c:v>99.988983751032777</c:v>
                </c:pt>
                <c:pt idx="7">
                  <c:v>99.985677456316253</c:v>
                </c:pt>
                <c:pt idx="8">
                  <c:v>99.987316619456294</c:v>
                </c:pt>
                <c:pt idx="9">
                  <c:v>99.984914199509717</c:v>
                </c:pt>
                <c:pt idx="10">
                  <c:v>99.986288691598389</c:v>
                </c:pt>
                <c:pt idx="11">
                  <c:v>99.987504295398452</c:v>
                </c:pt>
                <c:pt idx="12">
                  <c:v>100</c:v>
                </c:pt>
                <c:pt idx="13">
                  <c:v>100</c:v>
                </c:pt>
                <c:pt idx="14">
                  <c:v>100</c:v>
                </c:pt>
                <c:pt idx="15">
                  <c:v>99.989887754070182</c:v>
                </c:pt>
                <c:pt idx="16">
                  <c:v>99.992026789985644</c:v>
                </c:pt>
                <c:pt idx="17">
                  <c:v>99.987028990206881</c:v>
                </c:pt>
                <c:pt idx="18">
                  <c:v>99.988983751032777</c:v>
                </c:pt>
                <c:pt idx="19">
                  <c:v>99.985677456316253</c:v>
                </c:pt>
                <c:pt idx="20">
                  <c:v>99.987316619456294</c:v>
                </c:pt>
                <c:pt idx="21">
                  <c:v>99.984914199509717</c:v>
                </c:pt>
                <c:pt idx="22">
                  <c:v>99.986288691598389</c:v>
                </c:pt>
                <c:pt idx="23">
                  <c:v>99.987504295398452</c:v>
                </c:pt>
              </c:numCache>
            </c:numRef>
          </c:val>
          <c:smooth val="0"/>
          <c:extLst>
            <c:ext xmlns:c16="http://schemas.microsoft.com/office/drawing/2014/chart" uri="{C3380CC4-5D6E-409C-BE32-E72D297353CC}">
              <c16:uniqueId val="{00000001-1D61-4766-BFE7-D8C1DAB7D8D6}"/>
            </c:ext>
          </c:extLst>
        </c:ser>
        <c:ser>
          <c:idx val="2"/>
          <c:order val="2"/>
          <c:tx>
            <c:strRef>
              <c:f>'MT BHCKT'!$B$6</c:f>
              <c:strCache>
                <c:ptCount val="1"/>
                <c:pt idx="0">
                  <c:v>Thực tích lũy kế </c:v>
                </c:pt>
              </c:strCache>
            </c:strRef>
          </c:tx>
          <c:spPr>
            <a:ln w="19050" cap="rnd">
              <a:solidFill>
                <a:srgbClr val="0000FF"/>
              </a:solidFill>
              <a:round/>
            </a:ln>
            <a:effectLst/>
          </c:spPr>
          <c:marker>
            <c:symbol val="circle"/>
            <c:size val="5"/>
            <c:spPr>
              <a:solidFill>
                <a:srgbClr val="0000FF"/>
              </a:solidFill>
              <a:ln>
                <a:solidFill>
                  <a:srgbClr val="0000FF"/>
                </a:solidFill>
              </a:ln>
            </c:spPr>
          </c:marker>
          <c:cat>
            <c:multiLvlStrRef>
              <c:f>'MT BHCKT'!$C$2:$Z$3</c:f>
              <c:multiLvlStrCache>
                <c:ptCount val="24"/>
                <c:lvl>
                  <c:pt idx="0">
                    <c:v>1月</c:v>
                  </c:pt>
                  <c:pt idx="1">
                    <c:v>2月</c:v>
                  </c:pt>
                  <c:pt idx="2">
                    <c:v>3月</c:v>
                  </c:pt>
                  <c:pt idx="3">
                    <c:v>4月</c:v>
                  </c:pt>
                  <c:pt idx="4">
                    <c:v>5月</c:v>
                  </c:pt>
                  <c:pt idx="5">
                    <c:v>6月</c:v>
                  </c:pt>
                  <c:pt idx="6">
                    <c:v>7月</c:v>
                  </c:pt>
                  <c:pt idx="7">
                    <c:v>8月</c:v>
                  </c:pt>
                  <c:pt idx="8">
                    <c:v>9月</c:v>
                  </c:pt>
                  <c:pt idx="9">
                    <c:v>10月</c:v>
                  </c:pt>
                  <c:pt idx="10">
                    <c:v>11月</c:v>
                  </c:pt>
                  <c:pt idx="11">
                    <c:v>12月</c:v>
                  </c:pt>
                  <c:pt idx="12">
                    <c:v>1月</c:v>
                  </c:pt>
                  <c:pt idx="13">
                    <c:v>2月</c:v>
                  </c:pt>
                  <c:pt idx="14">
                    <c:v>3月</c:v>
                  </c:pt>
                  <c:pt idx="15">
                    <c:v>4月</c:v>
                  </c:pt>
                  <c:pt idx="16">
                    <c:v>5月</c:v>
                  </c:pt>
                  <c:pt idx="17">
                    <c:v>6月</c:v>
                  </c:pt>
                  <c:pt idx="18">
                    <c:v>7月</c:v>
                  </c:pt>
                  <c:pt idx="19">
                    <c:v>8月</c:v>
                  </c:pt>
                  <c:pt idx="20">
                    <c:v>9月</c:v>
                  </c:pt>
                  <c:pt idx="21">
                    <c:v>10月</c:v>
                  </c:pt>
                  <c:pt idx="22">
                    <c:v>11月</c:v>
                  </c:pt>
                  <c:pt idx="23">
                    <c:v>12月</c:v>
                  </c:pt>
                </c:lvl>
                <c:lvl>
                  <c:pt idx="0">
                    <c:v>2024</c:v>
                  </c:pt>
                  <c:pt idx="12">
                    <c:v>2025</c:v>
                  </c:pt>
                </c:lvl>
              </c:multiLvlStrCache>
            </c:multiLvlStrRef>
          </c:cat>
          <c:val>
            <c:numRef>
              <c:f>'MT BHCKT'!$C$6:$Z$6</c:f>
              <c:numCache>
                <c:formatCode>0.00%</c:formatCode>
                <c:ptCount val="24"/>
                <c:pt idx="0" formatCode="0.0%">
                  <c:v>1</c:v>
                </c:pt>
                <c:pt idx="1">
                  <c:v>0.99977174161150417</c:v>
                </c:pt>
                <c:pt idx="2">
                  <c:v>0.99971554544161567</c:v>
                </c:pt>
                <c:pt idx="3">
                  <c:v>0.99979493489182814</c:v>
                </c:pt>
                <c:pt idx="4">
                  <c:v>0.9997648165569144</c:v>
                </c:pt>
                <c:pt idx="5">
                  <c:v>0.99980696222894283</c:v>
                </c:pt>
                <c:pt idx="6">
                  <c:v>0.99983731901740691</c:v>
                </c:pt>
                <c:pt idx="7">
                  <c:v>0.99985697258641237</c:v>
                </c:pt>
                <c:pt idx="8">
                  <c:v>0.99982943158074278</c:v>
                </c:pt>
                <c:pt idx="9">
                  <c:v>0.99980793608112783</c:v>
                </c:pt>
                <c:pt idx="10">
                  <c:v>0.99971837927271445</c:v>
                </c:pt>
                <c:pt idx="11">
                  <c:v>0.99971837927271445</c:v>
                </c:pt>
              </c:numCache>
            </c:numRef>
          </c:val>
          <c:smooth val="0"/>
          <c:extLst>
            <c:ext xmlns:c16="http://schemas.microsoft.com/office/drawing/2014/chart" uri="{C3380CC4-5D6E-409C-BE32-E72D297353CC}">
              <c16:uniqueId val="{00000002-1D61-4766-BFE7-D8C1DAB7D8D6}"/>
            </c:ext>
          </c:extLst>
        </c:ser>
        <c:dLbls>
          <c:showLegendKey val="0"/>
          <c:showVal val="0"/>
          <c:showCatName val="0"/>
          <c:showSerName val="0"/>
          <c:showPercent val="0"/>
          <c:showBubbleSize val="0"/>
        </c:dLbls>
        <c:marker val="1"/>
        <c:smooth val="0"/>
        <c:axId val="914123088"/>
        <c:axId val="1"/>
      </c:lineChart>
      <c:catAx>
        <c:axId val="914123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n-US"/>
          </a:p>
        </c:txPr>
        <c:crossAx val="1"/>
        <c:crosses val="autoZero"/>
        <c:auto val="1"/>
        <c:lblAlgn val="ctr"/>
        <c:lblOffset val="100"/>
        <c:noMultiLvlLbl val="0"/>
      </c:catAx>
      <c:valAx>
        <c:axId val="1"/>
        <c:scaling>
          <c:orientation val="minMax"/>
          <c:max val="1"/>
          <c:min val="0.9"/>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914123088"/>
        <c:crosses val="autoZero"/>
        <c:crossBetween val="between"/>
      </c:valAx>
      <c:catAx>
        <c:axId val="3"/>
        <c:scaling>
          <c:orientation val="minMax"/>
        </c:scaling>
        <c:delete val="1"/>
        <c:axPos val="b"/>
        <c:numFmt formatCode="General" sourceLinked="1"/>
        <c:majorTickMark val="out"/>
        <c:minorTickMark val="none"/>
        <c:tickLblPos val="nextTo"/>
        <c:crossAx val="4"/>
        <c:crosses val="autoZero"/>
        <c:auto val="1"/>
        <c:lblAlgn val="ctr"/>
        <c:lblOffset val="100"/>
        <c:noMultiLvlLbl val="0"/>
      </c:catAx>
      <c:valAx>
        <c:axId val="4"/>
        <c:scaling>
          <c:orientation val="minMax"/>
        </c:scaling>
        <c:delete val="0"/>
        <c:axPos val="r"/>
        <c:numFmt formatCode="General" sourceLinked="1"/>
        <c:majorTickMark val="out"/>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3"/>
        <c:crosses val="max"/>
        <c:crossBetween val="between"/>
        <c:majorUnit val="1"/>
      </c:valAx>
      <c:spPr>
        <a:noFill/>
        <a:ln w="25400">
          <a:noFill/>
        </a:ln>
      </c:spPr>
    </c:plotArea>
    <c:legend>
      <c:legendPos val="r"/>
      <c:layout>
        <c:manualLayout>
          <c:xMode val="edge"/>
          <c:yMode val="edge"/>
          <c:x val="0.544627741440041"/>
          <c:y val="3.8083655259346198E-2"/>
          <c:w val="0.434966797543201"/>
          <c:h val="8.9802908591923095E-2"/>
        </c:manualLayout>
      </c:layout>
      <c:overlay val="0"/>
      <c:spPr>
        <a:noFill/>
        <a:ln w="25400">
          <a:noFill/>
        </a:ln>
      </c:spPr>
      <c:txPr>
        <a:bodyPr/>
        <a:lstStyle/>
        <a:p>
          <a:pPr>
            <a:defRPr sz="900" b="0" i="0" u="none" strike="noStrike" baseline="0">
              <a:solidFill>
                <a:srgbClr val="333333"/>
              </a:solidFill>
              <a:latin typeface="Calibri"/>
              <a:ea typeface="Calibri"/>
              <a:cs typeface="Calibri"/>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'MT BHCKT'!$B$24</c:f>
              <c:strCache>
                <c:ptCount val="1"/>
                <c:pt idx="0">
                  <c:v>LỖI XÁC NHẬN</c:v>
                </c:pt>
              </c:strCache>
            </c:strRef>
          </c:tx>
          <c:spPr>
            <a:solidFill>
              <a:schemeClr val="accent1"/>
            </a:solidFill>
            <a:ln>
              <a:noFill/>
            </a:ln>
            <a:effectLst/>
          </c:spPr>
          <c:invertIfNegative val="0"/>
          <c:cat>
            <c:multiLvlStrRef>
              <c:f>'MT BHCKT'!$C$22:$Z$23</c:f>
              <c:multiLvlStrCache>
                <c:ptCount val="24"/>
                <c:lvl>
                  <c:pt idx="0">
                    <c:v>T1</c:v>
                  </c:pt>
                  <c:pt idx="1">
                    <c:v>T2</c:v>
                  </c:pt>
                  <c:pt idx="2">
                    <c:v>T3</c:v>
                  </c:pt>
                  <c:pt idx="3">
                    <c:v>T4</c:v>
                  </c:pt>
                  <c:pt idx="4">
                    <c:v>T5</c:v>
                  </c:pt>
                  <c:pt idx="5">
                    <c:v>T6</c:v>
                  </c:pt>
                  <c:pt idx="6">
                    <c:v>T7</c:v>
                  </c:pt>
                  <c:pt idx="7">
                    <c:v>T8</c:v>
                  </c:pt>
                  <c:pt idx="8">
                    <c:v>T9</c:v>
                  </c:pt>
                  <c:pt idx="9">
                    <c:v>T10</c:v>
                  </c:pt>
                  <c:pt idx="10">
                    <c:v>T11</c:v>
                  </c:pt>
                  <c:pt idx="11">
                    <c:v>T12</c:v>
                  </c:pt>
                  <c:pt idx="12">
                    <c:v>T1</c:v>
                  </c:pt>
                  <c:pt idx="13">
                    <c:v>T2</c:v>
                  </c:pt>
                  <c:pt idx="14">
                    <c:v>T3</c:v>
                  </c:pt>
                  <c:pt idx="15">
                    <c:v>T4</c:v>
                  </c:pt>
                  <c:pt idx="16">
                    <c:v>T5</c:v>
                  </c:pt>
                  <c:pt idx="17">
                    <c:v>T6</c:v>
                  </c:pt>
                  <c:pt idx="18">
                    <c:v>T7</c:v>
                  </c:pt>
                  <c:pt idx="19">
                    <c:v>T8</c:v>
                  </c:pt>
                  <c:pt idx="20">
                    <c:v>T9</c:v>
                  </c:pt>
                  <c:pt idx="21">
                    <c:v>T10</c:v>
                  </c:pt>
                  <c:pt idx="22">
                    <c:v>T11</c:v>
                  </c:pt>
                  <c:pt idx="23">
                    <c:v>T12</c:v>
                  </c:pt>
                </c:lvl>
                <c:lvl>
                  <c:pt idx="0">
                    <c:v>2024</c:v>
                  </c:pt>
                  <c:pt idx="12">
                    <c:v>2025</c:v>
                  </c:pt>
                </c:lvl>
              </c:multiLvlStrCache>
            </c:multiLvlStrRef>
          </c:cat>
          <c:val>
            <c:numRef>
              <c:f>'MT BHCKT'!$C$24:$Z$24</c:f>
              <c:numCache>
                <c:formatCode>General</c:formatCode>
                <c:ptCount val="24"/>
                <c:pt idx="0">
                  <c:v>0</c:v>
                </c:pt>
                <c:pt idx="1">
                  <c:v>0</c:v>
                </c:pt>
                <c:pt idx="2">
                  <c:v>1</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5171-42B0-AF51-E1B3A23339C5}"/>
            </c:ext>
          </c:extLst>
        </c:ser>
        <c:ser>
          <c:idx val="1"/>
          <c:order val="1"/>
          <c:tx>
            <c:strRef>
              <c:f>'MT BHCKT'!$B$25</c:f>
              <c:strCache>
                <c:ptCount val="1"/>
                <c:pt idx="0">
                  <c:v>LỖI GIA CÔNG</c:v>
                </c:pt>
              </c:strCache>
            </c:strRef>
          </c:tx>
          <c:spPr>
            <a:solidFill>
              <a:schemeClr val="accent2"/>
            </a:solidFill>
            <a:ln>
              <a:noFill/>
            </a:ln>
            <a:effectLst/>
          </c:spPr>
          <c:invertIfNegative val="0"/>
          <c:cat>
            <c:multiLvlStrRef>
              <c:f>'MT BHCKT'!$C$22:$Z$23</c:f>
              <c:multiLvlStrCache>
                <c:ptCount val="24"/>
                <c:lvl>
                  <c:pt idx="0">
                    <c:v>T1</c:v>
                  </c:pt>
                  <c:pt idx="1">
                    <c:v>T2</c:v>
                  </c:pt>
                  <c:pt idx="2">
                    <c:v>T3</c:v>
                  </c:pt>
                  <c:pt idx="3">
                    <c:v>T4</c:v>
                  </c:pt>
                  <c:pt idx="4">
                    <c:v>T5</c:v>
                  </c:pt>
                  <c:pt idx="5">
                    <c:v>T6</c:v>
                  </c:pt>
                  <c:pt idx="6">
                    <c:v>T7</c:v>
                  </c:pt>
                  <c:pt idx="7">
                    <c:v>T8</c:v>
                  </c:pt>
                  <c:pt idx="8">
                    <c:v>T9</c:v>
                  </c:pt>
                  <c:pt idx="9">
                    <c:v>T10</c:v>
                  </c:pt>
                  <c:pt idx="10">
                    <c:v>T11</c:v>
                  </c:pt>
                  <c:pt idx="11">
                    <c:v>T12</c:v>
                  </c:pt>
                  <c:pt idx="12">
                    <c:v>T1</c:v>
                  </c:pt>
                  <c:pt idx="13">
                    <c:v>T2</c:v>
                  </c:pt>
                  <c:pt idx="14">
                    <c:v>T3</c:v>
                  </c:pt>
                  <c:pt idx="15">
                    <c:v>T4</c:v>
                  </c:pt>
                  <c:pt idx="16">
                    <c:v>T5</c:v>
                  </c:pt>
                  <c:pt idx="17">
                    <c:v>T6</c:v>
                  </c:pt>
                  <c:pt idx="18">
                    <c:v>T7</c:v>
                  </c:pt>
                  <c:pt idx="19">
                    <c:v>T8</c:v>
                  </c:pt>
                  <c:pt idx="20">
                    <c:v>T9</c:v>
                  </c:pt>
                  <c:pt idx="21">
                    <c:v>T10</c:v>
                  </c:pt>
                  <c:pt idx="22">
                    <c:v>T11</c:v>
                  </c:pt>
                  <c:pt idx="23">
                    <c:v>T12</c:v>
                  </c:pt>
                </c:lvl>
                <c:lvl>
                  <c:pt idx="0">
                    <c:v>2024</c:v>
                  </c:pt>
                  <c:pt idx="12">
                    <c:v>2025</c:v>
                  </c:pt>
                </c:lvl>
              </c:multiLvlStrCache>
            </c:multiLvlStrRef>
          </c:cat>
          <c:val>
            <c:numRef>
              <c:f>'MT BHCKT'!$C$25:$Z$25</c:f>
              <c:numCache>
                <c:formatCode>General</c:formatCode>
                <c:ptCount val="24"/>
                <c:pt idx="0">
                  <c:v>0</c:v>
                </c:pt>
                <c:pt idx="1">
                  <c:v>1</c:v>
                </c:pt>
                <c:pt idx="2">
                  <c:v>0</c:v>
                </c:pt>
                <c:pt idx="3">
                  <c:v>0</c:v>
                </c:pt>
                <c:pt idx="4">
                  <c:v>1</c:v>
                </c:pt>
                <c:pt idx="5">
                  <c:v>0</c:v>
                </c:pt>
                <c:pt idx="6">
                  <c:v>0</c:v>
                </c:pt>
                <c:pt idx="7">
                  <c:v>0</c:v>
                </c:pt>
                <c:pt idx="8">
                  <c:v>0</c:v>
                </c:pt>
                <c:pt idx="9">
                  <c:v>0</c:v>
                </c:pt>
                <c:pt idx="10">
                  <c:v>2</c:v>
                </c:pt>
                <c:pt idx="13">
                  <c:v>1</c:v>
                </c:pt>
                <c:pt idx="17">
                  <c:v>1</c:v>
                </c:pt>
                <c:pt idx="19">
                  <c:v>1</c:v>
                </c:pt>
                <c:pt idx="21">
                  <c:v>1</c:v>
                </c:pt>
                <c:pt idx="23">
                  <c:v>1</c:v>
                </c:pt>
              </c:numCache>
            </c:numRef>
          </c:val>
          <c:extLst>
            <c:ext xmlns:c16="http://schemas.microsoft.com/office/drawing/2014/chart" uri="{C3380CC4-5D6E-409C-BE32-E72D297353CC}">
              <c16:uniqueId val="{00000001-5171-42B0-AF51-E1B3A23339C5}"/>
            </c:ext>
          </c:extLst>
        </c:ser>
        <c:ser>
          <c:idx val="2"/>
          <c:order val="2"/>
          <c:tx>
            <c:strRef>
              <c:f>'MT BHCKT'!$B$26</c:f>
              <c:strCache>
                <c:ptCount val="1"/>
                <c:pt idx="0">
                  <c:v>LỖI ĐO ĐẠC</c:v>
                </c:pt>
              </c:strCache>
            </c:strRef>
          </c:tx>
          <c:spPr>
            <a:solidFill>
              <a:schemeClr val="accent3"/>
            </a:solidFill>
            <a:ln>
              <a:noFill/>
            </a:ln>
            <a:effectLst/>
          </c:spPr>
          <c:invertIfNegative val="0"/>
          <c:cat>
            <c:multiLvlStrRef>
              <c:f>'MT BHCKT'!$C$22:$Z$23</c:f>
              <c:multiLvlStrCache>
                <c:ptCount val="24"/>
                <c:lvl>
                  <c:pt idx="0">
                    <c:v>T1</c:v>
                  </c:pt>
                  <c:pt idx="1">
                    <c:v>T2</c:v>
                  </c:pt>
                  <c:pt idx="2">
                    <c:v>T3</c:v>
                  </c:pt>
                  <c:pt idx="3">
                    <c:v>T4</c:v>
                  </c:pt>
                  <c:pt idx="4">
                    <c:v>T5</c:v>
                  </c:pt>
                  <c:pt idx="5">
                    <c:v>T6</c:v>
                  </c:pt>
                  <c:pt idx="6">
                    <c:v>T7</c:v>
                  </c:pt>
                  <c:pt idx="7">
                    <c:v>T8</c:v>
                  </c:pt>
                  <c:pt idx="8">
                    <c:v>T9</c:v>
                  </c:pt>
                  <c:pt idx="9">
                    <c:v>T10</c:v>
                  </c:pt>
                  <c:pt idx="10">
                    <c:v>T11</c:v>
                  </c:pt>
                  <c:pt idx="11">
                    <c:v>T12</c:v>
                  </c:pt>
                  <c:pt idx="12">
                    <c:v>T1</c:v>
                  </c:pt>
                  <c:pt idx="13">
                    <c:v>T2</c:v>
                  </c:pt>
                  <c:pt idx="14">
                    <c:v>T3</c:v>
                  </c:pt>
                  <c:pt idx="15">
                    <c:v>T4</c:v>
                  </c:pt>
                  <c:pt idx="16">
                    <c:v>T5</c:v>
                  </c:pt>
                  <c:pt idx="17">
                    <c:v>T6</c:v>
                  </c:pt>
                  <c:pt idx="18">
                    <c:v>T7</c:v>
                  </c:pt>
                  <c:pt idx="19">
                    <c:v>T8</c:v>
                  </c:pt>
                  <c:pt idx="20">
                    <c:v>T9</c:v>
                  </c:pt>
                  <c:pt idx="21">
                    <c:v>T10</c:v>
                  </c:pt>
                  <c:pt idx="22">
                    <c:v>T11</c:v>
                  </c:pt>
                  <c:pt idx="23">
                    <c:v>T12</c:v>
                  </c:pt>
                </c:lvl>
                <c:lvl>
                  <c:pt idx="0">
                    <c:v>2024</c:v>
                  </c:pt>
                  <c:pt idx="12">
                    <c:v>2025</c:v>
                  </c:pt>
                </c:lvl>
              </c:multiLvlStrCache>
            </c:multiLvlStrRef>
          </c:cat>
          <c:val>
            <c:numRef>
              <c:f>'MT BHCKT'!$C$26:$Z$26</c:f>
              <c:numCache>
                <c:formatCode>General</c:formatCode>
                <c:ptCount val="24"/>
                <c:pt idx="0">
                  <c:v>0</c:v>
                </c:pt>
                <c:pt idx="1">
                  <c:v>0</c:v>
                </c:pt>
                <c:pt idx="2">
                  <c:v>0</c:v>
                </c:pt>
                <c:pt idx="3">
                  <c:v>0</c:v>
                </c:pt>
                <c:pt idx="4">
                  <c:v>0</c:v>
                </c:pt>
                <c:pt idx="5">
                  <c:v>0</c:v>
                </c:pt>
                <c:pt idx="6">
                  <c:v>0</c:v>
                </c:pt>
                <c:pt idx="7">
                  <c:v>0</c:v>
                </c:pt>
                <c:pt idx="8">
                  <c:v>1</c:v>
                </c:pt>
                <c:pt idx="9">
                  <c:v>1</c:v>
                </c:pt>
                <c:pt idx="10">
                  <c:v>1</c:v>
                </c:pt>
                <c:pt idx="15">
                  <c:v>1</c:v>
                </c:pt>
              </c:numCache>
            </c:numRef>
          </c:val>
          <c:extLst>
            <c:ext xmlns:c16="http://schemas.microsoft.com/office/drawing/2014/chart" uri="{C3380CC4-5D6E-409C-BE32-E72D297353CC}">
              <c16:uniqueId val="{00000002-5171-42B0-AF51-E1B3A23339C5}"/>
            </c:ext>
          </c:extLst>
        </c:ser>
        <c:dLbls>
          <c:showLegendKey val="0"/>
          <c:showVal val="0"/>
          <c:showCatName val="0"/>
          <c:showSerName val="0"/>
          <c:showPercent val="0"/>
          <c:showBubbleSize val="0"/>
        </c:dLbls>
        <c:gapWidth val="150"/>
        <c:overlap val="100"/>
        <c:axId val="1087736576"/>
        <c:axId val="1087734776"/>
        <c:extLst>
          <c:ext xmlns:c15="http://schemas.microsoft.com/office/drawing/2012/chart" uri="{02D57815-91ED-43cb-92C2-25804820EDAC}">
            <c15:filteredBarSeries>
              <c15:ser>
                <c:idx val="3"/>
                <c:order val="3"/>
                <c:tx>
                  <c:strRef>
                    <c:extLst>
                      <c:ext uri="{02D57815-91ED-43cb-92C2-25804820EDAC}">
                        <c15:formulaRef>
                          <c15:sqref>'MT BHCKT'!$B$27</c15:sqref>
                        </c15:formulaRef>
                      </c:ext>
                    </c:extLst>
                    <c:strCache>
                      <c:ptCount val="1"/>
                      <c:pt idx="0">
                        <c:v>Total</c:v>
                      </c:pt>
                    </c:strCache>
                  </c:strRef>
                </c:tx>
                <c:spPr>
                  <a:solidFill>
                    <a:schemeClr val="accent4"/>
                  </a:solidFill>
                  <a:ln>
                    <a:noFill/>
                  </a:ln>
                  <a:effectLst/>
                </c:spPr>
                <c:invertIfNegative val="0"/>
                <c:cat>
                  <c:multiLvlStrRef>
                    <c:extLst>
                      <c:ext uri="{02D57815-91ED-43cb-92C2-25804820EDAC}">
                        <c15:formulaRef>
                          <c15:sqref>'MT BHCKT'!$C$22:$Z$23</c15:sqref>
                        </c15:formulaRef>
                      </c:ext>
                    </c:extLst>
                    <c:multiLvlStrCache>
                      <c:ptCount val="24"/>
                      <c:lvl>
                        <c:pt idx="0">
                          <c:v>T1</c:v>
                        </c:pt>
                        <c:pt idx="1">
                          <c:v>T2</c:v>
                        </c:pt>
                        <c:pt idx="2">
                          <c:v>T3</c:v>
                        </c:pt>
                        <c:pt idx="3">
                          <c:v>T4</c:v>
                        </c:pt>
                        <c:pt idx="4">
                          <c:v>T5</c:v>
                        </c:pt>
                        <c:pt idx="5">
                          <c:v>T6</c:v>
                        </c:pt>
                        <c:pt idx="6">
                          <c:v>T7</c:v>
                        </c:pt>
                        <c:pt idx="7">
                          <c:v>T8</c:v>
                        </c:pt>
                        <c:pt idx="8">
                          <c:v>T9</c:v>
                        </c:pt>
                        <c:pt idx="9">
                          <c:v>T10</c:v>
                        </c:pt>
                        <c:pt idx="10">
                          <c:v>T11</c:v>
                        </c:pt>
                        <c:pt idx="11">
                          <c:v>T12</c:v>
                        </c:pt>
                        <c:pt idx="12">
                          <c:v>T1</c:v>
                        </c:pt>
                        <c:pt idx="13">
                          <c:v>T2</c:v>
                        </c:pt>
                        <c:pt idx="14">
                          <c:v>T3</c:v>
                        </c:pt>
                        <c:pt idx="15">
                          <c:v>T4</c:v>
                        </c:pt>
                        <c:pt idx="16">
                          <c:v>T5</c:v>
                        </c:pt>
                        <c:pt idx="17">
                          <c:v>T6</c:v>
                        </c:pt>
                        <c:pt idx="18">
                          <c:v>T7</c:v>
                        </c:pt>
                        <c:pt idx="19">
                          <c:v>T8</c:v>
                        </c:pt>
                        <c:pt idx="20">
                          <c:v>T9</c:v>
                        </c:pt>
                        <c:pt idx="21">
                          <c:v>T10</c:v>
                        </c:pt>
                        <c:pt idx="22">
                          <c:v>T11</c:v>
                        </c:pt>
                        <c:pt idx="23">
                          <c:v>T12</c:v>
                        </c:pt>
                      </c:lvl>
                      <c:lvl>
                        <c:pt idx="0">
                          <c:v>2024</c:v>
                        </c:pt>
                        <c:pt idx="12">
                          <c:v>2025</c:v>
                        </c:pt>
                      </c:lvl>
                    </c:multiLvlStrCache>
                  </c:multiLvlStrRef>
                </c:cat>
                <c:val>
                  <c:numRef>
                    <c:extLst>
                      <c:ext uri="{02D57815-91ED-43cb-92C2-25804820EDAC}">
                        <c15:formulaRef>
                          <c15:sqref>'MT BHCKT'!$C$27:$Z$27</c15:sqref>
                        </c15:formulaRef>
                      </c:ext>
                    </c:extLst>
                    <c:numCache>
                      <c:formatCode>General</c:formatCode>
                      <c:ptCount val="24"/>
                      <c:pt idx="0">
                        <c:v>0</c:v>
                      </c:pt>
                      <c:pt idx="1">
                        <c:v>1</c:v>
                      </c:pt>
                      <c:pt idx="2">
                        <c:v>1</c:v>
                      </c:pt>
                      <c:pt idx="3">
                        <c:v>0</c:v>
                      </c:pt>
                      <c:pt idx="4">
                        <c:v>1</c:v>
                      </c:pt>
                      <c:pt idx="5">
                        <c:v>0</c:v>
                      </c:pt>
                      <c:pt idx="6">
                        <c:v>0</c:v>
                      </c:pt>
                      <c:pt idx="7">
                        <c:v>0</c:v>
                      </c:pt>
                      <c:pt idx="8">
                        <c:v>1</c:v>
                      </c:pt>
                      <c:pt idx="9">
                        <c:v>1</c:v>
                      </c:pt>
                      <c:pt idx="10">
                        <c:v>3</c:v>
                      </c:pt>
                      <c:pt idx="11">
                        <c:v>0</c:v>
                      </c:pt>
                      <c:pt idx="12">
                        <c:v>0</c:v>
                      </c:pt>
                      <c:pt idx="13">
                        <c:v>1</c:v>
                      </c:pt>
                      <c:pt idx="14">
                        <c:v>0</c:v>
                      </c:pt>
                      <c:pt idx="15">
                        <c:v>1</c:v>
                      </c:pt>
                      <c:pt idx="16">
                        <c:v>0</c:v>
                      </c:pt>
                      <c:pt idx="17">
                        <c:v>1</c:v>
                      </c:pt>
                      <c:pt idx="18">
                        <c:v>0</c:v>
                      </c:pt>
                      <c:pt idx="19">
                        <c:v>1</c:v>
                      </c:pt>
                      <c:pt idx="20">
                        <c:v>0</c:v>
                      </c:pt>
                      <c:pt idx="21">
                        <c:v>1</c:v>
                      </c:pt>
                      <c:pt idx="22">
                        <c:v>0</c:v>
                      </c:pt>
                      <c:pt idx="23">
                        <c:v>1</c:v>
                      </c:pt>
                    </c:numCache>
                  </c:numRef>
                </c:val>
                <c:extLst>
                  <c:ext xmlns:c16="http://schemas.microsoft.com/office/drawing/2014/chart" uri="{C3380CC4-5D6E-409C-BE32-E72D297353CC}">
                    <c16:uniqueId val="{00000004-5171-42B0-AF51-E1B3A23339C5}"/>
                  </c:ext>
                </c:extLst>
              </c15:ser>
            </c15:filteredBarSeries>
          </c:ext>
        </c:extLst>
      </c:barChart>
      <c:lineChart>
        <c:grouping val="standard"/>
        <c:varyColors val="0"/>
        <c:ser>
          <c:idx val="4"/>
          <c:order val="4"/>
          <c:tx>
            <c:strRef>
              <c:f>'MT BHCKT'!$B$28</c:f>
              <c:strCache>
                <c:ptCount val="1"/>
                <c:pt idx="0">
                  <c:v>Total lũy kế</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multiLvlStrRef>
              <c:f>'MT BHCKT'!$C$22:$Z$23</c:f>
              <c:multiLvlStrCache>
                <c:ptCount val="24"/>
                <c:lvl>
                  <c:pt idx="0">
                    <c:v>T1</c:v>
                  </c:pt>
                  <c:pt idx="1">
                    <c:v>T2</c:v>
                  </c:pt>
                  <c:pt idx="2">
                    <c:v>T3</c:v>
                  </c:pt>
                  <c:pt idx="3">
                    <c:v>T4</c:v>
                  </c:pt>
                  <c:pt idx="4">
                    <c:v>T5</c:v>
                  </c:pt>
                  <c:pt idx="5">
                    <c:v>T6</c:v>
                  </c:pt>
                  <c:pt idx="6">
                    <c:v>T7</c:v>
                  </c:pt>
                  <c:pt idx="7">
                    <c:v>T8</c:v>
                  </c:pt>
                  <c:pt idx="8">
                    <c:v>T9</c:v>
                  </c:pt>
                  <c:pt idx="9">
                    <c:v>T10</c:v>
                  </c:pt>
                  <c:pt idx="10">
                    <c:v>T11</c:v>
                  </c:pt>
                  <c:pt idx="11">
                    <c:v>T12</c:v>
                  </c:pt>
                  <c:pt idx="12">
                    <c:v>T1</c:v>
                  </c:pt>
                  <c:pt idx="13">
                    <c:v>T2</c:v>
                  </c:pt>
                  <c:pt idx="14">
                    <c:v>T3</c:v>
                  </c:pt>
                  <c:pt idx="15">
                    <c:v>T4</c:v>
                  </c:pt>
                  <c:pt idx="16">
                    <c:v>T5</c:v>
                  </c:pt>
                  <c:pt idx="17">
                    <c:v>T6</c:v>
                  </c:pt>
                  <c:pt idx="18">
                    <c:v>T7</c:v>
                  </c:pt>
                  <c:pt idx="19">
                    <c:v>T8</c:v>
                  </c:pt>
                  <c:pt idx="20">
                    <c:v>T9</c:v>
                  </c:pt>
                  <c:pt idx="21">
                    <c:v>T10</c:v>
                  </c:pt>
                  <c:pt idx="22">
                    <c:v>T11</c:v>
                  </c:pt>
                  <c:pt idx="23">
                    <c:v>T12</c:v>
                  </c:pt>
                </c:lvl>
                <c:lvl>
                  <c:pt idx="0">
                    <c:v>2024</c:v>
                  </c:pt>
                  <c:pt idx="12">
                    <c:v>2025</c:v>
                  </c:pt>
                </c:lvl>
              </c:multiLvlStrCache>
            </c:multiLvlStrRef>
          </c:cat>
          <c:val>
            <c:numRef>
              <c:f>'MT BHCKT'!$C$28:$Z$28</c:f>
              <c:numCache>
                <c:formatCode>General</c:formatCode>
                <c:ptCount val="24"/>
                <c:pt idx="0">
                  <c:v>0</c:v>
                </c:pt>
                <c:pt idx="1">
                  <c:v>1</c:v>
                </c:pt>
                <c:pt idx="2">
                  <c:v>2</c:v>
                </c:pt>
                <c:pt idx="3">
                  <c:v>2</c:v>
                </c:pt>
                <c:pt idx="4">
                  <c:v>3</c:v>
                </c:pt>
                <c:pt idx="5">
                  <c:v>3</c:v>
                </c:pt>
                <c:pt idx="6">
                  <c:v>3</c:v>
                </c:pt>
                <c:pt idx="7">
                  <c:v>3</c:v>
                </c:pt>
                <c:pt idx="8">
                  <c:v>4</c:v>
                </c:pt>
                <c:pt idx="9">
                  <c:v>5</c:v>
                </c:pt>
                <c:pt idx="10">
                  <c:v>8</c:v>
                </c:pt>
                <c:pt idx="11">
                  <c:v>8</c:v>
                </c:pt>
                <c:pt idx="12">
                  <c:v>0</c:v>
                </c:pt>
                <c:pt idx="13">
                  <c:v>1</c:v>
                </c:pt>
                <c:pt idx="14">
                  <c:v>1</c:v>
                </c:pt>
                <c:pt idx="15">
                  <c:v>2</c:v>
                </c:pt>
                <c:pt idx="16">
                  <c:v>2</c:v>
                </c:pt>
                <c:pt idx="17">
                  <c:v>3</c:v>
                </c:pt>
                <c:pt idx="18">
                  <c:v>3</c:v>
                </c:pt>
                <c:pt idx="19">
                  <c:v>4</c:v>
                </c:pt>
                <c:pt idx="20">
                  <c:v>4</c:v>
                </c:pt>
                <c:pt idx="21">
                  <c:v>5</c:v>
                </c:pt>
                <c:pt idx="22">
                  <c:v>5</c:v>
                </c:pt>
                <c:pt idx="23">
                  <c:v>6</c:v>
                </c:pt>
              </c:numCache>
            </c:numRef>
          </c:val>
          <c:smooth val="0"/>
          <c:extLst>
            <c:ext xmlns:c16="http://schemas.microsoft.com/office/drawing/2014/chart" uri="{C3380CC4-5D6E-409C-BE32-E72D297353CC}">
              <c16:uniqueId val="{00000003-5171-42B0-AF51-E1B3A23339C5}"/>
            </c:ext>
          </c:extLst>
        </c:ser>
        <c:dLbls>
          <c:showLegendKey val="0"/>
          <c:showVal val="0"/>
          <c:showCatName val="0"/>
          <c:showSerName val="0"/>
          <c:showPercent val="0"/>
          <c:showBubbleSize val="0"/>
        </c:dLbls>
        <c:marker val="1"/>
        <c:smooth val="0"/>
        <c:axId val="1087736576"/>
        <c:axId val="1087734776"/>
      </c:lineChart>
      <c:catAx>
        <c:axId val="1087736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734776"/>
        <c:crosses val="autoZero"/>
        <c:auto val="1"/>
        <c:lblAlgn val="ctr"/>
        <c:lblOffset val="100"/>
        <c:noMultiLvlLbl val="0"/>
      </c:catAx>
      <c:valAx>
        <c:axId val="1087734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7365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963707</xdr:colOff>
      <xdr:row>25</xdr:row>
      <xdr:rowOff>151466</xdr:rowOff>
    </xdr:from>
    <xdr:to>
      <xdr:col>26</xdr:col>
      <xdr:colOff>19051</xdr:colOff>
      <xdr:row>38</xdr:row>
      <xdr:rowOff>0</xdr:rowOff>
    </xdr:to>
    <xdr:graphicFrame macro="">
      <xdr:nvGraphicFramePr>
        <xdr:cNvPr id="2" name="Biểu đồ 6">
          <a:extLst>
            <a:ext uri="{FF2B5EF4-FFF2-40B4-BE49-F238E27FC236}">
              <a16:creationId xmlns:a16="http://schemas.microsoft.com/office/drawing/2014/main" id="{FB4F98C0-C79D-4E17-8A5D-3EE6723FB8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352425</xdr:colOff>
      <xdr:row>8</xdr:row>
      <xdr:rowOff>34926</xdr:rowOff>
    </xdr:from>
    <xdr:to>
      <xdr:col>26</xdr:col>
      <xdr:colOff>13607</xdr:colOff>
      <xdr:row>17</xdr:row>
      <xdr:rowOff>104776</xdr:rowOff>
    </xdr:to>
    <xdr:graphicFrame macro="">
      <xdr:nvGraphicFramePr>
        <xdr:cNvPr id="3" name="Biểu đồ 7">
          <a:extLst>
            <a:ext uri="{FF2B5EF4-FFF2-40B4-BE49-F238E27FC236}">
              <a16:creationId xmlns:a16="http://schemas.microsoft.com/office/drawing/2014/main" id="{DE928765-F17C-4614-8BCC-99828E65E0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36512</xdr:colOff>
      <xdr:row>8</xdr:row>
      <xdr:rowOff>34925</xdr:rowOff>
    </xdr:from>
    <xdr:to>
      <xdr:col>8</xdr:col>
      <xdr:colOff>334962</xdr:colOff>
      <xdr:row>17</xdr:row>
      <xdr:rowOff>104775</xdr:rowOff>
    </xdr:to>
    <xdr:graphicFrame macro="">
      <xdr:nvGraphicFramePr>
        <xdr:cNvPr id="4" name="Biểu đồ 8">
          <a:extLst>
            <a:ext uri="{FF2B5EF4-FFF2-40B4-BE49-F238E27FC236}">
              <a16:creationId xmlns:a16="http://schemas.microsoft.com/office/drawing/2014/main" id="{4A81CDC8-5A39-4563-ABCB-8DCA42F0E3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12</xdr:col>
      <xdr:colOff>809625</xdr:colOff>
      <xdr:row>2</xdr:row>
      <xdr:rowOff>252412</xdr:rowOff>
    </xdr:from>
    <xdr:ext cx="65" cy="172227"/>
    <xdr:sp macro="" textlink="">
      <xdr:nvSpPr>
        <xdr:cNvPr id="2" name="TextBox 1">
          <a:extLst>
            <a:ext uri="{FF2B5EF4-FFF2-40B4-BE49-F238E27FC236}">
              <a16:creationId xmlns:a16="http://schemas.microsoft.com/office/drawing/2014/main" id="{EEDD7AD7-B940-4355-82FC-C6A2FC7089E9}"/>
            </a:ext>
          </a:extLst>
        </xdr:cNvPr>
        <xdr:cNvSpPr txBox="1"/>
      </xdr:nvSpPr>
      <xdr:spPr>
        <a:xfrm>
          <a:off x="6600825" y="178593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2</xdr:row>
      <xdr:rowOff>0</xdr:rowOff>
    </xdr:from>
    <xdr:ext cx="65" cy="172227"/>
    <xdr:sp macro="" textlink="">
      <xdr:nvSpPr>
        <xdr:cNvPr id="5" name="TextBox 4">
          <a:extLst>
            <a:ext uri="{FF2B5EF4-FFF2-40B4-BE49-F238E27FC236}">
              <a16:creationId xmlns:a16="http://schemas.microsoft.com/office/drawing/2014/main" id="{D05307EE-CF07-438F-8291-CDA222611A12}"/>
            </a:ext>
          </a:extLst>
        </xdr:cNvPr>
        <xdr:cNvSpPr txBox="1"/>
      </xdr:nvSpPr>
      <xdr:spPr>
        <a:xfrm>
          <a:off x="6600825" y="15335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2</xdr:row>
      <xdr:rowOff>0</xdr:rowOff>
    </xdr:from>
    <xdr:ext cx="65" cy="172227"/>
    <xdr:sp macro="" textlink="">
      <xdr:nvSpPr>
        <xdr:cNvPr id="6" name="TextBox 5">
          <a:extLst>
            <a:ext uri="{FF2B5EF4-FFF2-40B4-BE49-F238E27FC236}">
              <a16:creationId xmlns:a16="http://schemas.microsoft.com/office/drawing/2014/main" id="{70E0553B-99A8-4B11-81B1-02B53B1F7154}"/>
            </a:ext>
          </a:extLst>
        </xdr:cNvPr>
        <xdr:cNvSpPr txBox="1"/>
      </xdr:nvSpPr>
      <xdr:spPr>
        <a:xfrm>
          <a:off x="6600825" y="15335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4</xdr:row>
      <xdr:rowOff>252412</xdr:rowOff>
    </xdr:from>
    <xdr:ext cx="65" cy="172227"/>
    <xdr:sp macro="" textlink="">
      <xdr:nvSpPr>
        <xdr:cNvPr id="7" name="TextBox 6">
          <a:extLst>
            <a:ext uri="{FF2B5EF4-FFF2-40B4-BE49-F238E27FC236}">
              <a16:creationId xmlns:a16="http://schemas.microsoft.com/office/drawing/2014/main" id="{34A0401D-CC4A-42E1-AA7C-BA6D48ADB69A}"/>
            </a:ext>
          </a:extLst>
        </xdr:cNvPr>
        <xdr:cNvSpPr txBox="1"/>
      </xdr:nvSpPr>
      <xdr:spPr>
        <a:xfrm>
          <a:off x="6600825" y="216693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3</xdr:row>
      <xdr:rowOff>252412</xdr:rowOff>
    </xdr:from>
    <xdr:ext cx="65" cy="172227"/>
    <xdr:sp macro="" textlink="">
      <xdr:nvSpPr>
        <xdr:cNvPr id="3" name="TextBox 2">
          <a:extLst>
            <a:ext uri="{FF2B5EF4-FFF2-40B4-BE49-F238E27FC236}">
              <a16:creationId xmlns:a16="http://schemas.microsoft.com/office/drawing/2014/main" id="{95A39AC9-B7DC-4A66-B620-17AD6C5F2634}"/>
            </a:ext>
          </a:extLst>
        </xdr:cNvPr>
        <xdr:cNvSpPr txBox="1"/>
      </xdr:nvSpPr>
      <xdr:spPr>
        <a:xfrm>
          <a:off x="7336321" y="140369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4" name="TextBox 3">
          <a:extLst>
            <a:ext uri="{FF2B5EF4-FFF2-40B4-BE49-F238E27FC236}">
              <a16:creationId xmlns:a16="http://schemas.microsoft.com/office/drawing/2014/main" id="{83F10B0F-0712-485A-8122-513D5D5CF64B}"/>
            </a:ext>
          </a:extLst>
        </xdr:cNvPr>
        <xdr:cNvSpPr txBox="1"/>
      </xdr:nvSpPr>
      <xdr:spPr>
        <a:xfrm>
          <a:off x="6325842" y="216569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4</xdr:row>
      <xdr:rowOff>252412</xdr:rowOff>
    </xdr:from>
    <xdr:ext cx="65" cy="172227"/>
    <xdr:sp macro="" textlink="">
      <xdr:nvSpPr>
        <xdr:cNvPr id="8" name="TextBox 7">
          <a:extLst>
            <a:ext uri="{FF2B5EF4-FFF2-40B4-BE49-F238E27FC236}">
              <a16:creationId xmlns:a16="http://schemas.microsoft.com/office/drawing/2014/main" id="{78E2139C-CD14-4FBE-9D4F-B5F693A0C1B3}"/>
            </a:ext>
          </a:extLst>
        </xdr:cNvPr>
        <xdr:cNvSpPr txBox="1"/>
      </xdr:nvSpPr>
      <xdr:spPr>
        <a:xfrm>
          <a:off x="6325842" y="178469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9" name="TextBox 8">
          <a:extLst>
            <a:ext uri="{FF2B5EF4-FFF2-40B4-BE49-F238E27FC236}">
              <a16:creationId xmlns:a16="http://schemas.microsoft.com/office/drawing/2014/main" id="{A472B4DF-AC8B-4F35-9F5B-779C4CFCEF7E}"/>
            </a:ext>
          </a:extLst>
        </xdr:cNvPr>
        <xdr:cNvSpPr txBox="1"/>
      </xdr:nvSpPr>
      <xdr:spPr>
        <a:xfrm>
          <a:off x="6325842" y="216569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10" name="TextBox 9">
          <a:extLst>
            <a:ext uri="{FF2B5EF4-FFF2-40B4-BE49-F238E27FC236}">
              <a16:creationId xmlns:a16="http://schemas.microsoft.com/office/drawing/2014/main" id="{8EF20E23-77C0-4DAB-A305-36126EA1311C}"/>
            </a:ext>
          </a:extLst>
        </xdr:cNvPr>
        <xdr:cNvSpPr txBox="1"/>
      </xdr:nvSpPr>
      <xdr:spPr>
        <a:xfrm>
          <a:off x="6325842" y="254669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11" name="TextBox 10">
          <a:extLst>
            <a:ext uri="{FF2B5EF4-FFF2-40B4-BE49-F238E27FC236}">
              <a16:creationId xmlns:a16="http://schemas.microsoft.com/office/drawing/2014/main" id="{F268A516-B863-4751-BD13-97CA7CE3AC7F}"/>
            </a:ext>
          </a:extLst>
        </xdr:cNvPr>
        <xdr:cNvSpPr txBox="1"/>
      </xdr:nvSpPr>
      <xdr:spPr>
        <a:xfrm>
          <a:off x="6325842" y="216569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12" name="TextBox 11">
          <a:extLst>
            <a:ext uri="{FF2B5EF4-FFF2-40B4-BE49-F238E27FC236}">
              <a16:creationId xmlns:a16="http://schemas.microsoft.com/office/drawing/2014/main" id="{6EA4CBF9-9F98-4C7B-B01C-CE1B9932CA44}"/>
            </a:ext>
          </a:extLst>
        </xdr:cNvPr>
        <xdr:cNvSpPr txBox="1"/>
      </xdr:nvSpPr>
      <xdr:spPr>
        <a:xfrm>
          <a:off x="6325842" y="254669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13" name="TextBox 12">
          <a:extLst>
            <a:ext uri="{FF2B5EF4-FFF2-40B4-BE49-F238E27FC236}">
              <a16:creationId xmlns:a16="http://schemas.microsoft.com/office/drawing/2014/main" id="{DA2E74BA-E599-4FBD-9CE0-4FDB06DD8C55}"/>
            </a:ext>
          </a:extLst>
        </xdr:cNvPr>
        <xdr:cNvSpPr txBox="1"/>
      </xdr:nvSpPr>
      <xdr:spPr>
        <a:xfrm>
          <a:off x="6325842" y="254669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15" name="TextBox 14">
          <a:extLst>
            <a:ext uri="{FF2B5EF4-FFF2-40B4-BE49-F238E27FC236}">
              <a16:creationId xmlns:a16="http://schemas.microsoft.com/office/drawing/2014/main" id="{D66E9DD6-A102-4630-BC88-E962112AF46B}"/>
            </a:ext>
          </a:extLst>
        </xdr:cNvPr>
        <xdr:cNvSpPr txBox="1"/>
      </xdr:nvSpPr>
      <xdr:spPr>
        <a:xfrm>
          <a:off x="6325842" y="254669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19" name="TextBox 18">
          <a:extLst>
            <a:ext uri="{FF2B5EF4-FFF2-40B4-BE49-F238E27FC236}">
              <a16:creationId xmlns:a16="http://schemas.microsoft.com/office/drawing/2014/main" id="{585C0875-4E70-4BF9-BF07-BFCF5811C8DA}"/>
            </a:ext>
          </a:extLst>
        </xdr:cNvPr>
        <xdr:cNvSpPr txBox="1"/>
      </xdr:nvSpPr>
      <xdr:spPr>
        <a:xfrm>
          <a:off x="6325842" y="330869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14" name="TextBox 13">
          <a:extLst>
            <a:ext uri="{FF2B5EF4-FFF2-40B4-BE49-F238E27FC236}">
              <a16:creationId xmlns:a16="http://schemas.microsoft.com/office/drawing/2014/main" id="{63C67F97-8416-479A-938B-B0A5BF4043DF}"/>
            </a:ext>
          </a:extLst>
        </xdr:cNvPr>
        <xdr:cNvSpPr txBox="1"/>
      </xdr:nvSpPr>
      <xdr:spPr>
        <a:xfrm>
          <a:off x="6325842" y="292769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16" name="TextBox 15">
          <a:extLst>
            <a:ext uri="{FF2B5EF4-FFF2-40B4-BE49-F238E27FC236}">
              <a16:creationId xmlns:a16="http://schemas.microsoft.com/office/drawing/2014/main" id="{6C2BF58A-4B24-470D-87FF-2D195BC65261}"/>
            </a:ext>
          </a:extLst>
        </xdr:cNvPr>
        <xdr:cNvSpPr txBox="1"/>
      </xdr:nvSpPr>
      <xdr:spPr>
        <a:xfrm>
          <a:off x="6325842" y="292769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17" name="TextBox 16">
          <a:extLst>
            <a:ext uri="{FF2B5EF4-FFF2-40B4-BE49-F238E27FC236}">
              <a16:creationId xmlns:a16="http://schemas.microsoft.com/office/drawing/2014/main" id="{AC5DA2D5-1238-4773-9304-B0FE2A532F72}"/>
            </a:ext>
          </a:extLst>
        </xdr:cNvPr>
        <xdr:cNvSpPr txBox="1"/>
      </xdr:nvSpPr>
      <xdr:spPr>
        <a:xfrm>
          <a:off x="6325842" y="292769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18" name="TextBox 17">
          <a:extLst>
            <a:ext uri="{FF2B5EF4-FFF2-40B4-BE49-F238E27FC236}">
              <a16:creationId xmlns:a16="http://schemas.microsoft.com/office/drawing/2014/main" id="{66119E90-75FE-412B-9563-096BABEAA5BC}"/>
            </a:ext>
          </a:extLst>
        </xdr:cNvPr>
        <xdr:cNvSpPr txBox="1"/>
      </xdr:nvSpPr>
      <xdr:spPr>
        <a:xfrm>
          <a:off x="6325842" y="292769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20" name="TextBox 19">
          <a:extLst>
            <a:ext uri="{FF2B5EF4-FFF2-40B4-BE49-F238E27FC236}">
              <a16:creationId xmlns:a16="http://schemas.microsoft.com/office/drawing/2014/main" id="{FBF08A78-3901-4E26-B49D-EFF026F13E28}"/>
            </a:ext>
          </a:extLst>
        </xdr:cNvPr>
        <xdr:cNvSpPr txBox="1"/>
      </xdr:nvSpPr>
      <xdr:spPr>
        <a:xfrm>
          <a:off x="6325842" y="445169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22" name="TextBox 21">
          <a:extLst>
            <a:ext uri="{FF2B5EF4-FFF2-40B4-BE49-F238E27FC236}">
              <a16:creationId xmlns:a16="http://schemas.microsoft.com/office/drawing/2014/main" id="{C5EFCCB8-9CF0-47B1-AFF0-8D72445DB7AE}"/>
            </a:ext>
          </a:extLst>
        </xdr:cNvPr>
        <xdr:cNvSpPr txBox="1"/>
      </xdr:nvSpPr>
      <xdr:spPr>
        <a:xfrm>
          <a:off x="6324600" y="483393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23" name="TextBox 22">
          <a:extLst>
            <a:ext uri="{FF2B5EF4-FFF2-40B4-BE49-F238E27FC236}">
              <a16:creationId xmlns:a16="http://schemas.microsoft.com/office/drawing/2014/main" id="{6930D8DB-D60E-4459-9283-9083D556E2D0}"/>
            </a:ext>
          </a:extLst>
        </xdr:cNvPr>
        <xdr:cNvSpPr txBox="1"/>
      </xdr:nvSpPr>
      <xdr:spPr>
        <a:xfrm>
          <a:off x="6324600" y="483393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24" name="TextBox 23">
          <a:extLst>
            <a:ext uri="{FF2B5EF4-FFF2-40B4-BE49-F238E27FC236}">
              <a16:creationId xmlns:a16="http://schemas.microsoft.com/office/drawing/2014/main" id="{BECF8024-BD2D-4E59-921A-F5453656A058}"/>
            </a:ext>
          </a:extLst>
        </xdr:cNvPr>
        <xdr:cNvSpPr txBox="1"/>
      </xdr:nvSpPr>
      <xdr:spPr>
        <a:xfrm>
          <a:off x="6324600" y="483393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25" name="TextBox 24">
          <a:extLst>
            <a:ext uri="{FF2B5EF4-FFF2-40B4-BE49-F238E27FC236}">
              <a16:creationId xmlns:a16="http://schemas.microsoft.com/office/drawing/2014/main" id="{9022118C-1AE9-43F1-9F22-630FD2F88CD6}"/>
            </a:ext>
          </a:extLst>
        </xdr:cNvPr>
        <xdr:cNvSpPr txBox="1"/>
      </xdr:nvSpPr>
      <xdr:spPr>
        <a:xfrm>
          <a:off x="6324600" y="521493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26" name="TextBox 25">
          <a:extLst>
            <a:ext uri="{FF2B5EF4-FFF2-40B4-BE49-F238E27FC236}">
              <a16:creationId xmlns:a16="http://schemas.microsoft.com/office/drawing/2014/main" id="{6BBA1709-17CB-4FE0-B816-E3A312C2AB58}"/>
            </a:ext>
          </a:extLst>
        </xdr:cNvPr>
        <xdr:cNvSpPr txBox="1"/>
      </xdr:nvSpPr>
      <xdr:spPr>
        <a:xfrm>
          <a:off x="6324600" y="521493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27" name="TextBox 26">
          <a:extLst>
            <a:ext uri="{FF2B5EF4-FFF2-40B4-BE49-F238E27FC236}">
              <a16:creationId xmlns:a16="http://schemas.microsoft.com/office/drawing/2014/main" id="{D0B0D69C-5898-42B7-AE40-2B1D8382B137}"/>
            </a:ext>
          </a:extLst>
        </xdr:cNvPr>
        <xdr:cNvSpPr txBox="1"/>
      </xdr:nvSpPr>
      <xdr:spPr>
        <a:xfrm>
          <a:off x="6324600" y="521493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28" name="TextBox 27">
          <a:extLst>
            <a:ext uri="{FF2B5EF4-FFF2-40B4-BE49-F238E27FC236}">
              <a16:creationId xmlns:a16="http://schemas.microsoft.com/office/drawing/2014/main" id="{34501AF2-9536-4D15-8C33-4558A3EDB102}"/>
            </a:ext>
          </a:extLst>
        </xdr:cNvPr>
        <xdr:cNvSpPr txBox="1"/>
      </xdr:nvSpPr>
      <xdr:spPr>
        <a:xfrm>
          <a:off x="6324600" y="521493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29" name="TextBox 28">
          <a:extLst>
            <a:ext uri="{FF2B5EF4-FFF2-40B4-BE49-F238E27FC236}">
              <a16:creationId xmlns:a16="http://schemas.microsoft.com/office/drawing/2014/main" id="{FB4F45DF-FEF6-4ADE-820C-D2389422EEF6}"/>
            </a:ext>
          </a:extLst>
        </xdr:cNvPr>
        <xdr:cNvSpPr txBox="1"/>
      </xdr:nvSpPr>
      <xdr:spPr>
        <a:xfrm>
          <a:off x="6324600" y="559593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30" name="TextBox 29">
          <a:extLst>
            <a:ext uri="{FF2B5EF4-FFF2-40B4-BE49-F238E27FC236}">
              <a16:creationId xmlns:a16="http://schemas.microsoft.com/office/drawing/2014/main" id="{FD48656C-988A-49ED-A0D8-35BE24D788FB}"/>
            </a:ext>
          </a:extLst>
        </xdr:cNvPr>
        <xdr:cNvSpPr txBox="1"/>
      </xdr:nvSpPr>
      <xdr:spPr>
        <a:xfrm>
          <a:off x="6324600" y="559593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31" name="TextBox 30">
          <a:extLst>
            <a:ext uri="{FF2B5EF4-FFF2-40B4-BE49-F238E27FC236}">
              <a16:creationId xmlns:a16="http://schemas.microsoft.com/office/drawing/2014/main" id="{E76E9A9A-DE03-4D64-BB5E-6F125FCC7B6C}"/>
            </a:ext>
          </a:extLst>
        </xdr:cNvPr>
        <xdr:cNvSpPr txBox="1"/>
      </xdr:nvSpPr>
      <xdr:spPr>
        <a:xfrm>
          <a:off x="6324600" y="559593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32" name="TextBox 31">
          <a:extLst>
            <a:ext uri="{FF2B5EF4-FFF2-40B4-BE49-F238E27FC236}">
              <a16:creationId xmlns:a16="http://schemas.microsoft.com/office/drawing/2014/main" id="{B2FE9D9B-D63D-45FD-BAEA-9EFC9AE777B2}"/>
            </a:ext>
          </a:extLst>
        </xdr:cNvPr>
        <xdr:cNvSpPr txBox="1"/>
      </xdr:nvSpPr>
      <xdr:spPr>
        <a:xfrm>
          <a:off x="6324600" y="559593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33" name="TextBox 32">
          <a:extLst>
            <a:ext uri="{FF2B5EF4-FFF2-40B4-BE49-F238E27FC236}">
              <a16:creationId xmlns:a16="http://schemas.microsoft.com/office/drawing/2014/main" id="{52837806-A97F-44F3-862F-0977ECFD5068}"/>
            </a:ext>
          </a:extLst>
        </xdr:cNvPr>
        <xdr:cNvSpPr txBox="1"/>
      </xdr:nvSpPr>
      <xdr:spPr>
        <a:xfrm>
          <a:off x="6324600" y="559593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64" name="TextBox 63">
          <a:extLst>
            <a:ext uri="{FF2B5EF4-FFF2-40B4-BE49-F238E27FC236}">
              <a16:creationId xmlns:a16="http://schemas.microsoft.com/office/drawing/2014/main" id="{759E8050-A22B-4C1C-A64A-DDB7926B8ECF}"/>
            </a:ext>
          </a:extLst>
        </xdr:cNvPr>
        <xdr:cNvSpPr txBox="1"/>
      </xdr:nvSpPr>
      <xdr:spPr>
        <a:xfrm>
          <a:off x="6677025" y="750093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65" name="TextBox 64">
          <a:extLst>
            <a:ext uri="{FF2B5EF4-FFF2-40B4-BE49-F238E27FC236}">
              <a16:creationId xmlns:a16="http://schemas.microsoft.com/office/drawing/2014/main" id="{54AD9CDC-66BD-4FD9-92CB-E4F8EC0EFAB4}"/>
            </a:ext>
          </a:extLst>
        </xdr:cNvPr>
        <xdr:cNvSpPr txBox="1"/>
      </xdr:nvSpPr>
      <xdr:spPr>
        <a:xfrm>
          <a:off x="6677025" y="750093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66" name="TextBox 65">
          <a:extLst>
            <a:ext uri="{FF2B5EF4-FFF2-40B4-BE49-F238E27FC236}">
              <a16:creationId xmlns:a16="http://schemas.microsoft.com/office/drawing/2014/main" id="{2C6C4117-8373-4392-84C8-37EEB9D97D95}"/>
            </a:ext>
          </a:extLst>
        </xdr:cNvPr>
        <xdr:cNvSpPr txBox="1"/>
      </xdr:nvSpPr>
      <xdr:spPr>
        <a:xfrm>
          <a:off x="6677025" y="750093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67" name="TextBox 66">
          <a:extLst>
            <a:ext uri="{FF2B5EF4-FFF2-40B4-BE49-F238E27FC236}">
              <a16:creationId xmlns:a16="http://schemas.microsoft.com/office/drawing/2014/main" id="{01A7A6D3-FB1C-44E6-941B-58D8976FB4EB}"/>
            </a:ext>
          </a:extLst>
        </xdr:cNvPr>
        <xdr:cNvSpPr txBox="1"/>
      </xdr:nvSpPr>
      <xdr:spPr>
        <a:xfrm>
          <a:off x="6677025" y="750093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68" name="TextBox 67">
          <a:extLst>
            <a:ext uri="{FF2B5EF4-FFF2-40B4-BE49-F238E27FC236}">
              <a16:creationId xmlns:a16="http://schemas.microsoft.com/office/drawing/2014/main" id="{464439D3-04A9-489E-BC1D-8FF61AF98ADC}"/>
            </a:ext>
          </a:extLst>
        </xdr:cNvPr>
        <xdr:cNvSpPr txBox="1"/>
      </xdr:nvSpPr>
      <xdr:spPr>
        <a:xfrm>
          <a:off x="6677025" y="750093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69" name="TextBox 68">
          <a:extLst>
            <a:ext uri="{FF2B5EF4-FFF2-40B4-BE49-F238E27FC236}">
              <a16:creationId xmlns:a16="http://schemas.microsoft.com/office/drawing/2014/main" id="{A36B9A80-BC1C-40E8-8232-DA8F4498202C}"/>
            </a:ext>
          </a:extLst>
        </xdr:cNvPr>
        <xdr:cNvSpPr txBox="1"/>
      </xdr:nvSpPr>
      <xdr:spPr>
        <a:xfrm>
          <a:off x="6677025" y="750093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70" name="TextBox 69">
          <a:extLst>
            <a:ext uri="{FF2B5EF4-FFF2-40B4-BE49-F238E27FC236}">
              <a16:creationId xmlns:a16="http://schemas.microsoft.com/office/drawing/2014/main" id="{09BAD1CC-593D-48FC-9413-3CA733AD507C}"/>
            </a:ext>
          </a:extLst>
        </xdr:cNvPr>
        <xdr:cNvSpPr txBox="1"/>
      </xdr:nvSpPr>
      <xdr:spPr>
        <a:xfrm>
          <a:off x="6677025" y="750093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71" name="TextBox 70">
          <a:extLst>
            <a:ext uri="{FF2B5EF4-FFF2-40B4-BE49-F238E27FC236}">
              <a16:creationId xmlns:a16="http://schemas.microsoft.com/office/drawing/2014/main" id="{E4038CAA-7091-48C5-BB86-C593F1DEEACD}"/>
            </a:ext>
          </a:extLst>
        </xdr:cNvPr>
        <xdr:cNvSpPr txBox="1"/>
      </xdr:nvSpPr>
      <xdr:spPr>
        <a:xfrm>
          <a:off x="6677025" y="750093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72" name="TextBox 71">
          <a:extLst>
            <a:ext uri="{FF2B5EF4-FFF2-40B4-BE49-F238E27FC236}">
              <a16:creationId xmlns:a16="http://schemas.microsoft.com/office/drawing/2014/main" id="{5A9EC2A8-F7AA-4654-8FEE-E9028DEBEFCB}"/>
            </a:ext>
          </a:extLst>
        </xdr:cNvPr>
        <xdr:cNvSpPr txBox="1"/>
      </xdr:nvSpPr>
      <xdr:spPr>
        <a:xfrm>
          <a:off x="6677025" y="750093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73" name="TextBox 72">
          <a:extLst>
            <a:ext uri="{FF2B5EF4-FFF2-40B4-BE49-F238E27FC236}">
              <a16:creationId xmlns:a16="http://schemas.microsoft.com/office/drawing/2014/main" id="{A5B4E044-72A1-44ED-BA6A-3AB945342681}"/>
            </a:ext>
          </a:extLst>
        </xdr:cNvPr>
        <xdr:cNvSpPr txBox="1"/>
      </xdr:nvSpPr>
      <xdr:spPr>
        <a:xfrm>
          <a:off x="6677025" y="750093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74" name="TextBox 73">
          <a:extLst>
            <a:ext uri="{FF2B5EF4-FFF2-40B4-BE49-F238E27FC236}">
              <a16:creationId xmlns:a16="http://schemas.microsoft.com/office/drawing/2014/main" id="{7663AFB7-F56E-47BE-974B-BB332CCA7B17}"/>
            </a:ext>
          </a:extLst>
        </xdr:cNvPr>
        <xdr:cNvSpPr txBox="1"/>
      </xdr:nvSpPr>
      <xdr:spPr>
        <a:xfrm>
          <a:off x="6677025" y="788193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75" name="TextBox 74">
          <a:extLst>
            <a:ext uri="{FF2B5EF4-FFF2-40B4-BE49-F238E27FC236}">
              <a16:creationId xmlns:a16="http://schemas.microsoft.com/office/drawing/2014/main" id="{56E178B5-77F0-48BA-9657-91D03FC48DCB}"/>
            </a:ext>
          </a:extLst>
        </xdr:cNvPr>
        <xdr:cNvSpPr txBox="1"/>
      </xdr:nvSpPr>
      <xdr:spPr>
        <a:xfrm>
          <a:off x="6677025" y="788193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76" name="TextBox 75">
          <a:extLst>
            <a:ext uri="{FF2B5EF4-FFF2-40B4-BE49-F238E27FC236}">
              <a16:creationId xmlns:a16="http://schemas.microsoft.com/office/drawing/2014/main" id="{CD41E276-D95B-4D59-AE93-01E327A32548}"/>
            </a:ext>
          </a:extLst>
        </xdr:cNvPr>
        <xdr:cNvSpPr txBox="1"/>
      </xdr:nvSpPr>
      <xdr:spPr>
        <a:xfrm>
          <a:off x="6677025" y="788193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77" name="TextBox 76">
          <a:extLst>
            <a:ext uri="{FF2B5EF4-FFF2-40B4-BE49-F238E27FC236}">
              <a16:creationId xmlns:a16="http://schemas.microsoft.com/office/drawing/2014/main" id="{C609A2EB-F39A-4DCC-8F4E-1CFE42F2A26D}"/>
            </a:ext>
          </a:extLst>
        </xdr:cNvPr>
        <xdr:cNvSpPr txBox="1"/>
      </xdr:nvSpPr>
      <xdr:spPr>
        <a:xfrm>
          <a:off x="6677025" y="788193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78" name="TextBox 77">
          <a:extLst>
            <a:ext uri="{FF2B5EF4-FFF2-40B4-BE49-F238E27FC236}">
              <a16:creationId xmlns:a16="http://schemas.microsoft.com/office/drawing/2014/main" id="{DB4D7AC2-99F5-4555-AA8F-3F833A9AADA8}"/>
            </a:ext>
          </a:extLst>
        </xdr:cNvPr>
        <xdr:cNvSpPr txBox="1"/>
      </xdr:nvSpPr>
      <xdr:spPr>
        <a:xfrm>
          <a:off x="6677025" y="788193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79" name="TextBox 78">
          <a:extLst>
            <a:ext uri="{FF2B5EF4-FFF2-40B4-BE49-F238E27FC236}">
              <a16:creationId xmlns:a16="http://schemas.microsoft.com/office/drawing/2014/main" id="{28EA5A93-ED1C-4522-A1CA-B9036ECC41EF}"/>
            </a:ext>
          </a:extLst>
        </xdr:cNvPr>
        <xdr:cNvSpPr txBox="1"/>
      </xdr:nvSpPr>
      <xdr:spPr>
        <a:xfrm>
          <a:off x="6677025" y="788193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80" name="TextBox 79">
          <a:extLst>
            <a:ext uri="{FF2B5EF4-FFF2-40B4-BE49-F238E27FC236}">
              <a16:creationId xmlns:a16="http://schemas.microsoft.com/office/drawing/2014/main" id="{D7396FA0-EF86-42B1-AA86-5C6C4C2C10D9}"/>
            </a:ext>
          </a:extLst>
        </xdr:cNvPr>
        <xdr:cNvSpPr txBox="1"/>
      </xdr:nvSpPr>
      <xdr:spPr>
        <a:xfrm>
          <a:off x="6677025" y="788193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81" name="TextBox 80">
          <a:extLst>
            <a:ext uri="{FF2B5EF4-FFF2-40B4-BE49-F238E27FC236}">
              <a16:creationId xmlns:a16="http://schemas.microsoft.com/office/drawing/2014/main" id="{ADC77D21-F1EB-4D49-9DAF-E5FD91FC0306}"/>
            </a:ext>
          </a:extLst>
        </xdr:cNvPr>
        <xdr:cNvSpPr txBox="1"/>
      </xdr:nvSpPr>
      <xdr:spPr>
        <a:xfrm>
          <a:off x="6677025" y="788193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82" name="TextBox 81">
          <a:extLst>
            <a:ext uri="{FF2B5EF4-FFF2-40B4-BE49-F238E27FC236}">
              <a16:creationId xmlns:a16="http://schemas.microsoft.com/office/drawing/2014/main" id="{2A62CEE8-11A7-49A7-9C69-7626D6C35F51}"/>
            </a:ext>
          </a:extLst>
        </xdr:cNvPr>
        <xdr:cNvSpPr txBox="1"/>
      </xdr:nvSpPr>
      <xdr:spPr>
        <a:xfrm>
          <a:off x="6677025" y="788193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83" name="TextBox 82">
          <a:extLst>
            <a:ext uri="{FF2B5EF4-FFF2-40B4-BE49-F238E27FC236}">
              <a16:creationId xmlns:a16="http://schemas.microsoft.com/office/drawing/2014/main" id="{82944A0D-5789-4B43-AEB2-8604B5ACE2F2}"/>
            </a:ext>
          </a:extLst>
        </xdr:cNvPr>
        <xdr:cNvSpPr txBox="1"/>
      </xdr:nvSpPr>
      <xdr:spPr>
        <a:xfrm>
          <a:off x="6677025" y="788193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84" name="TextBox 83">
          <a:extLst>
            <a:ext uri="{FF2B5EF4-FFF2-40B4-BE49-F238E27FC236}">
              <a16:creationId xmlns:a16="http://schemas.microsoft.com/office/drawing/2014/main" id="{E038C2BE-DF9A-4585-BBC8-0CFE9A716B80}"/>
            </a:ext>
          </a:extLst>
        </xdr:cNvPr>
        <xdr:cNvSpPr txBox="1"/>
      </xdr:nvSpPr>
      <xdr:spPr>
        <a:xfrm>
          <a:off x="6677025" y="826293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85" name="TextBox 84">
          <a:extLst>
            <a:ext uri="{FF2B5EF4-FFF2-40B4-BE49-F238E27FC236}">
              <a16:creationId xmlns:a16="http://schemas.microsoft.com/office/drawing/2014/main" id="{6307D3CA-BFB4-4FD8-8C0F-4565C3B06F4C}"/>
            </a:ext>
          </a:extLst>
        </xdr:cNvPr>
        <xdr:cNvSpPr txBox="1"/>
      </xdr:nvSpPr>
      <xdr:spPr>
        <a:xfrm>
          <a:off x="6677025" y="826293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86" name="TextBox 85">
          <a:extLst>
            <a:ext uri="{FF2B5EF4-FFF2-40B4-BE49-F238E27FC236}">
              <a16:creationId xmlns:a16="http://schemas.microsoft.com/office/drawing/2014/main" id="{6C50EEAA-5A79-4F89-BA72-A7DC7FFE117B}"/>
            </a:ext>
          </a:extLst>
        </xdr:cNvPr>
        <xdr:cNvSpPr txBox="1"/>
      </xdr:nvSpPr>
      <xdr:spPr>
        <a:xfrm>
          <a:off x="6677025" y="826293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87" name="TextBox 86">
          <a:extLst>
            <a:ext uri="{FF2B5EF4-FFF2-40B4-BE49-F238E27FC236}">
              <a16:creationId xmlns:a16="http://schemas.microsoft.com/office/drawing/2014/main" id="{5D306B2A-224F-45D7-866D-D4A80B9A100E}"/>
            </a:ext>
          </a:extLst>
        </xdr:cNvPr>
        <xdr:cNvSpPr txBox="1"/>
      </xdr:nvSpPr>
      <xdr:spPr>
        <a:xfrm>
          <a:off x="6677025" y="826293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88" name="TextBox 87">
          <a:extLst>
            <a:ext uri="{FF2B5EF4-FFF2-40B4-BE49-F238E27FC236}">
              <a16:creationId xmlns:a16="http://schemas.microsoft.com/office/drawing/2014/main" id="{83B4CB2B-20D5-42F4-9EED-E3725F563012}"/>
            </a:ext>
          </a:extLst>
        </xdr:cNvPr>
        <xdr:cNvSpPr txBox="1"/>
      </xdr:nvSpPr>
      <xdr:spPr>
        <a:xfrm>
          <a:off x="6677025" y="826293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89" name="TextBox 88">
          <a:extLst>
            <a:ext uri="{FF2B5EF4-FFF2-40B4-BE49-F238E27FC236}">
              <a16:creationId xmlns:a16="http://schemas.microsoft.com/office/drawing/2014/main" id="{315A7A3A-2F75-41EF-9264-B50042BF84E4}"/>
            </a:ext>
          </a:extLst>
        </xdr:cNvPr>
        <xdr:cNvSpPr txBox="1"/>
      </xdr:nvSpPr>
      <xdr:spPr>
        <a:xfrm>
          <a:off x="6677025" y="826293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90" name="TextBox 89">
          <a:extLst>
            <a:ext uri="{FF2B5EF4-FFF2-40B4-BE49-F238E27FC236}">
              <a16:creationId xmlns:a16="http://schemas.microsoft.com/office/drawing/2014/main" id="{31B3510B-6C61-4450-A33D-A8E076F97954}"/>
            </a:ext>
          </a:extLst>
        </xdr:cNvPr>
        <xdr:cNvSpPr txBox="1"/>
      </xdr:nvSpPr>
      <xdr:spPr>
        <a:xfrm>
          <a:off x="6677025" y="826293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91" name="TextBox 90">
          <a:extLst>
            <a:ext uri="{FF2B5EF4-FFF2-40B4-BE49-F238E27FC236}">
              <a16:creationId xmlns:a16="http://schemas.microsoft.com/office/drawing/2014/main" id="{18EE88AE-E17A-402B-B14F-D337D67C82A1}"/>
            </a:ext>
          </a:extLst>
        </xdr:cNvPr>
        <xdr:cNvSpPr txBox="1"/>
      </xdr:nvSpPr>
      <xdr:spPr>
        <a:xfrm>
          <a:off x="6677025" y="826293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92" name="TextBox 91">
          <a:extLst>
            <a:ext uri="{FF2B5EF4-FFF2-40B4-BE49-F238E27FC236}">
              <a16:creationId xmlns:a16="http://schemas.microsoft.com/office/drawing/2014/main" id="{37AE585D-B001-471E-9423-447DB063815E}"/>
            </a:ext>
          </a:extLst>
        </xdr:cNvPr>
        <xdr:cNvSpPr txBox="1"/>
      </xdr:nvSpPr>
      <xdr:spPr>
        <a:xfrm>
          <a:off x="6677025" y="826293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93" name="TextBox 92">
          <a:extLst>
            <a:ext uri="{FF2B5EF4-FFF2-40B4-BE49-F238E27FC236}">
              <a16:creationId xmlns:a16="http://schemas.microsoft.com/office/drawing/2014/main" id="{24A9710C-A240-4494-8CB1-319F1619BE62}"/>
            </a:ext>
          </a:extLst>
        </xdr:cNvPr>
        <xdr:cNvSpPr txBox="1"/>
      </xdr:nvSpPr>
      <xdr:spPr>
        <a:xfrm>
          <a:off x="6677025" y="826293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94" name="TextBox 93">
          <a:extLst>
            <a:ext uri="{FF2B5EF4-FFF2-40B4-BE49-F238E27FC236}">
              <a16:creationId xmlns:a16="http://schemas.microsoft.com/office/drawing/2014/main" id="{983D310A-EAA8-4F6D-9F86-0E0BCE1C732B}"/>
            </a:ext>
          </a:extLst>
        </xdr:cNvPr>
        <xdr:cNvSpPr txBox="1"/>
      </xdr:nvSpPr>
      <xdr:spPr>
        <a:xfrm>
          <a:off x="6677025" y="864393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95" name="TextBox 94">
          <a:extLst>
            <a:ext uri="{FF2B5EF4-FFF2-40B4-BE49-F238E27FC236}">
              <a16:creationId xmlns:a16="http://schemas.microsoft.com/office/drawing/2014/main" id="{2CCBC183-7ECE-47F0-8F39-0532021EF6EB}"/>
            </a:ext>
          </a:extLst>
        </xdr:cNvPr>
        <xdr:cNvSpPr txBox="1"/>
      </xdr:nvSpPr>
      <xdr:spPr>
        <a:xfrm>
          <a:off x="6677025" y="864393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96" name="TextBox 95">
          <a:extLst>
            <a:ext uri="{FF2B5EF4-FFF2-40B4-BE49-F238E27FC236}">
              <a16:creationId xmlns:a16="http://schemas.microsoft.com/office/drawing/2014/main" id="{4E0BCB9B-20CE-4903-945F-375C79F38E14}"/>
            </a:ext>
          </a:extLst>
        </xdr:cNvPr>
        <xdr:cNvSpPr txBox="1"/>
      </xdr:nvSpPr>
      <xdr:spPr>
        <a:xfrm>
          <a:off x="6677025" y="864393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97" name="TextBox 96">
          <a:extLst>
            <a:ext uri="{FF2B5EF4-FFF2-40B4-BE49-F238E27FC236}">
              <a16:creationId xmlns:a16="http://schemas.microsoft.com/office/drawing/2014/main" id="{DA2DECF6-8149-4475-BAC7-8A5CED01AE0F}"/>
            </a:ext>
          </a:extLst>
        </xdr:cNvPr>
        <xdr:cNvSpPr txBox="1"/>
      </xdr:nvSpPr>
      <xdr:spPr>
        <a:xfrm>
          <a:off x="6677025" y="864393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98" name="TextBox 97">
          <a:extLst>
            <a:ext uri="{FF2B5EF4-FFF2-40B4-BE49-F238E27FC236}">
              <a16:creationId xmlns:a16="http://schemas.microsoft.com/office/drawing/2014/main" id="{72D3726E-031F-429F-8665-C7F929653E0C}"/>
            </a:ext>
          </a:extLst>
        </xdr:cNvPr>
        <xdr:cNvSpPr txBox="1"/>
      </xdr:nvSpPr>
      <xdr:spPr>
        <a:xfrm>
          <a:off x="6677025" y="864393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99" name="TextBox 98">
          <a:extLst>
            <a:ext uri="{FF2B5EF4-FFF2-40B4-BE49-F238E27FC236}">
              <a16:creationId xmlns:a16="http://schemas.microsoft.com/office/drawing/2014/main" id="{BBF5D021-B122-4B13-A05C-F670F082007B}"/>
            </a:ext>
          </a:extLst>
        </xdr:cNvPr>
        <xdr:cNvSpPr txBox="1"/>
      </xdr:nvSpPr>
      <xdr:spPr>
        <a:xfrm>
          <a:off x="6677025" y="864393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100" name="TextBox 99">
          <a:extLst>
            <a:ext uri="{FF2B5EF4-FFF2-40B4-BE49-F238E27FC236}">
              <a16:creationId xmlns:a16="http://schemas.microsoft.com/office/drawing/2014/main" id="{072E2005-5C2B-4C03-BEE9-F5D6AC637C5B}"/>
            </a:ext>
          </a:extLst>
        </xdr:cNvPr>
        <xdr:cNvSpPr txBox="1"/>
      </xdr:nvSpPr>
      <xdr:spPr>
        <a:xfrm>
          <a:off x="6677025" y="864393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101" name="TextBox 100">
          <a:extLst>
            <a:ext uri="{FF2B5EF4-FFF2-40B4-BE49-F238E27FC236}">
              <a16:creationId xmlns:a16="http://schemas.microsoft.com/office/drawing/2014/main" id="{9A71CAF2-F246-42C0-B119-4540C7F9A6E9}"/>
            </a:ext>
          </a:extLst>
        </xdr:cNvPr>
        <xdr:cNvSpPr txBox="1"/>
      </xdr:nvSpPr>
      <xdr:spPr>
        <a:xfrm>
          <a:off x="6677025" y="864393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102" name="TextBox 101">
          <a:extLst>
            <a:ext uri="{FF2B5EF4-FFF2-40B4-BE49-F238E27FC236}">
              <a16:creationId xmlns:a16="http://schemas.microsoft.com/office/drawing/2014/main" id="{92EB7DA7-91BF-424A-8D6B-949DB673CA5D}"/>
            </a:ext>
          </a:extLst>
        </xdr:cNvPr>
        <xdr:cNvSpPr txBox="1"/>
      </xdr:nvSpPr>
      <xdr:spPr>
        <a:xfrm>
          <a:off x="6677025" y="864393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103" name="TextBox 102">
          <a:extLst>
            <a:ext uri="{FF2B5EF4-FFF2-40B4-BE49-F238E27FC236}">
              <a16:creationId xmlns:a16="http://schemas.microsoft.com/office/drawing/2014/main" id="{F684FA46-01E3-48B8-8215-77A7FE730FF3}"/>
            </a:ext>
          </a:extLst>
        </xdr:cNvPr>
        <xdr:cNvSpPr txBox="1"/>
      </xdr:nvSpPr>
      <xdr:spPr>
        <a:xfrm>
          <a:off x="6677025" y="864393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104" name="TextBox 103">
          <a:extLst>
            <a:ext uri="{FF2B5EF4-FFF2-40B4-BE49-F238E27FC236}">
              <a16:creationId xmlns:a16="http://schemas.microsoft.com/office/drawing/2014/main" id="{3F8441A4-E0BE-4584-A00F-AD3BA694EEE5}"/>
            </a:ext>
          </a:extLst>
        </xdr:cNvPr>
        <xdr:cNvSpPr txBox="1"/>
      </xdr:nvSpPr>
      <xdr:spPr>
        <a:xfrm>
          <a:off x="6019800" y="216693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105" name="TextBox 104">
          <a:extLst>
            <a:ext uri="{FF2B5EF4-FFF2-40B4-BE49-F238E27FC236}">
              <a16:creationId xmlns:a16="http://schemas.microsoft.com/office/drawing/2014/main" id="{64AAB7A3-1647-4045-A552-73D89489F846}"/>
            </a:ext>
          </a:extLst>
        </xdr:cNvPr>
        <xdr:cNvSpPr txBox="1"/>
      </xdr:nvSpPr>
      <xdr:spPr>
        <a:xfrm>
          <a:off x="6019800" y="254793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106" name="TextBox 105">
          <a:extLst>
            <a:ext uri="{FF2B5EF4-FFF2-40B4-BE49-F238E27FC236}">
              <a16:creationId xmlns:a16="http://schemas.microsoft.com/office/drawing/2014/main" id="{D90EDE14-0B3C-4F96-818C-0622852E2B86}"/>
            </a:ext>
          </a:extLst>
        </xdr:cNvPr>
        <xdr:cNvSpPr txBox="1"/>
      </xdr:nvSpPr>
      <xdr:spPr>
        <a:xfrm>
          <a:off x="6019800" y="216693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107" name="TextBox 106">
          <a:extLst>
            <a:ext uri="{FF2B5EF4-FFF2-40B4-BE49-F238E27FC236}">
              <a16:creationId xmlns:a16="http://schemas.microsoft.com/office/drawing/2014/main" id="{FFAC3764-9A0D-4E9F-8FCF-BEDC1094AF94}"/>
            </a:ext>
          </a:extLst>
        </xdr:cNvPr>
        <xdr:cNvSpPr txBox="1"/>
      </xdr:nvSpPr>
      <xdr:spPr>
        <a:xfrm>
          <a:off x="6019800" y="254793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108" name="TextBox 107">
          <a:extLst>
            <a:ext uri="{FF2B5EF4-FFF2-40B4-BE49-F238E27FC236}">
              <a16:creationId xmlns:a16="http://schemas.microsoft.com/office/drawing/2014/main" id="{ABFC130D-B770-47B5-85C3-48263D81E62E}"/>
            </a:ext>
          </a:extLst>
        </xdr:cNvPr>
        <xdr:cNvSpPr txBox="1"/>
      </xdr:nvSpPr>
      <xdr:spPr>
        <a:xfrm>
          <a:off x="6019800" y="254793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3</xdr:row>
      <xdr:rowOff>252412</xdr:rowOff>
    </xdr:from>
    <xdr:ext cx="65" cy="172227"/>
    <xdr:sp macro="" textlink="">
      <xdr:nvSpPr>
        <xdr:cNvPr id="109" name="TextBox 108">
          <a:extLst>
            <a:ext uri="{FF2B5EF4-FFF2-40B4-BE49-F238E27FC236}">
              <a16:creationId xmlns:a16="http://schemas.microsoft.com/office/drawing/2014/main" id="{8EE57233-E445-41D5-9F34-F4690AB86C1E}"/>
            </a:ext>
          </a:extLst>
        </xdr:cNvPr>
        <xdr:cNvSpPr txBox="1"/>
      </xdr:nvSpPr>
      <xdr:spPr>
        <a:xfrm>
          <a:off x="6248400" y="140493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4</xdr:row>
      <xdr:rowOff>252412</xdr:rowOff>
    </xdr:from>
    <xdr:ext cx="65" cy="172227"/>
    <xdr:sp macro="" textlink="">
      <xdr:nvSpPr>
        <xdr:cNvPr id="110" name="TextBox 109">
          <a:extLst>
            <a:ext uri="{FF2B5EF4-FFF2-40B4-BE49-F238E27FC236}">
              <a16:creationId xmlns:a16="http://schemas.microsoft.com/office/drawing/2014/main" id="{4C74D16C-8497-4D4A-83A8-2A2A471C9D7F}"/>
            </a:ext>
          </a:extLst>
        </xdr:cNvPr>
        <xdr:cNvSpPr txBox="1"/>
      </xdr:nvSpPr>
      <xdr:spPr>
        <a:xfrm>
          <a:off x="6248400" y="178593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111" name="TextBox 110">
          <a:extLst>
            <a:ext uri="{FF2B5EF4-FFF2-40B4-BE49-F238E27FC236}">
              <a16:creationId xmlns:a16="http://schemas.microsoft.com/office/drawing/2014/main" id="{2F3EAD20-3E8C-4E15-B9C0-9138CA92B778}"/>
            </a:ext>
          </a:extLst>
        </xdr:cNvPr>
        <xdr:cNvSpPr txBox="1"/>
      </xdr:nvSpPr>
      <xdr:spPr>
        <a:xfrm>
          <a:off x="7696200" y="270986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112" name="TextBox 111">
          <a:extLst>
            <a:ext uri="{FF2B5EF4-FFF2-40B4-BE49-F238E27FC236}">
              <a16:creationId xmlns:a16="http://schemas.microsoft.com/office/drawing/2014/main" id="{A623B4D5-6E10-427E-8E85-3A4384678146}"/>
            </a:ext>
          </a:extLst>
        </xdr:cNvPr>
        <xdr:cNvSpPr txBox="1"/>
      </xdr:nvSpPr>
      <xdr:spPr>
        <a:xfrm>
          <a:off x="7696200" y="270986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113" name="TextBox 112">
          <a:extLst>
            <a:ext uri="{FF2B5EF4-FFF2-40B4-BE49-F238E27FC236}">
              <a16:creationId xmlns:a16="http://schemas.microsoft.com/office/drawing/2014/main" id="{98557A90-0288-4543-866B-BEE7F15F2C88}"/>
            </a:ext>
          </a:extLst>
        </xdr:cNvPr>
        <xdr:cNvSpPr txBox="1"/>
      </xdr:nvSpPr>
      <xdr:spPr>
        <a:xfrm>
          <a:off x="7696200" y="270986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114" name="TextBox 113">
          <a:extLst>
            <a:ext uri="{FF2B5EF4-FFF2-40B4-BE49-F238E27FC236}">
              <a16:creationId xmlns:a16="http://schemas.microsoft.com/office/drawing/2014/main" id="{A52C1479-A514-4790-A27B-D9D3DA6E421F}"/>
            </a:ext>
          </a:extLst>
        </xdr:cNvPr>
        <xdr:cNvSpPr txBox="1"/>
      </xdr:nvSpPr>
      <xdr:spPr>
        <a:xfrm>
          <a:off x="7696200" y="270986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115" name="TextBox 114">
          <a:extLst>
            <a:ext uri="{FF2B5EF4-FFF2-40B4-BE49-F238E27FC236}">
              <a16:creationId xmlns:a16="http://schemas.microsoft.com/office/drawing/2014/main" id="{D4D9FD6F-5CD6-42C0-BF78-E006750F1B67}"/>
            </a:ext>
          </a:extLst>
        </xdr:cNvPr>
        <xdr:cNvSpPr txBox="1"/>
      </xdr:nvSpPr>
      <xdr:spPr>
        <a:xfrm>
          <a:off x="7696200" y="309086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116" name="TextBox 115">
          <a:extLst>
            <a:ext uri="{FF2B5EF4-FFF2-40B4-BE49-F238E27FC236}">
              <a16:creationId xmlns:a16="http://schemas.microsoft.com/office/drawing/2014/main" id="{08C4DD0C-D0B7-4701-802E-EEC2D4C7D186}"/>
            </a:ext>
          </a:extLst>
        </xdr:cNvPr>
        <xdr:cNvSpPr txBox="1"/>
      </xdr:nvSpPr>
      <xdr:spPr>
        <a:xfrm>
          <a:off x="7696200" y="270986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117" name="TextBox 116">
          <a:extLst>
            <a:ext uri="{FF2B5EF4-FFF2-40B4-BE49-F238E27FC236}">
              <a16:creationId xmlns:a16="http://schemas.microsoft.com/office/drawing/2014/main" id="{9344E86D-E8E3-40A6-8D90-A6B694A65E0D}"/>
            </a:ext>
          </a:extLst>
        </xdr:cNvPr>
        <xdr:cNvSpPr txBox="1"/>
      </xdr:nvSpPr>
      <xdr:spPr>
        <a:xfrm>
          <a:off x="7696200" y="309086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118" name="TextBox 117">
          <a:extLst>
            <a:ext uri="{FF2B5EF4-FFF2-40B4-BE49-F238E27FC236}">
              <a16:creationId xmlns:a16="http://schemas.microsoft.com/office/drawing/2014/main" id="{5FD3A794-3858-440E-8853-5CBDF00B6AFC}"/>
            </a:ext>
          </a:extLst>
        </xdr:cNvPr>
        <xdr:cNvSpPr txBox="1"/>
      </xdr:nvSpPr>
      <xdr:spPr>
        <a:xfrm>
          <a:off x="7696200" y="309086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13</xdr:col>
      <xdr:colOff>809625</xdr:colOff>
      <xdr:row>5</xdr:row>
      <xdr:rowOff>0</xdr:rowOff>
    </xdr:from>
    <xdr:ext cx="65" cy="172227"/>
    <xdr:sp macro="" textlink="">
      <xdr:nvSpPr>
        <xdr:cNvPr id="21" name="TextBox 20">
          <a:extLst>
            <a:ext uri="{FF2B5EF4-FFF2-40B4-BE49-F238E27FC236}">
              <a16:creationId xmlns:a16="http://schemas.microsoft.com/office/drawing/2014/main" id="{8FE1DCE9-E2D9-42E1-9988-91549487BC48}"/>
            </a:ext>
          </a:extLst>
        </xdr:cNvPr>
        <xdr:cNvSpPr txBox="1"/>
      </xdr:nvSpPr>
      <xdr:spPr>
        <a:xfrm>
          <a:off x="6972300" y="613886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13</xdr:col>
      <xdr:colOff>809625</xdr:colOff>
      <xdr:row>5</xdr:row>
      <xdr:rowOff>0</xdr:rowOff>
    </xdr:from>
    <xdr:ext cx="65" cy="172227"/>
    <xdr:sp macro="" textlink="">
      <xdr:nvSpPr>
        <xdr:cNvPr id="119" name="TextBox 118">
          <a:extLst>
            <a:ext uri="{FF2B5EF4-FFF2-40B4-BE49-F238E27FC236}">
              <a16:creationId xmlns:a16="http://schemas.microsoft.com/office/drawing/2014/main" id="{C79D835E-8E53-451F-BC34-FA12EA84DE5A}"/>
            </a:ext>
          </a:extLst>
        </xdr:cNvPr>
        <xdr:cNvSpPr txBox="1"/>
      </xdr:nvSpPr>
      <xdr:spPr>
        <a:xfrm>
          <a:off x="6972300" y="613886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13</xdr:col>
      <xdr:colOff>809625</xdr:colOff>
      <xdr:row>5</xdr:row>
      <xdr:rowOff>0</xdr:rowOff>
    </xdr:from>
    <xdr:ext cx="65" cy="172227"/>
    <xdr:sp macro="" textlink="">
      <xdr:nvSpPr>
        <xdr:cNvPr id="120" name="TextBox 119">
          <a:extLst>
            <a:ext uri="{FF2B5EF4-FFF2-40B4-BE49-F238E27FC236}">
              <a16:creationId xmlns:a16="http://schemas.microsoft.com/office/drawing/2014/main" id="{039F19C7-725F-4FF7-B7EF-10DE48982CE4}"/>
            </a:ext>
          </a:extLst>
        </xdr:cNvPr>
        <xdr:cNvSpPr txBox="1"/>
      </xdr:nvSpPr>
      <xdr:spPr>
        <a:xfrm>
          <a:off x="6972300" y="613886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13</xdr:col>
      <xdr:colOff>809625</xdr:colOff>
      <xdr:row>5</xdr:row>
      <xdr:rowOff>0</xdr:rowOff>
    </xdr:from>
    <xdr:ext cx="65" cy="172227"/>
    <xdr:sp macro="" textlink="">
      <xdr:nvSpPr>
        <xdr:cNvPr id="121" name="TextBox 120">
          <a:extLst>
            <a:ext uri="{FF2B5EF4-FFF2-40B4-BE49-F238E27FC236}">
              <a16:creationId xmlns:a16="http://schemas.microsoft.com/office/drawing/2014/main" id="{03DF1ECB-E4AC-45B2-98B5-A5A305578F22}"/>
            </a:ext>
          </a:extLst>
        </xdr:cNvPr>
        <xdr:cNvSpPr txBox="1"/>
      </xdr:nvSpPr>
      <xdr:spPr>
        <a:xfrm>
          <a:off x="6972300" y="613886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13</xdr:col>
      <xdr:colOff>809625</xdr:colOff>
      <xdr:row>5</xdr:row>
      <xdr:rowOff>0</xdr:rowOff>
    </xdr:from>
    <xdr:ext cx="65" cy="172227"/>
    <xdr:sp macro="" textlink="">
      <xdr:nvSpPr>
        <xdr:cNvPr id="122" name="TextBox 121">
          <a:extLst>
            <a:ext uri="{FF2B5EF4-FFF2-40B4-BE49-F238E27FC236}">
              <a16:creationId xmlns:a16="http://schemas.microsoft.com/office/drawing/2014/main" id="{D95FA9D3-B3A7-4086-A238-15266C77D855}"/>
            </a:ext>
          </a:extLst>
        </xdr:cNvPr>
        <xdr:cNvSpPr txBox="1"/>
      </xdr:nvSpPr>
      <xdr:spPr>
        <a:xfrm>
          <a:off x="6972300" y="651986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13</xdr:col>
      <xdr:colOff>809625</xdr:colOff>
      <xdr:row>5</xdr:row>
      <xdr:rowOff>0</xdr:rowOff>
    </xdr:from>
    <xdr:ext cx="65" cy="172227"/>
    <xdr:sp macro="" textlink="">
      <xdr:nvSpPr>
        <xdr:cNvPr id="123" name="TextBox 122">
          <a:extLst>
            <a:ext uri="{FF2B5EF4-FFF2-40B4-BE49-F238E27FC236}">
              <a16:creationId xmlns:a16="http://schemas.microsoft.com/office/drawing/2014/main" id="{0BF2B77E-8F31-4541-BAD4-AE8006854559}"/>
            </a:ext>
          </a:extLst>
        </xdr:cNvPr>
        <xdr:cNvSpPr txBox="1"/>
      </xdr:nvSpPr>
      <xdr:spPr>
        <a:xfrm>
          <a:off x="6972300" y="651986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13</xdr:col>
      <xdr:colOff>809625</xdr:colOff>
      <xdr:row>5</xdr:row>
      <xdr:rowOff>0</xdr:rowOff>
    </xdr:from>
    <xdr:ext cx="65" cy="172227"/>
    <xdr:sp macro="" textlink="">
      <xdr:nvSpPr>
        <xdr:cNvPr id="124" name="TextBox 123">
          <a:extLst>
            <a:ext uri="{FF2B5EF4-FFF2-40B4-BE49-F238E27FC236}">
              <a16:creationId xmlns:a16="http://schemas.microsoft.com/office/drawing/2014/main" id="{0304E162-AA19-4D7A-A7B2-CC8FE19261AA}"/>
            </a:ext>
          </a:extLst>
        </xdr:cNvPr>
        <xdr:cNvSpPr txBox="1"/>
      </xdr:nvSpPr>
      <xdr:spPr>
        <a:xfrm>
          <a:off x="6972300" y="651986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13</xdr:col>
      <xdr:colOff>809625</xdr:colOff>
      <xdr:row>5</xdr:row>
      <xdr:rowOff>0</xdr:rowOff>
    </xdr:from>
    <xdr:ext cx="65" cy="172227"/>
    <xdr:sp macro="" textlink="">
      <xdr:nvSpPr>
        <xdr:cNvPr id="125" name="TextBox 124">
          <a:extLst>
            <a:ext uri="{FF2B5EF4-FFF2-40B4-BE49-F238E27FC236}">
              <a16:creationId xmlns:a16="http://schemas.microsoft.com/office/drawing/2014/main" id="{8504E6A2-F248-445F-9908-A7976965C835}"/>
            </a:ext>
          </a:extLst>
        </xdr:cNvPr>
        <xdr:cNvSpPr txBox="1"/>
      </xdr:nvSpPr>
      <xdr:spPr>
        <a:xfrm>
          <a:off x="6972300" y="651986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13</xdr:col>
      <xdr:colOff>809625</xdr:colOff>
      <xdr:row>5</xdr:row>
      <xdr:rowOff>0</xdr:rowOff>
    </xdr:from>
    <xdr:ext cx="65" cy="172227"/>
    <xdr:sp macro="" textlink="">
      <xdr:nvSpPr>
        <xdr:cNvPr id="126" name="TextBox 125">
          <a:extLst>
            <a:ext uri="{FF2B5EF4-FFF2-40B4-BE49-F238E27FC236}">
              <a16:creationId xmlns:a16="http://schemas.microsoft.com/office/drawing/2014/main" id="{37763FC5-ECDA-4BE1-BF84-A7D31DA5DF91}"/>
            </a:ext>
          </a:extLst>
        </xdr:cNvPr>
        <xdr:cNvSpPr txBox="1"/>
      </xdr:nvSpPr>
      <xdr:spPr>
        <a:xfrm>
          <a:off x="6972300" y="651986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13</xdr:col>
      <xdr:colOff>809625</xdr:colOff>
      <xdr:row>5</xdr:row>
      <xdr:rowOff>0</xdr:rowOff>
    </xdr:from>
    <xdr:ext cx="65" cy="172227"/>
    <xdr:sp macro="" textlink="">
      <xdr:nvSpPr>
        <xdr:cNvPr id="127" name="TextBox 126">
          <a:extLst>
            <a:ext uri="{FF2B5EF4-FFF2-40B4-BE49-F238E27FC236}">
              <a16:creationId xmlns:a16="http://schemas.microsoft.com/office/drawing/2014/main" id="{406B5DFB-EC20-49EE-ABB1-34AD50836B9A}"/>
            </a:ext>
          </a:extLst>
        </xdr:cNvPr>
        <xdr:cNvSpPr txBox="1"/>
      </xdr:nvSpPr>
      <xdr:spPr>
        <a:xfrm>
          <a:off x="9163050" y="613886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13</xdr:col>
      <xdr:colOff>809625</xdr:colOff>
      <xdr:row>5</xdr:row>
      <xdr:rowOff>0</xdr:rowOff>
    </xdr:from>
    <xdr:ext cx="65" cy="172227"/>
    <xdr:sp macro="" textlink="">
      <xdr:nvSpPr>
        <xdr:cNvPr id="128" name="TextBox 127">
          <a:extLst>
            <a:ext uri="{FF2B5EF4-FFF2-40B4-BE49-F238E27FC236}">
              <a16:creationId xmlns:a16="http://schemas.microsoft.com/office/drawing/2014/main" id="{D28CFDCA-02C2-4B2D-87EC-8E15FEC819F1}"/>
            </a:ext>
          </a:extLst>
        </xdr:cNvPr>
        <xdr:cNvSpPr txBox="1"/>
      </xdr:nvSpPr>
      <xdr:spPr>
        <a:xfrm>
          <a:off x="9163050" y="613886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13</xdr:col>
      <xdr:colOff>809625</xdr:colOff>
      <xdr:row>5</xdr:row>
      <xdr:rowOff>0</xdr:rowOff>
    </xdr:from>
    <xdr:ext cx="65" cy="172227"/>
    <xdr:sp macro="" textlink="">
      <xdr:nvSpPr>
        <xdr:cNvPr id="129" name="TextBox 128">
          <a:extLst>
            <a:ext uri="{FF2B5EF4-FFF2-40B4-BE49-F238E27FC236}">
              <a16:creationId xmlns:a16="http://schemas.microsoft.com/office/drawing/2014/main" id="{47A4EE90-8FFF-4D27-8871-BC805AE04D15}"/>
            </a:ext>
          </a:extLst>
        </xdr:cNvPr>
        <xdr:cNvSpPr txBox="1"/>
      </xdr:nvSpPr>
      <xdr:spPr>
        <a:xfrm>
          <a:off x="9163050" y="613886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13</xdr:col>
      <xdr:colOff>809625</xdr:colOff>
      <xdr:row>5</xdr:row>
      <xdr:rowOff>0</xdr:rowOff>
    </xdr:from>
    <xdr:ext cx="65" cy="172227"/>
    <xdr:sp macro="" textlink="">
      <xdr:nvSpPr>
        <xdr:cNvPr id="130" name="TextBox 129">
          <a:extLst>
            <a:ext uri="{FF2B5EF4-FFF2-40B4-BE49-F238E27FC236}">
              <a16:creationId xmlns:a16="http://schemas.microsoft.com/office/drawing/2014/main" id="{1CD8B4BA-4D65-4573-A6F0-282AC49BD1EB}"/>
            </a:ext>
          </a:extLst>
        </xdr:cNvPr>
        <xdr:cNvSpPr txBox="1"/>
      </xdr:nvSpPr>
      <xdr:spPr>
        <a:xfrm>
          <a:off x="9163050" y="613886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13</xdr:col>
      <xdr:colOff>809625</xdr:colOff>
      <xdr:row>5</xdr:row>
      <xdr:rowOff>0</xdr:rowOff>
    </xdr:from>
    <xdr:ext cx="65" cy="172227"/>
    <xdr:sp macro="" textlink="">
      <xdr:nvSpPr>
        <xdr:cNvPr id="131" name="TextBox 130">
          <a:extLst>
            <a:ext uri="{FF2B5EF4-FFF2-40B4-BE49-F238E27FC236}">
              <a16:creationId xmlns:a16="http://schemas.microsoft.com/office/drawing/2014/main" id="{C6AF108D-2DFE-4B97-B55C-95679FE4B3CA}"/>
            </a:ext>
          </a:extLst>
        </xdr:cNvPr>
        <xdr:cNvSpPr txBox="1"/>
      </xdr:nvSpPr>
      <xdr:spPr>
        <a:xfrm>
          <a:off x="9163050" y="613886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0</xdr:col>
      <xdr:colOff>809625</xdr:colOff>
      <xdr:row>5</xdr:row>
      <xdr:rowOff>0</xdr:rowOff>
    </xdr:from>
    <xdr:ext cx="65" cy="172227"/>
    <xdr:sp macro="" textlink="">
      <xdr:nvSpPr>
        <xdr:cNvPr id="132" name="TextBox 131">
          <a:extLst>
            <a:ext uri="{FF2B5EF4-FFF2-40B4-BE49-F238E27FC236}">
              <a16:creationId xmlns:a16="http://schemas.microsoft.com/office/drawing/2014/main" id="{2AF1040D-C0C9-4185-B481-3C0B10AE3480}"/>
            </a:ext>
          </a:extLst>
        </xdr:cNvPr>
        <xdr:cNvSpPr txBox="1"/>
      </xdr:nvSpPr>
      <xdr:spPr>
        <a:xfrm>
          <a:off x="9315450" y="613886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0</xdr:col>
      <xdr:colOff>809625</xdr:colOff>
      <xdr:row>5</xdr:row>
      <xdr:rowOff>0</xdr:rowOff>
    </xdr:from>
    <xdr:ext cx="65" cy="172227"/>
    <xdr:sp macro="" textlink="">
      <xdr:nvSpPr>
        <xdr:cNvPr id="133" name="TextBox 132">
          <a:extLst>
            <a:ext uri="{FF2B5EF4-FFF2-40B4-BE49-F238E27FC236}">
              <a16:creationId xmlns:a16="http://schemas.microsoft.com/office/drawing/2014/main" id="{B0F83EC8-A627-46A8-865A-C06D984A4EED}"/>
            </a:ext>
          </a:extLst>
        </xdr:cNvPr>
        <xdr:cNvSpPr txBox="1"/>
      </xdr:nvSpPr>
      <xdr:spPr>
        <a:xfrm>
          <a:off x="9315450" y="613886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0</xdr:col>
      <xdr:colOff>809625</xdr:colOff>
      <xdr:row>5</xdr:row>
      <xdr:rowOff>0</xdr:rowOff>
    </xdr:from>
    <xdr:ext cx="65" cy="172227"/>
    <xdr:sp macro="" textlink="">
      <xdr:nvSpPr>
        <xdr:cNvPr id="134" name="TextBox 133">
          <a:extLst>
            <a:ext uri="{FF2B5EF4-FFF2-40B4-BE49-F238E27FC236}">
              <a16:creationId xmlns:a16="http://schemas.microsoft.com/office/drawing/2014/main" id="{FF8D47A4-70AA-4739-AE7F-7E4B71EB8C05}"/>
            </a:ext>
          </a:extLst>
        </xdr:cNvPr>
        <xdr:cNvSpPr txBox="1"/>
      </xdr:nvSpPr>
      <xdr:spPr>
        <a:xfrm>
          <a:off x="9315450" y="613886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0</xdr:col>
      <xdr:colOff>809625</xdr:colOff>
      <xdr:row>5</xdr:row>
      <xdr:rowOff>0</xdr:rowOff>
    </xdr:from>
    <xdr:ext cx="65" cy="172227"/>
    <xdr:sp macro="" textlink="">
      <xdr:nvSpPr>
        <xdr:cNvPr id="135" name="TextBox 134">
          <a:extLst>
            <a:ext uri="{FF2B5EF4-FFF2-40B4-BE49-F238E27FC236}">
              <a16:creationId xmlns:a16="http://schemas.microsoft.com/office/drawing/2014/main" id="{3938D30F-449A-4195-9DD8-A46ED5CF63A7}"/>
            </a:ext>
          </a:extLst>
        </xdr:cNvPr>
        <xdr:cNvSpPr txBox="1"/>
      </xdr:nvSpPr>
      <xdr:spPr>
        <a:xfrm>
          <a:off x="9315450" y="613886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0</xdr:col>
      <xdr:colOff>809625</xdr:colOff>
      <xdr:row>5</xdr:row>
      <xdr:rowOff>0</xdr:rowOff>
    </xdr:from>
    <xdr:ext cx="65" cy="172227"/>
    <xdr:sp macro="" textlink="">
      <xdr:nvSpPr>
        <xdr:cNvPr id="136" name="TextBox 135">
          <a:extLst>
            <a:ext uri="{FF2B5EF4-FFF2-40B4-BE49-F238E27FC236}">
              <a16:creationId xmlns:a16="http://schemas.microsoft.com/office/drawing/2014/main" id="{C165B452-72CF-4E09-A4AE-867F01FF8776}"/>
            </a:ext>
          </a:extLst>
        </xdr:cNvPr>
        <xdr:cNvSpPr txBox="1"/>
      </xdr:nvSpPr>
      <xdr:spPr>
        <a:xfrm>
          <a:off x="9315450" y="613886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34" name="TextBox 33">
          <a:extLst>
            <a:ext uri="{FF2B5EF4-FFF2-40B4-BE49-F238E27FC236}">
              <a16:creationId xmlns:a16="http://schemas.microsoft.com/office/drawing/2014/main" id="{03A7A5F1-6F35-4125-ADB6-109AC57BA631}"/>
            </a:ext>
          </a:extLst>
        </xdr:cNvPr>
        <xdr:cNvSpPr txBox="1"/>
      </xdr:nvSpPr>
      <xdr:spPr>
        <a:xfrm>
          <a:off x="7305675" y="613886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35" name="TextBox 34">
          <a:extLst>
            <a:ext uri="{FF2B5EF4-FFF2-40B4-BE49-F238E27FC236}">
              <a16:creationId xmlns:a16="http://schemas.microsoft.com/office/drawing/2014/main" id="{7286F4BE-62C0-43AC-88AA-B938BA5665E7}"/>
            </a:ext>
          </a:extLst>
        </xdr:cNvPr>
        <xdr:cNvSpPr txBox="1"/>
      </xdr:nvSpPr>
      <xdr:spPr>
        <a:xfrm>
          <a:off x="7305675" y="613886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36" name="TextBox 35">
          <a:extLst>
            <a:ext uri="{FF2B5EF4-FFF2-40B4-BE49-F238E27FC236}">
              <a16:creationId xmlns:a16="http://schemas.microsoft.com/office/drawing/2014/main" id="{97154551-8839-4F50-B7DF-281D54FEFB8F}"/>
            </a:ext>
          </a:extLst>
        </xdr:cNvPr>
        <xdr:cNvSpPr txBox="1"/>
      </xdr:nvSpPr>
      <xdr:spPr>
        <a:xfrm>
          <a:off x="7305675" y="613886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37" name="TextBox 36">
          <a:extLst>
            <a:ext uri="{FF2B5EF4-FFF2-40B4-BE49-F238E27FC236}">
              <a16:creationId xmlns:a16="http://schemas.microsoft.com/office/drawing/2014/main" id="{40DB5E19-4E15-46C0-B2BF-99264C3018AC}"/>
            </a:ext>
          </a:extLst>
        </xdr:cNvPr>
        <xdr:cNvSpPr txBox="1"/>
      </xdr:nvSpPr>
      <xdr:spPr>
        <a:xfrm>
          <a:off x="7305675" y="613886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38" name="TextBox 37">
          <a:extLst>
            <a:ext uri="{FF2B5EF4-FFF2-40B4-BE49-F238E27FC236}">
              <a16:creationId xmlns:a16="http://schemas.microsoft.com/office/drawing/2014/main" id="{E8C830FB-C996-47DB-8A36-6F3C967AC56D}"/>
            </a:ext>
          </a:extLst>
        </xdr:cNvPr>
        <xdr:cNvSpPr txBox="1"/>
      </xdr:nvSpPr>
      <xdr:spPr>
        <a:xfrm>
          <a:off x="7305675" y="651986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39" name="TextBox 38">
          <a:extLst>
            <a:ext uri="{FF2B5EF4-FFF2-40B4-BE49-F238E27FC236}">
              <a16:creationId xmlns:a16="http://schemas.microsoft.com/office/drawing/2014/main" id="{EAE2F7A5-773B-4FC5-B7FB-AE76CF29446A}"/>
            </a:ext>
          </a:extLst>
        </xdr:cNvPr>
        <xdr:cNvSpPr txBox="1"/>
      </xdr:nvSpPr>
      <xdr:spPr>
        <a:xfrm>
          <a:off x="7305675" y="651986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40" name="TextBox 39">
          <a:extLst>
            <a:ext uri="{FF2B5EF4-FFF2-40B4-BE49-F238E27FC236}">
              <a16:creationId xmlns:a16="http://schemas.microsoft.com/office/drawing/2014/main" id="{308584CD-E9EB-4877-99A6-1C08CC076848}"/>
            </a:ext>
          </a:extLst>
        </xdr:cNvPr>
        <xdr:cNvSpPr txBox="1"/>
      </xdr:nvSpPr>
      <xdr:spPr>
        <a:xfrm>
          <a:off x="7305675" y="651986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41" name="TextBox 40">
          <a:extLst>
            <a:ext uri="{FF2B5EF4-FFF2-40B4-BE49-F238E27FC236}">
              <a16:creationId xmlns:a16="http://schemas.microsoft.com/office/drawing/2014/main" id="{95EAE0CE-5FD7-49E1-BA0D-35FC09C15610}"/>
            </a:ext>
          </a:extLst>
        </xdr:cNvPr>
        <xdr:cNvSpPr txBox="1"/>
      </xdr:nvSpPr>
      <xdr:spPr>
        <a:xfrm>
          <a:off x="7305675" y="651986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0</xdr:rowOff>
    </xdr:from>
    <xdr:ext cx="65" cy="172227"/>
    <xdr:sp macro="" textlink="">
      <xdr:nvSpPr>
        <xdr:cNvPr id="42" name="TextBox 41">
          <a:extLst>
            <a:ext uri="{FF2B5EF4-FFF2-40B4-BE49-F238E27FC236}">
              <a16:creationId xmlns:a16="http://schemas.microsoft.com/office/drawing/2014/main" id="{B30F28F6-D573-4F72-9908-10F4979B4E4A}"/>
            </a:ext>
          </a:extLst>
        </xdr:cNvPr>
        <xdr:cNvSpPr txBox="1"/>
      </xdr:nvSpPr>
      <xdr:spPr>
        <a:xfrm>
          <a:off x="7305675" y="651986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13</xdr:col>
      <xdr:colOff>809625</xdr:colOff>
      <xdr:row>5</xdr:row>
      <xdr:rowOff>0</xdr:rowOff>
    </xdr:from>
    <xdr:ext cx="65" cy="172227"/>
    <xdr:sp macro="" textlink="">
      <xdr:nvSpPr>
        <xdr:cNvPr id="43" name="TextBox 42">
          <a:extLst>
            <a:ext uri="{FF2B5EF4-FFF2-40B4-BE49-F238E27FC236}">
              <a16:creationId xmlns:a16="http://schemas.microsoft.com/office/drawing/2014/main" id="{8811C32E-1792-45FC-B24B-68236F172CFE}"/>
            </a:ext>
          </a:extLst>
        </xdr:cNvPr>
        <xdr:cNvSpPr txBox="1"/>
      </xdr:nvSpPr>
      <xdr:spPr>
        <a:xfrm>
          <a:off x="9620250" y="575786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13</xdr:col>
      <xdr:colOff>809625</xdr:colOff>
      <xdr:row>5</xdr:row>
      <xdr:rowOff>0</xdr:rowOff>
    </xdr:from>
    <xdr:ext cx="65" cy="172227"/>
    <xdr:sp macro="" textlink="">
      <xdr:nvSpPr>
        <xdr:cNvPr id="44" name="TextBox 43">
          <a:extLst>
            <a:ext uri="{FF2B5EF4-FFF2-40B4-BE49-F238E27FC236}">
              <a16:creationId xmlns:a16="http://schemas.microsoft.com/office/drawing/2014/main" id="{6F4A54ED-00D1-4C67-9131-3A1B75B70E32}"/>
            </a:ext>
          </a:extLst>
        </xdr:cNvPr>
        <xdr:cNvSpPr txBox="1"/>
      </xdr:nvSpPr>
      <xdr:spPr>
        <a:xfrm>
          <a:off x="9620250" y="575786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13</xdr:col>
      <xdr:colOff>809625</xdr:colOff>
      <xdr:row>5</xdr:row>
      <xdr:rowOff>0</xdr:rowOff>
    </xdr:from>
    <xdr:ext cx="65" cy="172227"/>
    <xdr:sp macro="" textlink="">
      <xdr:nvSpPr>
        <xdr:cNvPr id="45" name="TextBox 44">
          <a:extLst>
            <a:ext uri="{FF2B5EF4-FFF2-40B4-BE49-F238E27FC236}">
              <a16:creationId xmlns:a16="http://schemas.microsoft.com/office/drawing/2014/main" id="{7AE81DC8-4A67-411B-8D36-3A66FEBA2A2F}"/>
            </a:ext>
          </a:extLst>
        </xdr:cNvPr>
        <xdr:cNvSpPr txBox="1"/>
      </xdr:nvSpPr>
      <xdr:spPr>
        <a:xfrm>
          <a:off x="9620250" y="575786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13</xdr:col>
      <xdr:colOff>809625</xdr:colOff>
      <xdr:row>5</xdr:row>
      <xdr:rowOff>0</xdr:rowOff>
    </xdr:from>
    <xdr:ext cx="65" cy="172227"/>
    <xdr:sp macro="" textlink="">
      <xdr:nvSpPr>
        <xdr:cNvPr id="46" name="TextBox 45">
          <a:extLst>
            <a:ext uri="{FF2B5EF4-FFF2-40B4-BE49-F238E27FC236}">
              <a16:creationId xmlns:a16="http://schemas.microsoft.com/office/drawing/2014/main" id="{7E93DFB0-659D-4382-9AA6-2E5BFCDA64F2}"/>
            </a:ext>
          </a:extLst>
        </xdr:cNvPr>
        <xdr:cNvSpPr txBox="1"/>
      </xdr:nvSpPr>
      <xdr:spPr>
        <a:xfrm>
          <a:off x="9620250" y="575786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13</xdr:col>
      <xdr:colOff>809625</xdr:colOff>
      <xdr:row>5</xdr:row>
      <xdr:rowOff>0</xdr:rowOff>
    </xdr:from>
    <xdr:ext cx="65" cy="172227"/>
    <xdr:sp macro="" textlink="">
      <xdr:nvSpPr>
        <xdr:cNvPr id="47" name="TextBox 46">
          <a:extLst>
            <a:ext uri="{FF2B5EF4-FFF2-40B4-BE49-F238E27FC236}">
              <a16:creationId xmlns:a16="http://schemas.microsoft.com/office/drawing/2014/main" id="{D19C2F3E-6807-40D8-90C8-023007B51AD0}"/>
            </a:ext>
          </a:extLst>
        </xdr:cNvPr>
        <xdr:cNvSpPr txBox="1"/>
      </xdr:nvSpPr>
      <xdr:spPr>
        <a:xfrm>
          <a:off x="9620250" y="613886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13</xdr:col>
      <xdr:colOff>809625</xdr:colOff>
      <xdr:row>5</xdr:row>
      <xdr:rowOff>0</xdr:rowOff>
    </xdr:from>
    <xdr:ext cx="65" cy="172227"/>
    <xdr:sp macro="" textlink="">
      <xdr:nvSpPr>
        <xdr:cNvPr id="48" name="TextBox 47">
          <a:extLst>
            <a:ext uri="{FF2B5EF4-FFF2-40B4-BE49-F238E27FC236}">
              <a16:creationId xmlns:a16="http://schemas.microsoft.com/office/drawing/2014/main" id="{D3C683DC-3429-41C0-B293-7EE27257C16D}"/>
            </a:ext>
          </a:extLst>
        </xdr:cNvPr>
        <xdr:cNvSpPr txBox="1"/>
      </xdr:nvSpPr>
      <xdr:spPr>
        <a:xfrm>
          <a:off x="9620250" y="613886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13</xdr:col>
      <xdr:colOff>809625</xdr:colOff>
      <xdr:row>5</xdr:row>
      <xdr:rowOff>0</xdr:rowOff>
    </xdr:from>
    <xdr:ext cx="65" cy="172227"/>
    <xdr:sp macro="" textlink="">
      <xdr:nvSpPr>
        <xdr:cNvPr id="49" name="TextBox 48">
          <a:extLst>
            <a:ext uri="{FF2B5EF4-FFF2-40B4-BE49-F238E27FC236}">
              <a16:creationId xmlns:a16="http://schemas.microsoft.com/office/drawing/2014/main" id="{CED5C08A-600C-4209-BA92-2320E03EBFE7}"/>
            </a:ext>
          </a:extLst>
        </xdr:cNvPr>
        <xdr:cNvSpPr txBox="1"/>
      </xdr:nvSpPr>
      <xdr:spPr>
        <a:xfrm>
          <a:off x="9620250" y="613886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13</xdr:col>
      <xdr:colOff>809625</xdr:colOff>
      <xdr:row>5</xdr:row>
      <xdr:rowOff>0</xdr:rowOff>
    </xdr:from>
    <xdr:ext cx="65" cy="172227"/>
    <xdr:sp macro="" textlink="">
      <xdr:nvSpPr>
        <xdr:cNvPr id="50" name="TextBox 49">
          <a:extLst>
            <a:ext uri="{FF2B5EF4-FFF2-40B4-BE49-F238E27FC236}">
              <a16:creationId xmlns:a16="http://schemas.microsoft.com/office/drawing/2014/main" id="{7AA17492-A457-4E15-B9F9-2F928D8CB709}"/>
            </a:ext>
          </a:extLst>
        </xdr:cNvPr>
        <xdr:cNvSpPr txBox="1"/>
      </xdr:nvSpPr>
      <xdr:spPr>
        <a:xfrm>
          <a:off x="9620250" y="613886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13</xdr:col>
      <xdr:colOff>809625</xdr:colOff>
      <xdr:row>5</xdr:row>
      <xdr:rowOff>0</xdr:rowOff>
    </xdr:from>
    <xdr:ext cx="65" cy="172227"/>
    <xdr:sp macro="" textlink="">
      <xdr:nvSpPr>
        <xdr:cNvPr id="52" name="TextBox 51">
          <a:extLst>
            <a:ext uri="{FF2B5EF4-FFF2-40B4-BE49-F238E27FC236}">
              <a16:creationId xmlns:a16="http://schemas.microsoft.com/office/drawing/2014/main" id="{29B89668-2354-446E-9F05-C4BDB4E994D5}"/>
            </a:ext>
          </a:extLst>
        </xdr:cNvPr>
        <xdr:cNvSpPr txBox="1"/>
      </xdr:nvSpPr>
      <xdr:spPr>
        <a:xfrm>
          <a:off x="9620250" y="575786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13</xdr:col>
      <xdr:colOff>809625</xdr:colOff>
      <xdr:row>5</xdr:row>
      <xdr:rowOff>0</xdr:rowOff>
    </xdr:from>
    <xdr:ext cx="65" cy="172227"/>
    <xdr:sp macro="" textlink="">
      <xdr:nvSpPr>
        <xdr:cNvPr id="53" name="TextBox 52">
          <a:extLst>
            <a:ext uri="{FF2B5EF4-FFF2-40B4-BE49-F238E27FC236}">
              <a16:creationId xmlns:a16="http://schemas.microsoft.com/office/drawing/2014/main" id="{B7A88186-F9EF-4ED2-B98A-6378A9846F2C}"/>
            </a:ext>
          </a:extLst>
        </xdr:cNvPr>
        <xdr:cNvSpPr txBox="1"/>
      </xdr:nvSpPr>
      <xdr:spPr>
        <a:xfrm>
          <a:off x="9620250" y="575786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13</xdr:col>
      <xdr:colOff>809625</xdr:colOff>
      <xdr:row>5</xdr:row>
      <xdr:rowOff>0</xdr:rowOff>
    </xdr:from>
    <xdr:ext cx="65" cy="172227"/>
    <xdr:sp macro="" textlink="">
      <xdr:nvSpPr>
        <xdr:cNvPr id="54" name="TextBox 53">
          <a:extLst>
            <a:ext uri="{FF2B5EF4-FFF2-40B4-BE49-F238E27FC236}">
              <a16:creationId xmlns:a16="http://schemas.microsoft.com/office/drawing/2014/main" id="{4CCB6669-F98B-45D0-A81B-B76BB2958ACC}"/>
            </a:ext>
          </a:extLst>
        </xdr:cNvPr>
        <xdr:cNvSpPr txBox="1"/>
      </xdr:nvSpPr>
      <xdr:spPr>
        <a:xfrm>
          <a:off x="9620250" y="575786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13</xdr:col>
      <xdr:colOff>809625</xdr:colOff>
      <xdr:row>5</xdr:row>
      <xdr:rowOff>0</xdr:rowOff>
    </xdr:from>
    <xdr:ext cx="65" cy="172227"/>
    <xdr:sp macro="" textlink="">
      <xdr:nvSpPr>
        <xdr:cNvPr id="55" name="TextBox 54">
          <a:extLst>
            <a:ext uri="{FF2B5EF4-FFF2-40B4-BE49-F238E27FC236}">
              <a16:creationId xmlns:a16="http://schemas.microsoft.com/office/drawing/2014/main" id="{542A327C-6610-4C73-8D20-FF8AA5ECA6A3}"/>
            </a:ext>
          </a:extLst>
        </xdr:cNvPr>
        <xdr:cNvSpPr txBox="1"/>
      </xdr:nvSpPr>
      <xdr:spPr>
        <a:xfrm>
          <a:off x="9620250" y="575786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13</xdr:col>
      <xdr:colOff>809625</xdr:colOff>
      <xdr:row>5</xdr:row>
      <xdr:rowOff>0</xdr:rowOff>
    </xdr:from>
    <xdr:ext cx="65" cy="172227"/>
    <xdr:sp macro="" textlink="">
      <xdr:nvSpPr>
        <xdr:cNvPr id="56" name="TextBox 55">
          <a:extLst>
            <a:ext uri="{FF2B5EF4-FFF2-40B4-BE49-F238E27FC236}">
              <a16:creationId xmlns:a16="http://schemas.microsoft.com/office/drawing/2014/main" id="{87C6304B-96A7-4D6F-B2E4-F6003054DF6C}"/>
            </a:ext>
          </a:extLst>
        </xdr:cNvPr>
        <xdr:cNvSpPr txBox="1"/>
      </xdr:nvSpPr>
      <xdr:spPr>
        <a:xfrm>
          <a:off x="9620250" y="575786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13</xdr:col>
      <xdr:colOff>809625</xdr:colOff>
      <xdr:row>5</xdr:row>
      <xdr:rowOff>0</xdr:rowOff>
    </xdr:from>
    <xdr:ext cx="65" cy="172227"/>
    <xdr:sp macro="" textlink="">
      <xdr:nvSpPr>
        <xdr:cNvPr id="51" name="TextBox 50">
          <a:extLst>
            <a:ext uri="{FF2B5EF4-FFF2-40B4-BE49-F238E27FC236}">
              <a16:creationId xmlns:a16="http://schemas.microsoft.com/office/drawing/2014/main" id="{8A794257-3C58-4473-B2CA-6BC8743951F8}"/>
            </a:ext>
          </a:extLst>
        </xdr:cNvPr>
        <xdr:cNvSpPr txBox="1"/>
      </xdr:nvSpPr>
      <xdr:spPr>
        <a:xfrm>
          <a:off x="10115550" y="728186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13</xdr:col>
      <xdr:colOff>809625</xdr:colOff>
      <xdr:row>5</xdr:row>
      <xdr:rowOff>0</xdr:rowOff>
    </xdr:from>
    <xdr:ext cx="65" cy="172227"/>
    <xdr:sp macro="" textlink="">
      <xdr:nvSpPr>
        <xdr:cNvPr id="57" name="TextBox 56">
          <a:extLst>
            <a:ext uri="{FF2B5EF4-FFF2-40B4-BE49-F238E27FC236}">
              <a16:creationId xmlns:a16="http://schemas.microsoft.com/office/drawing/2014/main" id="{338DFE70-FAF0-4306-B0D2-608444C27772}"/>
            </a:ext>
          </a:extLst>
        </xdr:cNvPr>
        <xdr:cNvSpPr txBox="1"/>
      </xdr:nvSpPr>
      <xdr:spPr>
        <a:xfrm>
          <a:off x="10115550" y="728186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13</xdr:col>
      <xdr:colOff>809625</xdr:colOff>
      <xdr:row>5</xdr:row>
      <xdr:rowOff>0</xdr:rowOff>
    </xdr:from>
    <xdr:ext cx="65" cy="172227"/>
    <xdr:sp macro="" textlink="">
      <xdr:nvSpPr>
        <xdr:cNvPr id="58" name="TextBox 57">
          <a:extLst>
            <a:ext uri="{FF2B5EF4-FFF2-40B4-BE49-F238E27FC236}">
              <a16:creationId xmlns:a16="http://schemas.microsoft.com/office/drawing/2014/main" id="{8545C7F4-3C6C-4818-A912-6A595E55BAC5}"/>
            </a:ext>
          </a:extLst>
        </xdr:cNvPr>
        <xdr:cNvSpPr txBox="1"/>
      </xdr:nvSpPr>
      <xdr:spPr>
        <a:xfrm>
          <a:off x="10115550" y="728186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13</xdr:col>
      <xdr:colOff>809625</xdr:colOff>
      <xdr:row>5</xdr:row>
      <xdr:rowOff>0</xdr:rowOff>
    </xdr:from>
    <xdr:ext cx="65" cy="172227"/>
    <xdr:sp macro="" textlink="">
      <xdr:nvSpPr>
        <xdr:cNvPr id="59" name="TextBox 58">
          <a:extLst>
            <a:ext uri="{FF2B5EF4-FFF2-40B4-BE49-F238E27FC236}">
              <a16:creationId xmlns:a16="http://schemas.microsoft.com/office/drawing/2014/main" id="{F5BEA82B-0A2E-4AE5-93AB-1A02639A9648}"/>
            </a:ext>
          </a:extLst>
        </xdr:cNvPr>
        <xdr:cNvSpPr txBox="1"/>
      </xdr:nvSpPr>
      <xdr:spPr>
        <a:xfrm>
          <a:off x="10115550" y="728186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13</xdr:col>
      <xdr:colOff>809625</xdr:colOff>
      <xdr:row>5</xdr:row>
      <xdr:rowOff>0</xdr:rowOff>
    </xdr:from>
    <xdr:ext cx="65" cy="172227"/>
    <xdr:sp macro="" textlink="">
      <xdr:nvSpPr>
        <xdr:cNvPr id="60" name="TextBox 59">
          <a:extLst>
            <a:ext uri="{FF2B5EF4-FFF2-40B4-BE49-F238E27FC236}">
              <a16:creationId xmlns:a16="http://schemas.microsoft.com/office/drawing/2014/main" id="{FFA8E523-02F4-479F-B93B-8738511E034A}"/>
            </a:ext>
          </a:extLst>
        </xdr:cNvPr>
        <xdr:cNvSpPr txBox="1"/>
      </xdr:nvSpPr>
      <xdr:spPr>
        <a:xfrm>
          <a:off x="10115550" y="728186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13</xdr:col>
      <xdr:colOff>809625</xdr:colOff>
      <xdr:row>5</xdr:row>
      <xdr:rowOff>0</xdr:rowOff>
    </xdr:from>
    <xdr:ext cx="65" cy="172227"/>
    <xdr:sp macro="" textlink="">
      <xdr:nvSpPr>
        <xdr:cNvPr id="61" name="TextBox 60">
          <a:extLst>
            <a:ext uri="{FF2B5EF4-FFF2-40B4-BE49-F238E27FC236}">
              <a16:creationId xmlns:a16="http://schemas.microsoft.com/office/drawing/2014/main" id="{E4C2C52E-F3A6-4714-89EC-AECE2909EF37}"/>
            </a:ext>
          </a:extLst>
        </xdr:cNvPr>
        <xdr:cNvSpPr txBox="1"/>
      </xdr:nvSpPr>
      <xdr:spPr>
        <a:xfrm>
          <a:off x="10115550" y="728186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13</xdr:col>
      <xdr:colOff>809625</xdr:colOff>
      <xdr:row>5</xdr:row>
      <xdr:rowOff>0</xdr:rowOff>
    </xdr:from>
    <xdr:ext cx="65" cy="172227"/>
    <xdr:sp macro="" textlink="">
      <xdr:nvSpPr>
        <xdr:cNvPr id="62" name="TextBox 61">
          <a:extLst>
            <a:ext uri="{FF2B5EF4-FFF2-40B4-BE49-F238E27FC236}">
              <a16:creationId xmlns:a16="http://schemas.microsoft.com/office/drawing/2014/main" id="{E89524C4-873D-4FA4-90D5-0FCCAFC70396}"/>
            </a:ext>
          </a:extLst>
        </xdr:cNvPr>
        <xdr:cNvSpPr txBox="1"/>
      </xdr:nvSpPr>
      <xdr:spPr>
        <a:xfrm>
          <a:off x="10115550" y="728186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13</xdr:col>
      <xdr:colOff>809625</xdr:colOff>
      <xdr:row>5</xdr:row>
      <xdr:rowOff>0</xdr:rowOff>
    </xdr:from>
    <xdr:ext cx="65" cy="172227"/>
    <xdr:sp macro="" textlink="">
      <xdr:nvSpPr>
        <xdr:cNvPr id="63" name="TextBox 62">
          <a:extLst>
            <a:ext uri="{FF2B5EF4-FFF2-40B4-BE49-F238E27FC236}">
              <a16:creationId xmlns:a16="http://schemas.microsoft.com/office/drawing/2014/main" id="{47D9E0E2-49F0-44E9-B94D-7C384F4CB247}"/>
            </a:ext>
          </a:extLst>
        </xdr:cNvPr>
        <xdr:cNvSpPr txBox="1"/>
      </xdr:nvSpPr>
      <xdr:spPr>
        <a:xfrm>
          <a:off x="10115550" y="728186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13</xdr:col>
      <xdr:colOff>809625</xdr:colOff>
      <xdr:row>5</xdr:row>
      <xdr:rowOff>0</xdr:rowOff>
    </xdr:from>
    <xdr:ext cx="65" cy="172227"/>
    <xdr:sp macro="" textlink="">
      <xdr:nvSpPr>
        <xdr:cNvPr id="137" name="TextBox 136">
          <a:extLst>
            <a:ext uri="{FF2B5EF4-FFF2-40B4-BE49-F238E27FC236}">
              <a16:creationId xmlns:a16="http://schemas.microsoft.com/office/drawing/2014/main" id="{903B88E1-F77E-4C54-BBBF-9571DAC40021}"/>
            </a:ext>
          </a:extLst>
        </xdr:cNvPr>
        <xdr:cNvSpPr txBox="1"/>
      </xdr:nvSpPr>
      <xdr:spPr>
        <a:xfrm>
          <a:off x="10115550" y="728186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252412</xdr:rowOff>
    </xdr:from>
    <xdr:ext cx="65" cy="172227"/>
    <xdr:sp macro="" textlink="">
      <xdr:nvSpPr>
        <xdr:cNvPr id="138" name="TextBox 137">
          <a:extLst>
            <a:ext uri="{FF2B5EF4-FFF2-40B4-BE49-F238E27FC236}">
              <a16:creationId xmlns:a16="http://schemas.microsoft.com/office/drawing/2014/main" id="{66F90545-DADA-4C23-B435-B83AC95C94C2}"/>
            </a:ext>
          </a:extLst>
        </xdr:cNvPr>
        <xdr:cNvSpPr txBox="1"/>
      </xdr:nvSpPr>
      <xdr:spPr>
        <a:xfrm>
          <a:off x="8610600" y="232886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4</xdr:row>
      <xdr:rowOff>252412</xdr:rowOff>
    </xdr:from>
    <xdr:ext cx="65" cy="172227"/>
    <xdr:sp macro="" textlink="">
      <xdr:nvSpPr>
        <xdr:cNvPr id="139" name="TextBox 138">
          <a:extLst>
            <a:ext uri="{FF2B5EF4-FFF2-40B4-BE49-F238E27FC236}">
              <a16:creationId xmlns:a16="http://schemas.microsoft.com/office/drawing/2014/main" id="{0B372425-1F19-48C9-B1AD-5FCFA77A3A4A}"/>
            </a:ext>
          </a:extLst>
        </xdr:cNvPr>
        <xdr:cNvSpPr txBox="1"/>
      </xdr:nvSpPr>
      <xdr:spPr>
        <a:xfrm>
          <a:off x="8610600" y="194786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252412</xdr:rowOff>
    </xdr:from>
    <xdr:ext cx="65" cy="172227"/>
    <xdr:sp macro="" textlink="">
      <xdr:nvSpPr>
        <xdr:cNvPr id="140" name="TextBox 139">
          <a:extLst>
            <a:ext uri="{FF2B5EF4-FFF2-40B4-BE49-F238E27FC236}">
              <a16:creationId xmlns:a16="http://schemas.microsoft.com/office/drawing/2014/main" id="{B264A670-D93C-4FD1-A64D-0701C87CF5B9}"/>
            </a:ext>
          </a:extLst>
        </xdr:cNvPr>
        <xdr:cNvSpPr txBox="1"/>
      </xdr:nvSpPr>
      <xdr:spPr>
        <a:xfrm>
          <a:off x="8610600" y="232886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4</xdr:row>
      <xdr:rowOff>252412</xdr:rowOff>
    </xdr:from>
    <xdr:ext cx="65" cy="172227"/>
    <xdr:sp macro="" textlink="">
      <xdr:nvSpPr>
        <xdr:cNvPr id="141" name="TextBox 140">
          <a:extLst>
            <a:ext uri="{FF2B5EF4-FFF2-40B4-BE49-F238E27FC236}">
              <a16:creationId xmlns:a16="http://schemas.microsoft.com/office/drawing/2014/main" id="{4F7CA03F-6F6E-441E-BD10-BFB38610DBC0}"/>
            </a:ext>
          </a:extLst>
        </xdr:cNvPr>
        <xdr:cNvSpPr txBox="1"/>
      </xdr:nvSpPr>
      <xdr:spPr>
        <a:xfrm>
          <a:off x="8610600" y="194786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12</xdr:col>
      <xdr:colOff>809625</xdr:colOff>
      <xdr:row>5</xdr:row>
      <xdr:rowOff>252412</xdr:rowOff>
    </xdr:from>
    <xdr:ext cx="65" cy="172227"/>
    <xdr:sp macro="" textlink="">
      <xdr:nvSpPr>
        <xdr:cNvPr id="142" name="TextBox 141">
          <a:extLst>
            <a:ext uri="{FF2B5EF4-FFF2-40B4-BE49-F238E27FC236}">
              <a16:creationId xmlns:a16="http://schemas.microsoft.com/office/drawing/2014/main" id="{66F98BC7-186D-403D-88C3-82D760C10B07}"/>
            </a:ext>
          </a:extLst>
        </xdr:cNvPr>
        <xdr:cNvSpPr txBox="1"/>
      </xdr:nvSpPr>
      <xdr:spPr>
        <a:xfrm>
          <a:off x="8610600" y="232886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2</xdr:col>
      <xdr:colOff>92940</xdr:colOff>
      <xdr:row>6</xdr:row>
      <xdr:rowOff>141020</xdr:rowOff>
    </xdr:from>
    <xdr:to>
      <xdr:col>26</xdr:col>
      <xdr:colOff>6518</xdr:colOff>
      <xdr:row>19</xdr:row>
      <xdr:rowOff>11206</xdr:rowOff>
    </xdr:to>
    <xdr:graphicFrame macro="">
      <xdr:nvGraphicFramePr>
        <xdr:cNvPr id="2" name="Biểu đồ 1">
          <a:extLst>
            <a:ext uri="{FF2B5EF4-FFF2-40B4-BE49-F238E27FC236}">
              <a16:creationId xmlns:a16="http://schemas.microsoft.com/office/drawing/2014/main" id="{A8D097D2-EA4B-4BD1-A4C8-B1620696B6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78440</xdr:colOff>
      <xdr:row>28</xdr:row>
      <xdr:rowOff>121210</xdr:rowOff>
    </xdr:from>
    <xdr:to>
      <xdr:col>25</xdr:col>
      <xdr:colOff>579530</xdr:colOff>
      <xdr:row>31</xdr:row>
      <xdr:rowOff>437029</xdr:rowOff>
    </xdr:to>
    <xdr:graphicFrame macro="">
      <xdr:nvGraphicFramePr>
        <xdr:cNvPr id="3" name="Biểu đồ 7">
          <a:extLst>
            <a:ext uri="{FF2B5EF4-FFF2-40B4-BE49-F238E27FC236}">
              <a16:creationId xmlns:a16="http://schemas.microsoft.com/office/drawing/2014/main" id="{FF7F43BF-336A-4A56-BD69-F05EDD9F12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dm-fsvr\VERDEUsers\Users\kataoka%20hajime\Desktop\&#12469;&#12502;&#36039;&#26009;\&#12304;&#21442;&#32771;&#12305;VNM201405&#26376;&#27425;&#27770;&#3163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Vdm-fsvr\tonggiamdoc-&#31038;&#38263;&#23460;\Nakaya\2015&#24180;&#27425;&#30446;&#27161;\&#31038;&#38263;&#25351;&#31034;&#20107;&#38917;\&#12469;&#12502;&#36039;&#26009;\&#12304;&#21442;&#32771;&#12305;VNM201405&#26376;&#27425;&#27770;&#31639;.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dm-fsvr\&#32076;&#31649;&#20849;&#29992;\&#9312;&#26376;&#27425;DB\02&#24441;&#21729;&#29992;\&#24441;&#21729;&#29992;&#26376;&#27425;&#12487;&#12540;&#12479;.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Vdm-fsvr\&#27770;&#31639;&#26989;&#21209;\01&#27770;&#31639;&#20316;&#26989;\&#36899;&#32080;\moon\&#21454;&#38598;\&#22238;&#21454;&#12497;&#12483;&#12465;&#12540;&#12472;\2014&#24180;\201406\09\DGM09062014.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Vdm-fsvr\&#27770;&#31639;&#26989;&#21209;\01&#27770;&#31639;&#20316;&#26989;\&#36899;&#32080;\moon\&#21454;&#38598;\&#20316;&#25104;&#12497;&#12483;&#12465;&#12540;&#12472;\Stravis&#29992;Package%20&#12486;&#12531;&#12503;&#12524;&#12540;&#12488;\&#12524;&#12509;&#12540;&#12486;&#12451;&#12531;&#12464;&#12497;&#12483;&#12465;&#12540;&#12472;\&#26085;&#26412;&#3548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設定"/>
      <sheetName val="主要指標"/>
      <sheetName val="売上・粗利分析"/>
      <sheetName val="損益分岐点分析"/>
      <sheetName val="粗利益"/>
      <sheetName val="PL"/>
      <sheetName val="CR"/>
      <sheetName val="製造経費"/>
      <sheetName val="支援費用"/>
      <sheetName val="販管費"/>
      <sheetName val="BS"/>
      <sheetName val="在庫滞留"/>
      <sheetName val="債権回収遅延"/>
      <sheetName val="BSデータ"/>
      <sheetName val="PLデータ"/>
      <sheetName val="CRデータ"/>
      <sheetName val="製造経費データ"/>
      <sheetName val="支援費用データ"/>
      <sheetName val="販管費データ"/>
      <sheetName val="BS円データ"/>
      <sheetName val="PL円データ"/>
      <sheetName val="CR円データ"/>
      <sheetName val="グラフ専用"/>
      <sheetName val="A9"/>
      <sheetName val="A8"/>
      <sheetName val="A7"/>
      <sheetName val="B1"/>
      <sheetName val="B2"/>
    </sheetNames>
    <sheetDataSet>
      <sheetData sheetId="0"/>
      <sheetData sheetId="1" refreshError="1">
        <row r="11">
          <cell r="B11" t="str">
            <v>VND</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設定"/>
      <sheetName val="主要指標"/>
      <sheetName val="売上・粗利分析"/>
      <sheetName val="損益分岐点分析"/>
      <sheetName val="粗利益"/>
      <sheetName val="PL"/>
      <sheetName val="CR"/>
      <sheetName val="製造経費"/>
      <sheetName val="支援費用"/>
      <sheetName val="販管費"/>
      <sheetName val="BS"/>
      <sheetName val="在庫滞留"/>
      <sheetName val="債権回収遅延"/>
      <sheetName val="BSデータ"/>
      <sheetName val="PLデータ"/>
      <sheetName val="CRデータ"/>
      <sheetName val="製造経費データ"/>
      <sheetName val="支援費用データ"/>
      <sheetName val="販管費データ"/>
      <sheetName val="BS円データ"/>
      <sheetName val="PL円データ"/>
      <sheetName val="CR円データ"/>
      <sheetName val="グラフ専用"/>
      <sheetName val="A7"/>
      <sheetName val="A8"/>
      <sheetName val="A9"/>
      <sheetName val="B1"/>
      <sheetName val="B2"/>
    </sheetNames>
    <sheetDataSet>
      <sheetData sheetId="0"/>
      <sheetData sheetId="1">
        <row r="2">
          <cell r="B2" t="str">
            <v>2014</v>
          </cell>
        </row>
        <row r="3">
          <cell r="B3">
            <v>2013</v>
          </cell>
        </row>
        <row r="4">
          <cell r="B4" t="str">
            <v>05</v>
          </cell>
        </row>
        <row r="8">
          <cell r="B8" t="str">
            <v>VNM</v>
          </cell>
        </row>
        <row r="11">
          <cell r="B11" t="str">
            <v>VND</v>
          </cell>
          <cell r="C11">
            <v>1000000</v>
          </cell>
          <cell r="D11" t="str">
            <v>百万</v>
          </cell>
        </row>
        <row r="15">
          <cell r="B15">
            <v>4.8599999999999997E-3</v>
          </cell>
        </row>
        <row r="16">
          <cell r="B16">
            <v>4.5599999999999998E-3</v>
          </cell>
        </row>
        <row r="17">
          <cell r="B17">
            <v>4.5199999999999997E-3</v>
          </cell>
        </row>
        <row r="19">
          <cell r="B19">
            <v>10</v>
          </cell>
        </row>
        <row r="20">
          <cell r="B20">
            <v>10</v>
          </cell>
        </row>
        <row r="21">
          <cell r="B21">
            <v>10</v>
          </cell>
        </row>
        <row r="23">
          <cell r="B23">
            <v>151</v>
          </cell>
          <cell r="C23">
            <v>365</v>
          </cell>
        </row>
        <row r="24">
          <cell r="B24">
            <v>151</v>
          </cell>
          <cell r="C24">
            <v>365</v>
          </cell>
        </row>
        <row r="34">
          <cell r="B34" t="str">
            <v>小関 康久</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設定"/>
      <sheetName val="BSデータ"/>
      <sheetName val="PLデータ"/>
      <sheetName val="CRデータ"/>
      <sheetName val="製造経費データ"/>
      <sheetName val="支援費用データ"/>
      <sheetName val="販管費データ"/>
      <sheetName val="BS円データ"/>
      <sheetName val="PL円データ"/>
      <sheetName val="CR円データ"/>
    </sheetNames>
    <sheetDataSet>
      <sheetData sheetId="0">
        <row r="10">
          <cell r="C10" t="str">
            <v>JPY00</v>
          </cell>
        </row>
      </sheetData>
      <sheetData sheetId="1"/>
      <sheetData sheetId="2"/>
      <sheetData sheetId="3"/>
      <sheetData sheetId="4"/>
      <sheetData sheetId="5"/>
      <sheetData sheetId="6"/>
      <sheetData sheetId="7"/>
      <sheetData sheetId="8"/>
      <sheetData sheetId="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Matching"/>
      <sheetName val="BEG"/>
      <sheetName val="INPUT"/>
      <sheetName val="M1"/>
      <sheetName val="M2"/>
      <sheetName val="M3"/>
      <sheetName val="M4"/>
      <sheetName val="M5"/>
      <sheetName val="M6"/>
      <sheetName val="M7"/>
      <sheetName val="M8"/>
      <sheetName val="M9"/>
      <sheetName val="S1"/>
      <sheetName val="S2"/>
      <sheetName val="S3"/>
      <sheetName val="S4"/>
      <sheetName val="S5"/>
      <sheetName val="S6-1"/>
      <sheetName val="S6-2"/>
      <sheetName val="S7"/>
      <sheetName val="S8"/>
      <sheetName val="S9"/>
      <sheetName val="S10"/>
      <sheetName val="C1"/>
      <sheetName val="C2"/>
      <sheetName val="C3"/>
      <sheetName val="C4-1"/>
      <sheetName val="C4-2"/>
      <sheetName val="C5"/>
      <sheetName val="C6-1"/>
      <sheetName val="C6-2"/>
      <sheetName val="C7-1"/>
      <sheetName val="C7-2"/>
      <sheetName val="C8"/>
      <sheetName val="C9"/>
      <sheetName val="T1"/>
      <sheetName val="T2"/>
      <sheetName val="T3"/>
      <sheetName val="T4"/>
      <sheetName val="T5"/>
      <sheetName val="P1-1"/>
      <sheetName val="P1-2"/>
      <sheetName val="P1-3"/>
      <sheetName val="P2-1"/>
      <sheetName val="P2-2"/>
      <sheetName val="P2-3"/>
      <sheetName val="P3-1"/>
      <sheetName val="P3-2"/>
      <sheetName val="P4"/>
      <sheetName val="P5-1"/>
      <sheetName val="P5-2"/>
      <sheetName val="P6"/>
      <sheetName val="DEF"/>
      <sheetName val="TAB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row r="1">
          <cell r="B1" t="str">
            <v>09</v>
          </cell>
        </row>
        <row r="2">
          <cell r="C2">
            <v>41820</v>
          </cell>
        </row>
        <row r="4">
          <cell r="B4" t="str">
            <v>DGM</v>
          </cell>
          <cell r="C4" t="str">
            <v>MABUCHI MOTOR (DONGGUAN) CO., LTD.</v>
          </cell>
        </row>
        <row r="5">
          <cell r="B5" t="str">
            <v>CNY</v>
          </cell>
        </row>
        <row r="11">
          <cell r="B11" t="str">
            <v>10</v>
          </cell>
          <cell r="C11" t="str">
            <v>0</v>
          </cell>
          <cell r="D11" t="str">
            <v>S</v>
          </cell>
        </row>
        <row r="12">
          <cell r="B12" t="str">
            <v>5</v>
          </cell>
          <cell r="C12" t="str">
            <v>0</v>
          </cell>
          <cell r="D12" t="str">
            <v>S</v>
          </cell>
        </row>
      </sheetData>
      <sheetData sheetId="55">
        <row r="1">
          <cell r="A1"/>
        </row>
        <row r="2">
          <cell r="A2" t="str">
            <v>100100</v>
          </cell>
          <cell r="D2" t="str">
            <v>现金</v>
          </cell>
        </row>
        <row r="3">
          <cell r="A3" t="str">
            <v>100200</v>
          </cell>
          <cell r="D3" t="str">
            <v>银行存款</v>
          </cell>
        </row>
        <row r="4">
          <cell r="A4" t="str">
            <v>100300</v>
          </cell>
          <cell r="D4" t="str">
            <v>应收票据</v>
          </cell>
        </row>
        <row r="5">
          <cell r="A5" t="str">
            <v>100400</v>
          </cell>
          <cell r="D5" t="str">
            <v>不能兑现的票据</v>
          </cell>
        </row>
        <row r="6">
          <cell r="A6" t="str">
            <v>100500</v>
          </cell>
          <cell r="D6" t="str">
            <v>应收帐款</v>
          </cell>
        </row>
        <row r="7">
          <cell r="A7" t="str">
            <v>100600</v>
          </cell>
          <cell r="D7" t="str">
            <v>有价证券</v>
          </cell>
        </row>
        <row r="8">
          <cell r="A8" t="str">
            <v>100700</v>
          </cell>
          <cell r="D8" t="str">
            <v>库存股票</v>
          </cell>
        </row>
        <row r="9">
          <cell r="A9" t="str">
            <v>100800</v>
          </cell>
          <cell r="D9" t="str">
            <v>商品</v>
          </cell>
        </row>
        <row r="10">
          <cell r="A10" t="str">
            <v>100810</v>
          </cell>
          <cell r="D10" t="str">
            <v>商品-马达</v>
          </cell>
        </row>
        <row r="11">
          <cell r="D11" t="str">
            <v>调整额</v>
          </cell>
        </row>
        <row r="12">
          <cell r="A12" t="str">
            <v>100820</v>
          </cell>
          <cell r="D12" t="str">
            <v>商品-生产机器</v>
          </cell>
        </row>
        <row r="13">
          <cell r="A13" t="str">
            <v>100830</v>
          </cell>
          <cell r="D13" t="str">
            <v>商品马达部品</v>
          </cell>
        </row>
        <row r="14">
          <cell r="A14" t="str">
            <v>100900</v>
          </cell>
          <cell r="D14" t="str">
            <v>产成品</v>
          </cell>
        </row>
        <row r="15">
          <cell r="A15" t="str">
            <v>100910</v>
          </cell>
          <cell r="D15" t="str">
            <v>产成品-马达</v>
          </cell>
        </row>
        <row r="16">
          <cell r="A16" t="str">
            <v>100920</v>
          </cell>
          <cell r="D16" t="str">
            <v>产成品-马达部品</v>
          </cell>
        </row>
        <row r="17">
          <cell r="A17" t="str">
            <v>100930</v>
          </cell>
          <cell r="D17" t="str">
            <v>产成品-生产机器</v>
          </cell>
        </row>
        <row r="18">
          <cell r="A18" t="str">
            <v>101000</v>
          </cell>
          <cell r="D18" t="str">
            <v>半成品</v>
          </cell>
        </row>
        <row r="19">
          <cell r="A19" t="str">
            <v>101010</v>
          </cell>
          <cell r="D19" t="str">
            <v>半成品-马达部品</v>
          </cell>
        </row>
        <row r="20">
          <cell r="A20" t="str">
            <v>101100</v>
          </cell>
          <cell r="D20" t="str">
            <v>材料</v>
          </cell>
        </row>
        <row r="21">
          <cell r="A21" t="str">
            <v>101110</v>
          </cell>
          <cell r="D21" t="str">
            <v>材料-马达部品</v>
          </cell>
        </row>
        <row r="22">
          <cell r="A22" t="str">
            <v>101120</v>
          </cell>
          <cell r="D22" t="str">
            <v>材料-生产机器</v>
          </cell>
        </row>
        <row r="23">
          <cell r="A23" t="str">
            <v>101200</v>
          </cell>
          <cell r="D23" t="str">
            <v>在产品</v>
          </cell>
        </row>
        <row r="24">
          <cell r="A24" t="str">
            <v>101210</v>
          </cell>
          <cell r="D24" t="str">
            <v>在产品-马达</v>
          </cell>
        </row>
        <row r="25">
          <cell r="A25" t="str">
            <v>101220</v>
          </cell>
          <cell r="D25" t="str">
            <v>在产品-生产机器</v>
          </cell>
        </row>
        <row r="26">
          <cell r="A26" t="str">
            <v>101300</v>
          </cell>
          <cell r="D26" t="str">
            <v>在途存货</v>
          </cell>
        </row>
        <row r="27">
          <cell r="A27" t="str">
            <v>101310</v>
          </cell>
          <cell r="D27" t="str">
            <v>在途存货-马达</v>
          </cell>
        </row>
        <row r="28">
          <cell r="A28" t="str">
            <v>101320</v>
          </cell>
          <cell r="D28" t="str">
            <v>在途存货-马达部品</v>
          </cell>
        </row>
        <row r="29">
          <cell r="A29" t="str">
            <v>101330</v>
          </cell>
          <cell r="D29" t="str">
            <v>在途存货-生产机器</v>
          </cell>
        </row>
        <row r="30">
          <cell r="A30" t="str">
            <v>101400</v>
          </cell>
          <cell r="D30" t="str">
            <v>低值易耗品</v>
          </cell>
        </row>
        <row r="31">
          <cell r="A31" t="str">
            <v>101500</v>
          </cell>
          <cell r="D31" t="str">
            <v>存货成本差异调整额</v>
          </cell>
        </row>
        <row r="32">
          <cell r="A32" t="str">
            <v>101600</v>
          </cell>
          <cell r="D32" t="str">
            <v>汇兑差异调整额</v>
          </cell>
        </row>
        <row r="33">
          <cell r="A33" t="str">
            <v>101700</v>
          </cell>
          <cell r="D33" t="str">
            <v>预付货款</v>
          </cell>
        </row>
        <row r="34">
          <cell r="A34" t="str">
            <v>101800</v>
          </cell>
          <cell r="D34" t="str">
            <v>短期贷款</v>
          </cell>
        </row>
        <row r="35">
          <cell r="A35" t="str">
            <v>101900</v>
          </cell>
          <cell r="D35" t="str">
            <v>其他应收款</v>
          </cell>
        </row>
        <row r="36">
          <cell r="A36" t="str">
            <v>101950</v>
          </cell>
          <cell r="D36" t="str">
            <v>应收利息</v>
          </cell>
        </row>
        <row r="37">
          <cell r="A37" t="str">
            <v>102000</v>
          </cell>
          <cell r="D37" t="str">
            <v>关联企业往来</v>
          </cell>
        </row>
        <row r="38">
          <cell r="A38" t="str">
            <v>102100</v>
          </cell>
          <cell r="D38" t="str">
            <v>垫付款</v>
          </cell>
        </row>
        <row r="39">
          <cell r="A39" t="str">
            <v>102200</v>
          </cell>
          <cell r="D39" t="str">
            <v>暂付款</v>
          </cell>
        </row>
        <row r="40">
          <cell r="A40" t="str">
            <v>102300</v>
          </cell>
          <cell r="D40" t="str">
            <v>予缴企业所得税</v>
          </cell>
        </row>
        <row r="41">
          <cell r="A41" t="str">
            <v>102400</v>
          </cell>
          <cell r="D41" t="str">
            <v>待摊费用</v>
          </cell>
        </row>
        <row r="42">
          <cell r="A42" t="str">
            <v>102500</v>
          </cell>
          <cell r="D42" t="str">
            <v>暂付消费税</v>
          </cell>
        </row>
        <row r="43">
          <cell r="A43" t="str">
            <v>102600</v>
          </cell>
          <cell r="D43" t="str">
            <v>应收消费税</v>
          </cell>
        </row>
        <row r="44">
          <cell r="A44" t="str">
            <v>102700</v>
          </cell>
          <cell r="D44" t="str">
            <v>其他流动资产</v>
          </cell>
        </row>
        <row r="45">
          <cell r="A45" t="str">
            <v>102800</v>
          </cell>
          <cell r="D45" t="str">
            <v>递延税金</v>
          </cell>
        </row>
        <row r="46">
          <cell r="A46" t="str">
            <v>102900</v>
          </cell>
          <cell r="D46" t="str">
            <v>坏帐准备 (流动)</v>
          </cell>
        </row>
        <row r="47">
          <cell r="A47" t="str">
            <v>102910</v>
          </cell>
          <cell r="D47" t="str">
            <v>(中国不适用)n/a</v>
          </cell>
        </row>
        <row r="48">
          <cell r="A48" t="str">
            <v>102920</v>
          </cell>
          <cell r="D48" t="str">
            <v>(中国不适用)n/a</v>
          </cell>
        </row>
        <row r="49">
          <cell r="A49" t="str">
            <v>102930</v>
          </cell>
          <cell r="D49" t="str">
            <v>存货価準備</v>
          </cell>
        </row>
        <row r="50">
          <cell r="A50" t="str">
            <v>102990</v>
          </cell>
          <cell r="D50" t="str">
            <v>流动资产合计</v>
          </cell>
        </row>
        <row r="51">
          <cell r="A51" t="str">
            <v>103100</v>
          </cell>
          <cell r="D51" t="str">
            <v>房屋建筑物</v>
          </cell>
        </row>
        <row r="52">
          <cell r="A52" t="str">
            <v>103200</v>
          </cell>
          <cell r="D52" t="str">
            <v>房屋建筑物-累计折旧</v>
          </cell>
        </row>
        <row r="53">
          <cell r="A53" t="str">
            <v>103300</v>
          </cell>
          <cell r="D53" t="str">
            <v>构筑物</v>
          </cell>
        </row>
        <row r="54">
          <cell r="A54" t="str">
            <v>103400</v>
          </cell>
          <cell r="D54" t="str">
            <v>构筑物-累计折旧</v>
          </cell>
        </row>
        <row r="55">
          <cell r="A55" t="str">
            <v>103500</v>
          </cell>
          <cell r="D55" t="str">
            <v>机械设备</v>
          </cell>
        </row>
        <row r="56">
          <cell r="A56" t="str">
            <v>103600</v>
          </cell>
          <cell r="D56" t="str">
            <v>机械设备-累计折旧</v>
          </cell>
        </row>
        <row r="57">
          <cell r="A57" t="str">
            <v>103700</v>
          </cell>
          <cell r="D57" t="str">
            <v>运输设备</v>
          </cell>
        </row>
        <row r="58">
          <cell r="A58" t="str">
            <v>103800</v>
          </cell>
          <cell r="D58" t="str">
            <v>运输设备-累计折旧</v>
          </cell>
        </row>
        <row r="59">
          <cell r="A59" t="str">
            <v>103900</v>
          </cell>
          <cell r="D59" t="str">
            <v>工器具</v>
          </cell>
        </row>
        <row r="60">
          <cell r="A60" t="str">
            <v>103990</v>
          </cell>
          <cell r="D60" t="str">
            <v>工具 . 器具备品中小额固定资产</v>
          </cell>
        </row>
        <row r="61">
          <cell r="A61" t="str">
            <v>104000</v>
          </cell>
          <cell r="D61" t="str">
            <v>工器具-累计折旧</v>
          </cell>
        </row>
        <row r="62">
          <cell r="A62" t="str">
            <v>104100</v>
          </cell>
          <cell r="D62" t="str">
            <v>土地</v>
          </cell>
        </row>
        <row r="63">
          <cell r="A63" t="str">
            <v>104200</v>
          </cell>
          <cell r="D63" t="str">
            <v>在建工程</v>
          </cell>
        </row>
        <row r="64">
          <cell r="A64" t="str">
            <v>104300</v>
          </cell>
          <cell r="D64" t="str">
            <v>有形固定资产減値準備</v>
          </cell>
        </row>
        <row r="65">
          <cell r="A65" t="str">
            <v>104990</v>
          </cell>
          <cell r="D65" t="str">
            <v>有形固定资产合计</v>
          </cell>
        </row>
        <row r="66">
          <cell r="A66" t="str">
            <v>105100</v>
          </cell>
          <cell r="D66" t="str">
            <v>电话使用权</v>
          </cell>
        </row>
        <row r="67">
          <cell r="A67" t="str">
            <v>105110</v>
          </cell>
          <cell r="D67" t="str">
            <v>电话使用权-累计摊销</v>
          </cell>
        </row>
        <row r="68">
          <cell r="A68" t="str">
            <v>105200</v>
          </cell>
          <cell r="D68" t="str">
            <v>设施利用权</v>
          </cell>
        </row>
        <row r="69">
          <cell r="A69" t="str">
            <v>105300</v>
          </cell>
          <cell r="D69" t="str">
            <v>设施利用权-累计摊销</v>
          </cell>
        </row>
        <row r="70">
          <cell r="A70" t="str">
            <v>105400</v>
          </cell>
          <cell r="D70" t="str">
            <v>土地使用权</v>
          </cell>
        </row>
        <row r="71">
          <cell r="A71" t="str">
            <v>105500</v>
          </cell>
          <cell r="D71" t="str">
            <v>其他无形固定资产</v>
          </cell>
        </row>
        <row r="72">
          <cell r="A72" t="str">
            <v>105700</v>
          </cell>
          <cell r="D72" t="str">
            <v>土地使用权-累计摊销</v>
          </cell>
        </row>
        <row r="73">
          <cell r="A73" t="str">
            <v>105800</v>
          </cell>
          <cell r="D73" t="str">
            <v>其他无形固定资产-累计摊销</v>
          </cell>
        </row>
        <row r="74">
          <cell r="A74" t="str">
            <v>105900</v>
          </cell>
          <cell r="D74" t="str">
            <v>无形固定资产減値準備</v>
          </cell>
        </row>
        <row r="75">
          <cell r="A75" t="str">
            <v>105990</v>
          </cell>
          <cell r="D75" t="str">
            <v>无形固定资产合计</v>
          </cell>
        </row>
        <row r="76">
          <cell r="A76" t="str">
            <v>106100</v>
          </cell>
          <cell r="D76" t="str">
            <v>投资有价证券</v>
          </cell>
        </row>
        <row r="77">
          <cell r="A77" t="str">
            <v>106200</v>
          </cell>
          <cell r="D77" t="str">
            <v>投资出资金</v>
          </cell>
        </row>
        <row r="78">
          <cell r="A78" t="str">
            <v>106300</v>
          </cell>
          <cell r="D78" t="str">
            <v>长期贷款</v>
          </cell>
        </row>
        <row r="79">
          <cell r="A79" t="str">
            <v>106400</v>
          </cell>
          <cell r="D79" t="str">
            <v>长期待摊费用</v>
          </cell>
        </row>
        <row r="80">
          <cell r="A80" t="str">
            <v>106500</v>
          </cell>
          <cell r="D80" t="str">
            <v>定期存款</v>
          </cell>
        </row>
        <row r="81">
          <cell r="A81" t="str">
            <v>106600</v>
          </cell>
          <cell r="D81" t="str">
            <v>董事退职年金储备金</v>
          </cell>
        </row>
        <row r="82">
          <cell r="A82" t="str">
            <v>106700</v>
          </cell>
          <cell r="D82" t="str">
            <v>董事保险金储备金</v>
          </cell>
        </row>
        <row r="83">
          <cell r="A83" t="str">
            <v>106800</v>
          </cell>
          <cell r="D83" t="str">
            <v>长期存出保证金</v>
          </cell>
        </row>
        <row r="84">
          <cell r="A84" t="str">
            <v>106900</v>
          </cell>
          <cell r="D84" t="str">
            <v>其他投资</v>
          </cell>
        </row>
        <row r="85">
          <cell r="A85" t="str">
            <v>107000</v>
          </cell>
          <cell r="D85" t="str">
            <v>递延税金-非流动</v>
          </cell>
        </row>
        <row r="86">
          <cell r="A86" t="str">
            <v>107100</v>
          </cell>
          <cell r="D86" t="str">
            <v>坏帐准备-非流动</v>
          </cell>
        </row>
        <row r="87">
          <cell r="A87" t="str">
            <v>107990</v>
          </cell>
          <cell r="D87" t="str">
            <v>投资等合计</v>
          </cell>
        </row>
        <row r="88">
          <cell r="A88" t="str">
            <v>108990</v>
          </cell>
          <cell r="D88" t="str">
            <v>固定资产合计</v>
          </cell>
        </row>
        <row r="89">
          <cell r="A89" t="str">
            <v>109100</v>
          </cell>
          <cell r="D89" t="str">
            <v>开办费</v>
          </cell>
        </row>
        <row r="90">
          <cell r="A90" t="str">
            <v>109990</v>
          </cell>
          <cell r="D90" t="str">
            <v>递延资产合计</v>
          </cell>
        </row>
        <row r="91">
          <cell r="A91" t="str">
            <v>119990</v>
          </cell>
          <cell r="D91" t="str">
            <v>资产合计</v>
          </cell>
        </row>
        <row r="92">
          <cell r="A92" t="str">
            <v>120100</v>
          </cell>
          <cell r="D92" t="str">
            <v>应付票据</v>
          </cell>
        </row>
        <row r="93">
          <cell r="A93" t="str">
            <v>120200</v>
          </cell>
          <cell r="D93" t="str">
            <v>应付帐款</v>
          </cell>
        </row>
        <row r="94">
          <cell r="A94" t="str">
            <v>120300</v>
          </cell>
          <cell r="D94" t="str">
            <v>1年内偿还的可转换公司债</v>
          </cell>
        </row>
        <row r="95">
          <cell r="A95" t="str">
            <v>120400</v>
          </cell>
          <cell r="D95" t="str">
            <v>短期借款</v>
          </cell>
        </row>
        <row r="96">
          <cell r="A96" t="str">
            <v>120500</v>
          </cell>
          <cell r="D96" t="str">
            <v>其他应付款</v>
          </cell>
        </row>
        <row r="97">
          <cell r="A97" t="str">
            <v>120600</v>
          </cell>
          <cell r="D97" t="str">
            <v>应付股利</v>
          </cell>
        </row>
        <row r="98">
          <cell r="A98" t="str">
            <v>120700</v>
          </cell>
          <cell r="D98" t="str">
            <v>关联企业往来</v>
          </cell>
        </row>
        <row r="99">
          <cell r="A99" t="str">
            <v>120800</v>
          </cell>
          <cell r="D99" t="str">
            <v>应付事业税等</v>
          </cell>
        </row>
        <row r="100">
          <cell r="A100" t="str">
            <v>120900</v>
          </cell>
          <cell r="D100" t="str">
            <v>应付企业所得税等</v>
          </cell>
        </row>
        <row r="101">
          <cell r="A101" t="str">
            <v>121000</v>
          </cell>
          <cell r="D101" t="str">
            <v>预提费用</v>
          </cell>
        </row>
        <row r="102">
          <cell r="A102" t="str">
            <v>121050</v>
          </cell>
          <cell r="D102" t="str">
            <v>应付利息</v>
          </cell>
        </row>
        <row r="103">
          <cell r="A103" t="str">
            <v>121100</v>
          </cell>
          <cell r="D103" t="str">
            <v>预收货款</v>
          </cell>
        </row>
        <row r="104">
          <cell r="A104" t="str">
            <v>121200</v>
          </cell>
          <cell r="D104" t="str">
            <v>代收款</v>
          </cell>
        </row>
        <row r="105">
          <cell r="A105" t="str">
            <v>121300</v>
          </cell>
          <cell r="D105" t="str">
            <v>递延收益</v>
          </cell>
        </row>
        <row r="106">
          <cell r="A106" t="str">
            <v>121400</v>
          </cell>
          <cell r="D106" t="str">
            <v>奖励基金</v>
          </cell>
        </row>
        <row r="107">
          <cell r="A107" t="str">
            <v>121500</v>
          </cell>
          <cell r="D107" t="str">
            <v>暂收款</v>
          </cell>
        </row>
        <row r="108">
          <cell r="A108" t="str">
            <v>121600</v>
          </cell>
          <cell r="D108" t="str">
            <v>代收消费税</v>
          </cell>
        </row>
        <row r="109">
          <cell r="A109" t="str">
            <v>121700</v>
          </cell>
          <cell r="D109" t="str">
            <v>应付消费税</v>
          </cell>
        </row>
        <row r="110">
          <cell r="A110" t="str">
            <v>121800</v>
          </cell>
          <cell r="D110" t="str">
            <v>其他流动负债</v>
          </cell>
        </row>
        <row r="111">
          <cell r="A111" t="str">
            <v>121900</v>
          </cell>
          <cell r="D111" t="str">
            <v>递延税金</v>
          </cell>
        </row>
        <row r="112">
          <cell r="A112" t="str">
            <v>122100</v>
          </cell>
          <cell r="D112" t="str">
            <v>(中国不适用)n/a</v>
          </cell>
        </row>
        <row r="113">
          <cell r="A113" t="str">
            <v>122200</v>
          </cell>
          <cell r="D113" t="str">
            <v>资产弃置债务（流动）</v>
          </cell>
        </row>
        <row r="114">
          <cell r="A114" t="str">
            <v>122990</v>
          </cell>
          <cell r="D114" t="str">
            <v>流动负债合计</v>
          </cell>
        </row>
        <row r="115">
          <cell r="A115" t="str">
            <v>123100</v>
          </cell>
          <cell r="D115" t="str">
            <v>资产弃置债务（固定）</v>
          </cell>
        </row>
        <row r="116">
          <cell r="A116" t="str">
            <v>123200</v>
          </cell>
          <cell r="D116" t="str">
            <v>长期借款</v>
          </cell>
        </row>
        <row r="117">
          <cell r="A117" t="str">
            <v>123300</v>
          </cell>
          <cell r="D117" t="str">
            <v>长期递延收益</v>
          </cell>
        </row>
        <row r="118">
          <cell r="A118" t="str">
            <v>123400</v>
          </cell>
          <cell r="D118" t="str">
            <v>职工退职金准备</v>
          </cell>
        </row>
        <row r="119">
          <cell r="A119" t="str">
            <v>123450</v>
          </cell>
          <cell r="D119" t="str">
            <v>退职付给准备金</v>
          </cell>
        </row>
        <row r="120">
          <cell r="A120" t="str">
            <v>123500</v>
          </cell>
          <cell r="D120" t="str">
            <v>董事退职金准备</v>
          </cell>
        </row>
        <row r="121">
          <cell r="A121" t="str">
            <v>123600</v>
          </cell>
          <cell r="D121" t="str">
            <v>存入保证金</v>
          </cell>
        </row>
        <row r="122">
          <cell r="A122" t="str">
            <v>123700</v>
          </cell>
          <cell r="D122" t="str">
            <v>其他长期负债</v>
          </cell>
        </row>
        <row r="123">
          <cell r="A123" t="str">
            <v>123800</v>
          </cell>
          <cell r="D123" t="str">
            <v>递延税金-非流动</v>
          </cell>
        </row>
        <row r="124">
          <cell r="A124" t="str">
            <v>123990</v>
          </cell>
          <cell r="D124" t="str">
            <v>长期负债合计</v>
          </cell>
        </row>
        <row r="125">
          <cell r="A125" t="str">
            <v>129990</v>
          </cell>
          <cell r="D125" t="str">
            <v>负债合计</v>
          </cell>
        </row>
        <row r="126">
          <cell r="A126" t="str">
            <v>131100</v>
          </cell>
          <cell r="D126" t="str">
            <v>资本金</v>
          </cell>
        </row>
        <row r="127">
          <cell r="A127" t="str">
            <v>131100</v>
          </cell>
          <cell r="D127" t="str">
            <v>资本金</v>
          </cell>
        </row>
        <row r="128">
          <cell r="A128" t="str">
            <v>131200</v>
          </cell>
          <cell r="D128" t="str">
            <v>资本公积</v>
          </cell>
        </row>
        <row r="129">
          <cell r="A129" t="str">
            <v>131210</v>
          </cell>
          <cell r="D129" t="str">
            <v>资本公积</v>
          </cell>
        </row>
        <row r="130">
          <cell r="A130" t="str">
            <v>131210</v>
          </cell>
          <cell r="D130" t="str">
            <v>资本公积</v>
          </cell>
        </row>
        <row r="131">
          <cell r="A131" t="str">
            <v>131220</v>
          </cell>
          <cell r="D131" t="str">
            <v>资本公积 - 其他</v>
          </cell>
        </row>
        <row r="132">
          <cell r="A132" t="str">
            <v>131230</v>
          </cell>
          <cell r="D132" t="str">
            <v>本公司股份清理</v>
          </cell>
        </row>
        <row r="133">
          <cell r="A133" t="str">
            <v>131300</v>
          </cell>
          <cell r="D133" t="str">
            <v>未分配盈余合计</v>
          </cell>
        </row>
        <row r="134">
          <cell r="A134" t="str">
            <v>131310</v>
          </cell>
          <cell r="D134" t="str">
            <v>盈余公积</v>
          </cell>
        </row>
        <row r="135">
          <cell r="A135" t="str">
            <v>131310</v>
          </cell>
          <cell r="D135" t="str">
            <v>盈余公积</v>
          </cell>
        </row>
        <row r="136">
          <cell r="A136" t="str">
            <v>131319</v>
          </cell>
          <cell r="D136" t="str">
            <v>其中:固定资产特别折旧基金</v>
          </cell>
        </row>
        <row r="137">
          <cell r="A137" t="str">
            <v>131320</v>
          </cell>
          <cell r="D137" t="str">
            <v>其他未分配盈余合计</v>
          </cell>
        </row>
        <row r="138">
          <cell r="A138" t="str">
            <v>131329</v>
          </cell>
          <cell r="D138" t="str">
            <v>其中:海外投资损失准备金</v>
          </cell>
        </row>
        <row r="139">
          <cell r="A139" t="str">
            <v>131339</v>
          </cell>
          <cell r="D139" t="str">
            <v>其中:其他用途基金</v>
          </cell>
        </row>
        <row r="140">
          <cell r="A140" t="str">
            <v>131349</v>
          </cell>
          <cell r="D140" t="str">
            <v>其中:其他基金</v>
          </cell>
        </row>
        <row r="141">
          <cell r="A141" t="str">
            <v>131359</v>
          </cell>
          <cell r="D141" t="str">
            <v>其中:期初未分配盈余</v>
          </cell>
        </row>
        <row r="142">
          <cell r="A142" t="str">
            <v>131369</v>
          </cell>
          <cell r="D142" t="str">
            <v>其中:当期损益</v>
          </cell>
        </row>
        <row r="143">
          <cell r="A143" t="str">
            <v>131400</v>
          </cell>
          <cell r="D143" t="str">
            <v>库存股票</v>
          </cell>
        </row>
        <row r="144">
          <cell r="A144" t="str">
            <v>131990</v>
          </cell>
          <cell r="D144" t="str">
            <v>权益合计</v>
          </cell>
        </row>
        <row r="145">
          <cell r="A145" t="str">
            <v>132100</v>
          </cell>
          <cell r="D145" t="str">
            <v>其他有价证券估价差额</v>
          </cell>
        </row>
        <row r="146">
          <cell r="A146" t="str">
            <v>132200</v>
          </cell>
          <cell r="D146" t="str">
            <v>汇兑差异</v>
          </cell>
        </row>
        <row r="147">
          <cell r="A147" t="str">
            <v>132300</v>
          </cell>
          <cell r="D147" t="str">
            <v>递延套期保值损益</v>
          </cell>
        </row>
        <row r="148">
          <cell r="A148" t="str">
            <v>132400</v>
          </cell>
          <cell r="D148" t="str">
            <v>新股预约权</v>
          </cell>
        </row>
        <row r="149">
          <cell r="A149" t="str">
            <v>132990</v>
          </cell>
        </row>
        <row r="150">
          <cell r="A150" t="str">
            <v>135000</v>
          </cell>
        </row>
        <row r="151">
          <cell r="A151" t="str">
            <v>139990</v>
          </cell>
          <cell r="D151" t="str">
            <v>浄資産</v>
          </cell>
        </row>
        <row r="152">
          <cell r="A152" t="str">
            <v>149990</v>
          </cell>
          <cell r="D152" t="str">
            <v>负债及权益合计</v>
          </cell>
        </row>
        <row r="153">
          <cell r="A153" t="str">
            <v>200000</v>
          </cell>
          <cell r="D153" t="str">
            <v>销售收入</v>
          </cell>
        </row>
        <row r="154">
          <cell r="A154" t="str">
            <v>201000</v>
          </cell>
          <cell r="D154" t="str">
            <v>产成品销售收入</v>
          </cell>
        </row>
        <row r="155">
          <cell r="A155" t="str">
            <v>203000</v>
          </cell>
          <cell r="D155" t="str">
            <v>商品销售收入</v>
          </cell>
        </row>
        <row r="156">
          <cell r="A156" t="str">
            <v>206000</v>
          </cell>
          <cell r="D156" t="str">
            <v>半成品销售收入</v>
          </cell>
        </row>
        <row r="157">
          <cell r="A157" t="str">
            <v>207000</v>
          </cell>
          <cell r="D157" t="str">
            <v>材料销售收入</v>
          </cell>
        </row>
        <row r="158">
          <cell r="A158" t="str">
            <v>208000</v>
          </cell>
          <cell r="D158" t="str">
            <v>佣金收入</v>
          </cell>
        </row>
        <row r="159">
          <cell r="A159" t="str">
            <v>209000</v>
          </cell>
          <cell r="D159" t="str">
            <v>技术援助报酬收入</v>
          </cell>
        </row>
        <row r="160">
          <cell r="A160" t="str">
            <v>210000</v>
          </cell>
          <cell r="D160" t="str">
            <v>其他援助报酬/加工收入</v>
          </cell>
        </row>
        <row r="161">
          <cell r="A161" t="str">
            <v>211000</v>
          </cell>
          <cell r="D161" t="str">
            <v>加工收入(仅DWM)</v>
          </cell>
        </row>
        <row r="162">
          <cell r="A162" t="str">
            <v>220000</v>
          </cell>
          <cell r="D162" t="str">
            <v>销售成本</v>
          </cell>
        </row>
        <row r="163">
          <cell r="A163" t="str">
            <v>229990</v>
          </cell>
          <cell r="D163" t="str">
            <v>毛利A</v>
          </cell>
        </row>
        <row r="164">
          <cell r="A164" t="str">
            <v>230990</v>
          </cell>
          <cell r="D164" t="str">
            <v>成本差异等</v>
          </cell>
        </row>
        <row r="165">
          <cell r="A165" t="str">
            <v>231100</v>
          </cell>
          <cell r="D165" t="str">
            <v>成本差异</v>
          </cell>
        </row>
        <row r="166">
          <cell r="A166" t="str">
            <v>231200</v>
          </cell>
          <cell r="D166" t="str">
            <v>进口费用</v>
          </cell>
        </row>
        <row r="167">
          <cell r="A167" t="str">
            <v>231300</v>
          </cell>
          <cell r="D167" t="str">
            <v>购入差异</v>
          </cell>
        </row>
        <row r="168">
          <cell r="A168" t="str">
            <v>231400</v>
          </cell>
          <cell r="D168" t="str">
            <v>材料出库差异</v>
          </cell>
        </row>
        <row r="169">
          <cell r="A169" t="str">
            <v>231500</v>
          </cell>
          <cell r="D169" t="str">
            <v>其他差异</v>
          </cell>
        </row>
        <row r="170">
          <cell r="A170" t="str">
            <v>239990</v>
          </cell>
          <cell r="D170" t="str">
            <v>毛利B</v>
          </cell>
        </row>
        <row r="171">
          <cell r="A171" t="str">
            <v>240000</v>
          </cell>
          <cell r="D171" t="str">
            <v>销售及一般管理费用</v>
          </cell>
        </row>
        <row r="172">
          <cell r="A172" t="str">
            <v>249990</v>
          </cell>
          <cell r="D172" t="str">
            <v>营业利润</v>
          </cell>
        </row>
        <row r="173">
          <cell r="A173" t="str">
            <v>250000</v>
          </cell>
          <cell r="D173" t="str">
            <v>营业外收入</v>
          </cell>
        </row>
        <row r="174">
          <cell r="A174" t="str">
            <v>250100</v>
          </cell>
          <cell r="D174" t="str">
            <v>利息及贴现收入</v>
          </cell>
        </row>
        <row r="175">
          <cell r="A175" t="str">
            <v>250200</v>
          </cell>
          <cell r="D175" t="str">
            <v>有价证券利息收入</v>
          </cell>
        </row>
        <row r="176">
          <cell r="A176" t="str">
            <v>250300</v>
          </cell>
          <cell r="D176" t="str">
            <v>有价证券出售收益</v>
          </cell>
        </row>
        <row r="177">
          <cell r="A177" t="str">
            <v>250400</v>
          </cell>
          <cell r="D177" t="str">
            <v>股利收入</v>
          </cell>
        </row>
        <row r="178">
          <cell r="A178" t="str">
            <v>250500</v>
          </cell>
          <cell r="D178" t="str">
            <v>租金收入</v>
          </cell>
        </row>
        <row r="179">
          <cell r="A179" t="str">
            <v>250600</v>
          </cell>
          <cell r="D179" t="str">
            <v>租赁收入</v>
          </cell>
        </row>
        <row r="180">
          <cell r="A180" t="str">
            <v>250700</v>
          </cell>
          <cell r="D180" t="str">
            <v>赔偿金收入</v>
          </cell>
        </row>
        <row r="181">
          <cell r="A181" t="str">
            <v>250800</v>
          </cell>
          <cell r="D181" t="str">
            <v>汇兑收益</v>
          </cell>
        </row>
        <row r="182">
          <cell r="A182" t="str">
            <v>251000</v>
          </cell>
          <cell r="D182" t="str">
            <v>翻译收入</v>
          </cell>
        </row>
        <row r="183">
          <cell r="A183" t="str">
            <v>251100</v>
          </cell>
          <cell r="D183" t="str">
            <v>其他业务收入</v>
          </cell>
        </row>
        <row r="184">
          <cell r="A184" t="str">
            <v>251200</v>
          </cell>
          <cell r="D184" t="str">
            <v>杂收入</v>
          </cell>
        </row>
        <row r="185">
          <cell r="A185" t="str">
            <v>251600</v>
          </cell>
          <cell r="D185" t="str">
            <v>有价证券评价益</v>
          </cell>
        </row>
        <row r="186">
          <cell r="A186" t="str">
            <v>251700</v>
          </cell>
          <cell r="D186" t="str">
            <v>投资有价证券评价益</v>
          </cell>
        </row>
        <row r="187">
          <cell r="A187" t="str">
            <v>260000</v>
          </cell>
          <cell r="D187" t="str">
            <v>营业外支出</v>
          </cell>
        </row>
        <row r="188">
          <cell r="A188" t="str">
            <v>260100</v>
          </cell>
          <cell r="D188" t="str">
            <v>利息及贴现支出</v>
          </cell>
        </row>
        <row r="189">
          <cell r="A189" t="str">
            <v>260200</v>
          </cell>
          <cell r="D189" t="str">
            <v>公司债利息支出</v>
          </cell>
        </row>
        <row r="190">
          <cell r="A190" t="str">
            <v>260300</v>
          </cell>
          <cell r="D190" t="str">
            <v>公司债费用</v>
          </cell>
        </row>
        <row r="191">
          <cell r="A191" t="str">
            <v>260400</v>
          </cell>
          <cell r="D191" t="str">
            <v>有价证券出售损失</v>
          </cell>
        </row>
        <row r="192">
          <cell r="A192" t="str">
            <v>260500</v>
          </cell>
          <cell r="D192" t="str">
            <v>有价证券评价损</v>
          </cell>
        </row>
        <row r="193">
          <cell r="A193" t="str">
            <v>260600</v>
          </cell>
          <cell r="D193" t="str">
            <v>汇兑损失</v>
          </cell>
        </row>
        <row r="194">
          <cell r="A194" t="str">
            <v>260700</v>
          </cell>
          <cell r="D194" t="str">
            <v>存货报废损失</v>
          </cell>
        </row>
        <row r="195">
          <cell r="A195" t="str">
            <v>260800</v>
          </cell>
          <cell r="D195" t="str">
            <v>存货评价损</v>
          </cell>
        </row>
        <row r="196">
          <cell r="A196" t="str">
            <v>260900</v>
          </cell>
          <cell r="D196" t="str">
            <v>股票发行费用</v>
          </cell>
        </row>
        <row r="197">
          <cell r="A197" t="str">
            <v>261000</v>
          </cell>
          <cell r="D197" t="str">
            <v>其他业务支出</v>
          </cell>
        </row>
        <row r="198">
          <cell r="A198" t="str">
            <v>261100</v>
          </cell>
          <cell r="D198" t="str">
            <v>(中国不适用)n/a</v>
          </cell>
        </row>
        <row r="199">
          <cell r="A199" t="str">
            <v>261200</v>
          </cell>
          <cell r="D199" t="str">
            <v>杂支出</v>
          </cell>
        </row>
        <row r="200">
          <cell r="A200" t="str">
            <v>261400</v>
          </cell>
          <cell r="D200" t="str">
            <v>投资有价证券评价损</v>
          </cell>
        </row>
        <row r="201">
          <cell r="A201" t="str">
            <v>261500</v>
          </cell>
          <cell r="D201" t="str">
            <v>坏帐准备提取额</v>
          </cell>
        </row>
        <row r="202">
          <cell r="A202" t="str">
            <v>269990</v>
          </cell>
          <cell r="D202" t="str">
            <v>利润总额</v>
          </cell>
        </row>
        <row r="203">
          <cell r="A203" t="str">
            <v>270000</v>
          </cell>
          <cell r="D203" t="str">
            <v>非常项目利润</v>
          </cell>
        </row>
        <row r="204">
          <cell r="A204" t="str">
            <v>270100</v>
          </cell>
          <cell r="D204" t="str">
            <v>固定资产出售收益</v>
          </cell>
        </row>
        <row r="205">
          <cell r="A205" t="str">
            <v>270200</v>
          </cell>
          <cell r="D205" t="str">
            <v>投资有价证券出售收益</v>
          </cell>
        </row>
        <row r="206">
          <cell r="A206" t="str">
            <v>270300</v>
          </cell>
          <cell r="D206" t="str">
            <v>(中国不适用)n/a</v>
          </cell>
        </row>
        <row r="207">
          <cell r="A207" t="str">
            <v>270400</v>
          </cell>
          <cell r="D207" t="str">
            <v>(中国不适用)n/a</v>
          </cell>
        </row>
        <row r="208">
          <cell r="A208" t="str">
            <v>270500</v>
          </cell>
          <cell r="D208" t="str">
            <v>以前年度收益</v>
          </cell>
        </row>
        <row r="209">
          <cell r="A209" t="str">
            <v>270600</v>
          </cell>
          <cell r="D209" t="str">
            <v>其他特别利润</v>
          </cell>
        </row>
        <row r="210">
          <cell r="A210" t="str">
            <v>280000</v>
          </cell>
          <cell r="D210" t="str">
            <v>特别损失</v>
          </cell>
        </row>
        <row r="211">
          <cell r="A211" t="str">
            <v>280100</v>
          </cell>
          <cell r="D211" t="str">
            <v>固定资产出售损失</v>
          </cell>
        </row>
        <row r="212">
          <cell r="A212" t="str">
            <v>280200</v>
          </cell>
          <cell r="D212" t="str">
            <v>固定资产清理损失</v>
          </cell>
        </row>
        <row r="213">
          <cell r="A213" t="str">
            <v>280300</v>
          </cell>
          <cell r="D213" t="str">
            <v>投资有价证券出售损失</v>
          </cell>
        </row>
        <row r="214">
          <cell r="A214" t="str">
            <v>280400</v>
          </cell>
          <cell r="D214" t="str">
            <v>(中国不适用)n/a</v>
          </cell>
        </row>
        <row r="215">
          <cell r="A215" t="str">
            <v>280500</v>
          </cell>
          <cell r="D215" t="str">
            <v>(中国不适用)n/a</v>
          </cell>
        </row>
        <row r="216">
          <cell r="A216" t="str">
            <v>280600</v>
          </cell>
          <cell r="D216" t="str">
            <v>以前年度损失</v>
          </cell>
        </row>
        <row r="217">
          <cell r="A217" t="str">
            <v>280700</v>
          </cell>
          <cell r="D217" t="str">
            <v>其他特别损失</v>
          </cell>
        </row>
        <row r="218">
          <cell r="A218" t="str">
            <v>280800</v>
          </cell>
          <cell r="D218" t="str">
            <v>投资有价证券评价损失</v>
          </cell>
        </row>
        <row r="219">
          <cell r="A219" t="str">
            <v>280900</v>
          </cell>
          <cell r="D219" t="str">
            <v>計提固定资产減値準備</v>
          </cell>
        </row>
        <row r="220">
          <cell r="A220" t="str">
            <v>289990</v>
          </cell>
          <cell r="D220" t="str">
            <v>当期税前净利润</v>
          </cell>
        </row>
        <row r="221">
          <cell r="A221" t="str">
            <v>290100</v>
          </cell>
          <cell r="D221" t="str">
            <v>企业所得税</v>
          </cell>
        </row>
        <row r="222">
          <cell r="A222" t="str">
            <v>290200</v>
          </cell>
          <cell r="D222" t="str">
            <v>企业所得税调整额</v>
          </cell>
        </row>
        <row r="223">
          <cell r="A223" t="str">
            <v>290300</v>
          </cell>
          <cell r="D223" t="str">
            <v>事业税</v>
          </cell>
        </row>
        <row r="224">
          <cell r="A224" t="str">
            <v>299990</v>
          </cell>
          <cell r="D224" t="str">
            <v>当期净利润</v>
          </cell>
        </row>
        <row r="225">
          <cell r="A225" t="str">
            <v>200100</v>
          </cell>
          <cell r="D225" t="str">
            <v>期初</v>
          </cell>
        </row>
        <row r="226">
          <cell r="A226" t="str">
            <v>200200</v>
          </cell>
          <cell r="D226" t="str">
            <v>取得成本-取得</v>
          </cell>
        </row>
        <row r="227">
          <cell r="A227" t="str">
            <v>200221</v>
          </cell>
          <cell r="D227" t="str">
            <v>购入·制作</v>
          </cell>
        </row>
        <row r="228">
          <cell r="A228" t="str">
            <v>200222</v>
          </cell>
          <cell r="D228" t="str">
            <v>在建工程结转</v>
          </cell>
        </row>
        <row r="229">
          <cell r="A229" t="str">
            <v>200224</v>
          </cell>
          <cell r="D229" t="str">
            <v>其他(科目结转)</v>
          </cell>
        </row>
        <row r="230">
          <cell r="A230" t="str">
            <v>200239</v>
          </cell>
          <cell r="D230" t="str">
            <v>中古固定资产</v>
          </cell>
        </row>
        <row r="231">
          <cell r="A231" t="str">
            <v>200300</v>
          </cell>
          <cell r="D231" t="str">
            <v>取得成本-减少</v>
          </cell>
        </row>
        <row r="232">
          <cell r="A232" t="str">
            <v>200340</v>
          </cell>
          <cell r="D232" t="str">
            <v>出售(集团)</v>
          </cell>
        </row>
        <row r="233">
          <cell r="A233" t="str">
            <v>200341</v>
          </cell>
          <cell r="D233" t="str">
            <v>出售(一般)</v>
          </cell>
        </row>
        <row r="234">
          <cell r="A234" t="str">
            <v>200342</v>
          </cell>
          <cell r="D234" t="str">
            <v>结转商品-生产机器(仅MMK)</v>
          </cell>
        </row>
        <row r="235">
          <cell r="A235" t="str">
            <v>200352</v>
          </cell>
          <cell r="D235" t="str">
            <v>报废</v>
          </cell>
        </row>
        <row r="236">
          <cell r="A236" t="str">
            <v>200353</v>
          </cell>
          <cell r="D236" t="str">
            <v>结转固定资产</v>
          </cell>
        </row>
        <row r="237">
          <cell r="A237" t="str">
            <v>200354</v>
          </cell>
          <cell r="D237" t="str">
            <v>其他(科目结转)</v>
          </cell>
        </row>
        <row r="238">
          <cell r="A238" t="str">
            <v>200355</v>
          </cell>
          <cell r="D238" t="str">
            <v>減値</v>
          </cell>
        </row>
        <row r="239">
          <cell r="A239" t="str">
            <v>200365</v>
          </cell>
          <cell r="D239" t="str">
            <v>结转经费</v>
          </cell>
        </row>
        <row r="240">
          <cell r="A240" t="str">
            <v>200500</v>
          </cell>
          <cell r="D240" t="str">
            <v>期末</v>
          </cell>
        </row>
        <row r="241">
          <cell r="A241" t="str">
            <v>210100</v>
          </cell>
          <cell r="D241" t="str">
            <v>期初</v>
          </cell>
        </row>
        <row r="242">
          <cell r="A242" t="str">
            <v>210200</v>
          </cell>
          <cell r="D242" t="str">
            <v>累计折旧-增加</v>
          </cell>
        </row>
        <row r="243">
          <cell r="A243" t="str">
            <v>210223</v>
          </cell>
          <cell r="D243" t="str">
            <v>当期折旧</v>
          </cell>
        </row>
        <row r="244">
          <cell r="A244" t="str">
            <v>210224</v>
          </cell>
          <cell r="D244" t="str">
            <v>其他(科目结转)</v>
          </cell>
        </row>
        <row r="245">
          <cell r="A245" t="str">
            <v>210239</v>
          </cell>
          <cell r="D245" t="str">
            <v>中古固定资产</v>
          </cell>
        </row>
        <row r="246">
          <cell r="A246" t="str">
            <v>210300</v>
          </cell>
          <cell r="D246" t="str">
            <v>累计折旧-减少</v>
          </cell>
        </row>
        <row r="247">
          <cell r="A247" t="str">
            <v>210340</v>
          </cell>
          <cell r="D247" t="str">
            <v>出售(集团)</v>
          </cell>
        </row>
        <row r="248">
          <cell r="A248" t="str">
            <v>210341</v>
          </cell>
          <cell r="D248" t="str">
            <v>出售(一般)</v>
          </cell>
        </row>
        <row r="249">
          <cell r="A249" t="str">
            <v>210342</v>
          </cell>
          <cell r="D249" t="str">
            <v>结转商品-生产机器(仅MMK)</v>
          </cell>
        </row>
        <row r="250">
          <cell r="A250" t="str">
            <v>210351</v>
          </cell>
          <cell r="D250" t="str">
            <v>出售</v>
          </cell>
        </row>
        <row r="251">
          <cell r="A251" t="str">
            <v>210352</v>
          </cell>
          <cell r="D251" t="str">
            <v>报废</v>
          </cell>
        </row>
        <row r="252">
          <cell r="A252" t="str">
            <v>210354</v>
          </cell>
          <cell r="D252" t="str">
            <v>其他(科目结转)</v>
          </cell>
        </row>
        <row r="253">
          <cell r="A253" t="str">
            <v>210355</v>
          </cell>
          <cell r="D253" t="str">
            <v>減値</v>
          </cell>
        </row>
        <row r="254">
          <cell r="A254" t="str">
            <v>210500</v>
          </cell>
          <cell r="D254" t="str">
            <v>期末</v>
          </cell>
        </row>
        <row r="255">
          <cell r="A255" t="str">
            <v>220100</v>
          </cell>
          <cell r="D255" t="str">
            <v>期初</v>
          </cell>
        </row>
        <row r="256">
          <cell r="A256" t="str">
            <v>220200</v>
          </cell>
          <cell r="D256" t="str">
            <v>增加</v>
          </cell>
        </row>
        <row r="257">
          <cell r="A257" t="str">
            <v>220300</v>
          </cell>
          <cell r="D257" t="str">
            <v>取得成本-减少</v>
          </cell>
        </row>
        <row r="258">
          <cell r="A258" t="str">
            <v>220351</v>
          </cell>
          <cell r="D258" t="str">
            <v>出售</v>
          </cell>
        </row>
        <row r="259">
          <cell r="A259" t="str">
            <v>220352</v>
          </cell>
          <cell r="D259" t="str">
            <v>报废</v>
          </cell>
        </row>
        <row r="260">
          <cell r="A260" t="str">
            <v>220354</v>
          </cell>
          <cell r="D260" t="str">
            <v>其他(科目结转)</v>
          </cell>
        </row>
        <row r="261">
          <cell r="A261" t="str">
            <v>220500</v>
          </cell>
          <cell r="D261" t="str">
            <v>期末</v>
          </cell>
        </row>
        <row r="262">
          <cell r="A262" t="str">
            <v>230100</v>
          </cell>
          <cell r="D262" t="str">
            <v>累计摊销-期初</v>
          </cell>
        </row>
        <row r="263">
          <cell r="A263" t="str">
            <v>230200</v>
          </cell>
          <cell r="D263" t="str">
            <v>累计摊销-增加</v>
          </cell>
        </row>
        <row r="264">
          <cell r="A264" t="str">
            <v>230221</v>
          </cell>
          <cell r="D264" t="str">
            <v>当期摊销</v>
          </cell>
        </row>
        <row r="265">
          <cell r="A265" t="str">
            <v>230222</v>
          </cell>
          <cell r="D265" t="str">
            <v>其他(科目结转)</v>
          </cell>
        </row>
        <row r="266">
          <cell r="A266" t="str">
            <v>230300</v>
          </cell>
          <cell r="D266" t="str">
            <v>累计摊销-减少</v>
          </cell>
        </row>
        <row r="267">
          <cell r="A267" t="str">
            <v>230351</v>
          </cell>
          <cell r="D267" t="str">
            <v>出售</v>
          </cell>
        </row>
        <row r="268">
          <cell r="A268" t="str">
            <v>230352</v>
          </cell>
          <cell r="D268" t="str">
            <v>报废</v>
          </cell>
        </row>
        <row r="269">
          <cell r="A269" t="str">
            <v>230354</v>
          </cell>
          <cell r="D269" t="str">
            <v>其他(科目结转)</v>
          </cell>
        </row>
        <row r="270">
          <cell r="A270" t="str">
            <v>230500</v>
          </cell>
          <cell r="D270" t="str">
            <v>期末</v>
          </cell>
        </row>
        <row r="271">
          <cell r="A271" t="str">
            <v>13010020</v>
          </cell>
          <cell r="C271" t="str">
            <v>20</v>
          </cell>
          <cell r="D271" t="str">
            <v>短期贷款-期初</v>
          </cell>
        </row>
        <row r="272">
          <cell r="A272" t="str">
            <v>13022035</v>
          </cell>
          <cell r="C272" t="str">
            <v>35</v>
          </cell>
          <cell r="D272" t="str">
            <v>短期贷款-贷出</v>
          </cell>
        </row>
        <row r="273">
          <cell r="A273" t="str">
            <v>13023548</v>
          </cell>
          <cell r="C273" t="str">
            <v>48</v>
          </cell>
          <cell r="D273" t="str">
            <v>短期贷款-结转</v>
          </cell>
        </row>
        <row r="274">
          <cell r="A274" t="str">
            <v>13031060</v>
          </cell>
          <cell r="C274" t="str">
            <v>60</v>
          </cell>
          <cell r="D274" t="str">
            <v>短期贷款-回收</v>
          </cell>
        </row>
        <row r="275">
          <cell r="A275" t="str">
            <v>13026767</v>
          </cell>
          <cell r="C275" t="str">
            <v>67</v>
          </cell>
          <cell r="D275" t="str">
            <v>短期贷款 - 期末汇率调整损益</v>
          </cell>
        </row>
        <row r="276">
          <cell r="A276" t="str">
            <v>13010010</v>
          </cell>
          <cell r="C276" t="str">
            <v>10</v>
          </cell>
          <cell r="D276" t="str">
            <v>长期贷款-期初</v>
          </cell>
        </row>
        <row r="277">
          <cell r="A277" t="str">
            <v>13022010</v>
          </cell>
          <cell r="C277" t="str">
            <v>10</v>
          </cell>
          <cell r="D277" t="str">
            <v>长期贷款-贷出</v>
          </cell>
        </row>
        <row r="278">
          <cell r="A278" t="str">
            <v>13023510</v>
          </cell>
          <cell r="C278" t="str">
            <v>10</v>
          </cell>
          <cell r="D278" t="str">
            <v>长期贷款-结转</v>
          </cell>
        </row>
        <row r="279">
          <cell r="A279" t="str">
            <v>13031010</v>
          </cell>
          <cell r="C279" t="str">
            <v>10</v>
          </cell>
          <cell r="D279" t="str">
            <v>长期贷款-回收</v>
          </cell>
        </row>
        <row r="280">
          <cell r="A280" t="str">
            <v>13026710</v>
          </cell>
          <cell r="C280" t="str">
            <v>10</v>
          </cell>
          <cell r="D280" t="str">
            <v>长期贷款 - 期末汇率调整损益</v>
          </cell>
        </row>
        <row r="281">
          <cell r="A281" t="str">
            <v>24010020</v>
          </cell>
          <cell r="C281" t="str">
            <v>20</v>
          </cell>
          <cell r="D281" t="str">
            <v>定期存款 - 期初</v>
          </cell>
        </row>
        <row r="282">
          <cell r="A282" t="str">
            <v>24023434</v>
          </cell>
          <cell r="C282" t="str">
            <v>34</v>
          </cell>
          <cell r="D282" t="str">
            <v>定期存款 - 取得</v>
          </cell>
        </row>
        <row r="283">
          <cell r="A283" t="str">
            <v>24024848</v>
          </cell>
          <cell r="C283" t="str">
            <v>48</v>
          </cell>
          <cell r="D283" t="str">
            <v>定期存款 - 结转</v>
          </cell>
        </row>
        <row r="284">
          <cell r="A284" t="str">
            <v>24026767</v>
          </cell>
          <cell r="C284" t="str">
            <v>67</v>
          </cell>
          <cell r="D284" t="str">
            <v>定期存款 - 期末汇率调整损益</v>
          </cell>
        </row>
        <row r="285">
          <cell r="A285" t="str">
            <v>24031064</v>
          </cell>
          <cell r="C285" t="str">
            <v>64</v>
          </cell>
          <cell r="D285" t="str">
            <v>定期存款 - 解除合同</v>
          </cell>
        </row>
        <row r="286">
          <cell r="A286" t="str">
            <v>25010020</v>
          </cell>
          <cell r="C286" t="str">
            <v>20</v>
          </cell>
          <cell r="D286" t="str">
            <v>有价证券-期初</v>
          </cell>
        </row>
        <row r="287">
          <cell r="A287" t="str">
            <v>25023434</v>
          </cell>
          <cell r="C287" t="str">
            <v>34</v>
          </cell>
          <cell r="D287" t="str">
            <v>有价证券-取得</v>
          </cell>
        </row>
        <row r="288">
          <cell r="A288" t="str">
            <v>25024444</v>
          </cell>
          <cell r="C288" t="str">
            <v>44</v>
          </cell>
          <cell r="D288" t="str">
            <v>有价证券-评价益</v>
          </cell>
        </row>
        <row r="289">
          <cell r="A289" t="str">
            <v>25024848</v>
          </cell>
          <cell r="C289" t="str">
            <v>48</v>
          </cell>
          <cell r="D289" t="str">
            <v>有价证券-结转</v>
          </cell>
        </row>
        <row r="290">
          <cell r="A290" t="str">
            <v>25026666</v>
          </cell>
          <cell r="C290" t="str">
            <v>66</v>
          </cell>
          <cell r="D290" t="str">
            <v>有价证券-估价差额</v>
          </cell>
        </row>
        <row r="291">
          <cell r="A291" t="str">
            <v>25026767</v>
          </cell>
          <cell r="C291" t="str">
            <v>67</v>
          </cell>
          <cell r="D291" t="str">
            <v>有价证券 - 期末汇率调整损益</v>
          </cell>
        </row>
        <row r="292">
          <cell r="A292" t="str">
            <v>25029934</v>
          </cell>
          <cell r="C292" t="str">
            <v>34</v>
          </cell>
          <cell r="D292" t="str">
            <v>有价证券-其他</v>
          </cell>
        </row>
        <row r="293">
          <cell r="A293" t="str">
            <v>25035151</v>
          </cell>
          <cell r="C293" t="str">
            <v>51</v>
          </cell>
          <cell r="D293" t="str">
            <v>有价证券-出售</v>
          </cell>
        </row>
        <row r="294">
          <cell r="A294" t="str">
            <v>25036161</v>
          </cell>
          <cell r="C294" t="str">
            <v>61</v>
          </cell>
          <cell r="D294" t="str">
            <v>有价证券-评价损</v>
          </cell>
        </row>
        <row r="295">
          <cell r="A295" t="str">
            <v>25099999</v>
          </cell>
          <cell r="C295" t="str">
            <v>99</v>
          </cell>
          <cell r="D295" t="str">
            <v>有价证券-现金等价物 - 其他</v>
          </cell>
        </row>
        <row r="296">
          <cell r="A296" t="str">
            <v>26010020</v>
          </cell>
          <cell r="C296" t="str">
            <v>20</v>
          </cell>
          <cell r="D296" t="str">
            <v>银行存款 - 期初</v>
          </cell>
        </row>
        <row r="297">
          <cell r="A297" t="str">
            <v>26023434</v>
          </cell>
          <cell r="C297" t="str">
            <v>34</v>
          </cell>
          <cell r="D297" t="str">
            <v>银行存款 - 取得</v>
          </cell>
        </row>
        <row r="298">
          <cell r="A298" t="str">
            <v>26024848</v>
          </cell>
          <cell r="C298" t="str">
            <v>48</v>
          </cell>
          <cell r="D298" t="str">
            <v>银行存款 - 结转</v>
          </cell>
        </row>
        <row r="299">
          <cell r="A299" t="str">
            <v>26026767</v>
          </cell>
          <cell r="C299" t="str">
            <v>67</v>
          </cell>
          <cell r="D299" t="str">
            <v>银行存款 - 期末汇率调整损益</v>
          </cell>
        </row>
        <row r="300">
          <cell r="A300" t="str">
            <v>26029934</v>
          </cell>
          <cell r="C300" t="str">
            <v>34</v>
          </cell>
          <cell r="D300" t="str">
            <v>银行存款 - 其他</v>
          </cell>
        </row>
        <row r="301">
          <cell r="A301" t="str">
            <v>26031064</v>
          </cell>
          <cell r="C301" t="str">
            <v>64</v>
          </cell>
          <cell r="D301" t="str">
            <v>银行存款 - 解除合同</v>
          </cell>
        </row>
        <row r="302">
          <cell r="A302" t="str">
            <v>26061067</v>
          </cell>
          <cell r="C302" t="str">
            <v>67</v>
          </cell>
          <cell r="D302" t="str">
            <v>银行存款 - 期末汇率调整损益</v>
          </cell>
        </row>
        <row r="303">
          <cell r="A303" t="str">
            <v>26099999</v>
          </cell>
          <cell r="C303" t="str">
            <v>99</v>
          </cell>
          <cell r="D303" t="str">
            <v>银行存款 - 现金等价物 - 其他</v>
          </cell>
        </row>
        <row r="304">
          <cell r="A304" t="str">
            <v>60028</v>
          </cell>
          <cell r="D304" t="str">
            <v>银行存款 - 期末</v>
          </cell>
        </row>
        <row r="305">
          <cell r="A305" t="str">
            <v>27010020</v>
          </cell>
          <cell r="C305" t="str">
            <v>20</v>
          </cell>
          <cell r="D305" t="str">
            <v>投资有价证券-期初</v>
          </cell>
        </row>
        <row r="306">
          <cell r="A306" t="str">
            <v>27023434</v>
          </cell>
          <cell r="C306" t="str">
            <v>34</v>
          </cell>
          <cell r="D306" t="str">
            <v>投资有价证券-取得</v>
          </cell>
        </row>
        <row r="307">
          <cell r="A307" t="str">
            <v>27024444</v>
          </cell>
          <cell r="C307" t="str">
            <v>44</v>
          </cell>
          <cell r="D307" t="str">
            <v>投资有价证券-评价益</v>
          </cell>
        </row>
        <row r="308">
          <cell r="A308" t="str">
            <v>27024848</v>
          </cell>
          <cell r="C308" t="str">
            <v>48</v>
          </cell>
          <cell r="D308" t="str">
            <v>投资有价证券-转入</v>
          </cell>
        </row>
        <row r="309">
          <cell r="A309" t="str">
            <v>27026767</v>
          </cell>
          <cell r="C309" t="str">
            <v>67</v>
          </cell>
          <cell r="D309" t="str">
            <v>投资有价证券 - 期末汇率调整损益</v>
          </cell>
        </row>
        <row r="310">
          <cell r="A310" t="str">
            <v>27035151</v>
          </cell>
          <cell r="C310" t="str">
            <v>51</v>
          </cell>
          <cell r="D310" t="str">
            <v>投资有价证券-出售</v>
          </cell>
        </row>
        <row r="311">
          <cell r="A311" t="str">
            <v>27036161</v>
          </cell>
          <cell r="C311" t="str">
            <v>61</v>
          </cell>
          <cell r="D311" t="str">
            <v>投资有价证券-评价损</v>
          </cell>
        </row>
        <row r="312">
          <cell r="A312" t="str">
            <v>27036262</v>
          </cell>
          <cell r="C312" t="str">
            <v>62</v>
          </cell>
          <cell r="D312" t="str">
            <v>投资有价证券-转出</v>
          </cell>
        </row>
        <row r="313">
          <cell r="A313" t="str">
            <v>27036666</v>
          </cell>
          <cell r="C313" t="str">
            <v>66</v>
          </cell>
          <cell r="D313" t="str">
            <v>投资有价证券-估价差额</v>
          </cell>
        </row>
        <row r="314">
          <cell r="A314" t="str">
            <v>28010020</v>
          </cell>
          <cell r="C314" t="str">
            <v>20</v>
          </cell>
          <cell r="D314" t="str">
            <v>投资出资金-期初</v>
          </cell>
        </row>
        <row r="315">
          <cell r="A315" t="str">
            <v>28023636</v>
          </cell>
          <cell r="C315" t="str">
            <v>36</v>
          </cell>
          <cell r="D315" t="str">
            <v>投资出资金-出资</v>
          </cell>
        </row>
        <row r="316">
          <cell r="A316" t="str">
            <v>28026767</v>
          </cell>
          <cell r="C316" t="str">
            <v>67</v>
          </cell>
          <cell r="D316" t="str">
            <v>投资出资金 - 期末汇率调整损益</v>
          </cell>
        </row>
        <row r="317">
          <cell r="A317" t="str">
            <v>28031055</v>
          </cell>
          <cell r="C317" t="str">
            <v>55</v>
          </cell>
          <cell r="D317" t="str">
            <v>投资出资金-减少</v>
          </cell>
        </row>
        <row r="318">
          <cell r="A318" t="str">
            <v>29010020</v>
          </cell>
          <cell r="C318" t="str">
            <v>20</v>
          </cell>
          <cell r="D318" t="str">
            <v>长期待摊费用-期初</v>
          </cell>
        </row>
        <row r="319">
          <cell r="A319" t="str">
            <v>29023333</v>
          </cell>
          <cell r="C319" t="str">
            <v>33</v>
          </cell>
          <cell r="D319" t="str">
            <v>长期待摊费用- 转入</v>
          </cell>
        </row>
        <row r="320">
          <cell r="A320" t="str">
            <v>29026767</v>
          </cell>
          <cell r="C320" t="str">
            <v>67</v>
          </cell>
          <cell r="D320" t="str">
            <v>长期待摊费用- 期末汇率调整损益</v>
          </cell>
        </row>
        <row r="321">
          <cell r="A321" t="str">
            <v>29031043</v>
          </cell>
          <cell r="C321" t="str">
            <v>43</v>
          </cell>
          <cell r="D321" t="str">
            <v>长期待摊费用- 当期折旧</v>
          </cell>
        </row>
        <row r="322">
          <cell r="A322" t="str">
            <v>30010010</v>
          </cell>
          <cell r="C322" t="str">
            <v>10</v>
          </cell>
          <cell r="D322" t="str">
            <v>董事退职年金储备金 - 期初</v>
          </cell>
        </row>
        <row r="323">
          <cell r="A323" t="str">
            <v>30023310</v>
          </cell>
          <cell r="C323" t="str">
            <v>10</v>
          </cell>
          <cell r="D323" t="str">
            <v>董事退职年金储备金 - 转入</v>
          </cell>
        </row>
        <row r="324">
          <cell r="A324" t="str">
            <v>30024810</v>
          </cell>
          <cell r="C324" t="str">
            <v>10</v>
          </cell>
          <cell r="D324" t="str">
            <v>董事退职年金储备金 - 结转</v>
          </cell>
        </row>
        <row r="325">
          <cell r="A325" t="str">
            <v>30031010</v>
          </cell>
          <cell r="C325" t="str">
            <v>10</v>
          </cell>
          <cell r="D325" t="str">
            <v>董事退职年金储备金 - 解除合同</v>
          </cell>
        </row>
        <row r="326">
          <cell r="A326" t="str">
            <v>30010020</v>
          </cell>
          <cell r="C326" t="str">
            <v>20</v>
          </cell>
          <cell r="D326" t="str">
            <v>董事保险金储备金 - 期初</v>
          </cell>
        </row>
        <row r="327">
          <cell r="A327" t="str">
            <v>30023320</v>
          </cell>
          <cell r="C327" t="str">
            <v>20</v>
          </cell>
          <cell r="D327" t="str">
            <v>董事保险金储备金 - 购入</v>
          </cell>
        </row>
        <row r="328">
          <cell r="A328" t="str">
            <v>30023420</v>
          </cell>
          <cell r="C328" t="str">
            <v>20</v>
          </cell>
          <cell r="D328" t="str">
            <v>董事保险金储备金 - 转入</v>
          </cell>
        </row>
        <row r="329">
          <cell r="A329" t="str">
            <v>30024820</v>
          </cell>
          <cell r="C329" t="str">
            <v>20</v>
          </cell>
          <cell r="D329" t="str">
            <v>董事保险金储备金 - 结转</v>
          </cell>
        </row>
        <row r="330">
          <cell r="A330" t="str">
            <v>30031020</v>
          </cell>
          <cell r="C330" t="str">
            <v>20</v>
          </cell>
          <cell r="D330" t="str">
            <v>董事保险金储备金 - 解除合同</v>
          </cell>
        </row>
        <row r="331">
          <cell r="A331" t="str">
            <v>31010020</v>
          </cell>
          <cell r="C331" t="str">
            <v>20</v>
          </cell>
          <cell r="D331" t="str">
            <v>其他投资 - 期初</v>
          </cell>
        </row>
        <row r="332">
          <cell r="A332" t="str">
            <v>31023434</v>
          </cell>
          <cell r="C332" t="str">
            <v>34</v>
          </cell>
          <cell r="D332" t="str">
            <v>其他投资 - 取得</v>
          </cell>
        </row>
        <row r="333">
          <cell r="A333" t="str">
            <v>31024848</v>
          </cell>
          <cell r="C333" t="str">
            <v>48</v>
          </cell>
          <cell r="D333" t="str">
            <v>其他投资 - 结转</v>
          </cell>
        </row>
        <row r="334">
          <cell r="A334" t="str">
            <v>31026666</v>
          </cell>
          <cell r="C334" t="str">
            <v>66</v>
          </cell>
          <cell r="D334" t="str">
            <v>其他投资 -估价差额</v>
          </cell>
        </row>
        <row r="335">
          <cell r="A335" t="str">
            <v>31026767</v>
          </cell>
          <cell r="C335" t="str">
            <v>67</v>
          </cell>
          <cell r="D335" t="str">
            <v>其他投资 - 期末汇率调整损益</v>
          </cell>
        </row>
        <row r="336">
          <cell r="A336" t="str">
            <v>31035151</v>
          </cell>
          <cell r="C336" t="str">
            <v>51</v>
          </cell>
          <cell r="D336" t="str">
            <v>其他投资 -出售</v>
          </cell>
        </row>
        <row r="337">
          <cell r="A337" t="str">
            <v>31036464</v>
          </cell>
          <cell r="C337" t="str">
            <v>64</v>
          </cell>
          <cell r="D337" t="str">
            <v>其他投资 - 解除合同</v>
          </cell>
        </row>
        <row r="338">
          <cell r="A338" t="str">
            <v>32010020</v>
          </cell>
          <cell r="C338" t="str">
            <v>20</v>
          </cell>
          <cell r="D338" t="str">
            <v>开办费 - 期初</v>
          </cell>
        </row>
        <row r="339">
          <cell r="A339" t="str">
            <v>32023333</v>
          </cell>
          <cell r="C339" t="str">
            <v>33</v>
          </cell>
          <cell r="D339" t="str">
            <v>开办费 - 转入</v>
          </cell>
        </row>
        <row r="340">
          <cell r="A340" t="str">
            <v>32026767</v>
          </cell>
          <cell r="C340" t="str">
            <v>67</v>
          </cell>
          <cell r="D340" t="str">
            <v>开办费 - 期末汇率调整损益</v>
          </cell>
        </row>
        <row r="341">
          <cell r="A341" t="str">
            <v>32034343</v>
          </cell>
          <cell r="C341" t="str">
            <v>43</v>
          </cell>
          <cell r="D341" t="str">
            <v>开办费- 当期折旧</v>
          </cell>
        </row>
        <row r="342">
          <cell r="A342" t="str">
            <v>40010020</v>
          </cell>
          <cell r="C342" t="str">
            <v>20</v>
          </cell>
          <cell r="D342" t="str">
            <v>短期借款-期初</v>
          </cell>
        </row>
        <row r="343">
          <cell r="A343" t="str">
            <v>40010010</v>
          </cell>
          <cell r="C343" t="str">
            <v>10</v>
          </cell>
          <cell r="D343" t="str">
            <v>长期借款-期初</v>
          </cell>
        </row>
        <row r="344">
          <cell r="A344" t="str">
            <v>40022037</v>
          </cell>
          <cell r="C344" t="str">
            <v>37</v>
          </cell>
          <cell r="D344" t="str">
            <v>短期借款-借入</v>
          </cell>
        </row>
        <row r="345">
          <cell r="A345" t="str">
            <v>40022010</v>
          </cell>
          <cell r="C345" t="str">
            <v>10</v>
          </cell>
          <cell r="D345" t="str">
            <v>长期借款-借入</v>
          </cell>
        </row>
        <row r="346">
          <cell r="A346" t="str">
            <v>40024848</v>
          </cell>
          <cell r="C346" t="str">
            <v>48</v>
          </cell>
          <cell r="D346" t="str">
            <v>短期借款-结转</v>
          </cell>
        </row>
        <row r="347">
          <cell r="A347" t="str">
            <v>40024810</v>
          </cell>
          <cell r="C347" t="str">
            <v>10</v>
          </cell>
          <cell r="D347" t="str">
            <v>长期借款-结转</v>
          </cell>
        </row>
        <row r="348">
          <cell r="A348" t="str">
            <v>40026767</v>
          </cell>
          <cell r="C348" t="str">
            <v>67</v>
          </cell>
          <cell r="D348" t="str">
            <v>短期借款 - 期末汇率调整损益</v>
          </cell>
        </row>
        <row r="349">
          <cell r="A349" t="str">
            <v>40026710</v>
          </cell>
          <cell r="C349" t="str">
            <v>10</v>
          </cell>
          <cell r="D349" t="str">
            <v>长期借款 - 期末汇率调整损益</v>
          </cell>
        </row>
        <row r="350">
          <cell r="A350" t="str">
            <v>40031063</v>
          </cell>
          <cell r="C350" t="str">
            <v>63</v>
          </cell>
          <cell r="D350" t="str">
            <v>短期借款-还款</v>
          </cell>
        </row>
        <row r="351">
          <cell r="A351" t="str">
            <v>40031010</v>
          </cell>
          <cell r="C351" t="str">
            <v>10</v>
          </cell>
          <cell r="D351" t="str">
            <v>长期借款-还款</v>
          </cell>
        </row>
        <row r="352">
          <cell r="A352" t="str">
            <v>300000</v>
          </cell>
          <cell r="D352" t="str">
            <v>材料费</v>
          </cell>
        </row>
        <row r="353">
          <cell r="A353" t="str">
            <v>300100</v>
          </cell>
          <cell r="D353" t="str">
            <v>材料期初盘存</v>
          </cell>
        </row>
        <row r="354">
          <cell r="A354" t="str">
            <v>300200</v>
          </cell>
          <cell r="D354" t="str">
            <v>材料期初盘存调整额</v>
          </cell>
        </row>
        <row r="355">
          <cell r="A355" t="str">
            <v>300300</v>
          </cell>
          <cell r="D355" t="str">
            <v>当期采购</v>
          </cell>
        </row>
        <row r="356">
          <cell r="A356" t="str">
            <v>300400</v>
          </cell>
          <cell r="D356" t="str">
            <v>委托加工费用及回收额</v>
          </cell>
        </row>
        <row r="357">
          <cell r="A357" t="str">
            <v>300500</v>
          </cell>
          <cell r="D357" t="str">
            <v>其他科目结转额</v>
          </cell>
        </row>
        <row r="358">
          <cell r="A358" t="str">
            <v>300990</v>
          </cell>
          <cell r="D358" t="str">
            <v>小计</v>
          </cell>
        </row>
        <row r="359">
          <cell r="A359" t="str">
            <v>301100</v>
          </cell>
          <cell r="D359" t="str">
            <v>材料期末盘存</v>
          </cell>
        </row>
        <row r="360">
          <cell r="A360" t="str">
            <v>301200</v>
          </cell>
          <cell r="D360" t="str">
            <v>材料期末盘存调整额</v>
          </cell>
        </row>
        <row r="361">
          <cell r="A361" t="str">
            <v>301300</v>
          </cell>
          <cell r="D361" t="str">
            <v>材料销售成本</v>
          </cell>
        </row>
        <row r="362">
          <cell r="A362" t="str">
            <v>301400</v>
          </cell>
          <cell r="D362" t="str">
            <v>材料出库差异</v>
          </cell>
        </row>
        <row r="363">
          <cell r="A363" t="str">
            <v>301500</v>
          </cell>
          <cell r="D363" t="str">
            <v>材料入库差异</v>
          </cell>
        </row>
        <row r="364">
          <cell r="A364" t="str">
            <v>301600</v>
          </cell>
          <cell r="D364" t="str">
            <v>其他科目结转额</v>
          </cell>
        </row>
        <row r="365">
          <cell r="A365" t="str">
            <v>301700</v>
          </cell>
          <cell r="D365" t="str">
            <v>材料有偿支给额</v>
          </cell>
        </row>
        <row r="366">
          <cell r="A366" t="str">
            <v>310000</v>
          </cell>
          <cell r="D366" t="str">
            <v>直接劳务费用</v>
          </cell>
        </row>
        <row r="367">
          <cell r="A367" t="str">
            <v>320000</v>
          </cell>
          <cell r="D367" t="str">
            <v>制造费用</v>
          </cell>
        </row>
        <row r="368">
          <cell r="A368" t="str">
            <v>320100</v>
          </cell>
          <cell r="D368" t="str">
            <v>间接劳务费</v>
          </cell>
        </row>
        <row r="369">
          <cell r="A369" t="str">
            <v>320200</v>
          </cell>
          <cell r="D369" t="str">
            <v>间接经费</v>
          </cell>
        </row>
        <row r="370">
          <cell r="A370" t="str">
            <v>329990</v>
          </cell>
          <cell r="D370" t="str">
            <v>总制造费用</v>
          </cell>
        </row>
        <row r="371">
          <cell r="A371" t="str">
            <v>330100</v>
          </cell>
          <cell r="D371" t="str">
            <v>在产品及半成品期初盘存</v>
          </cell>
        </row>
        <row r="372">
          <cell r="A372" t="str">
            <v>330200</v>
          </cell>
          <cell r="D372" t="str">
            <v>在产品及半成品期初盘存调整</v>
          </cell>
        </row>
        <row r="373">
          <cell r="A373" t="str">
            <v>330300</v>
          </cell>
          <cell r="D373" t="str">
            <v>产成品部品入库成本</v>
          </cell>
        </row>
        <row r="374">
          <cell r="A374" t="str">
            <v>330400</v>
          </cell>
          <cell r="D374" t="str">
            <v>半成品委托加工费用及回收额</v>
          </cell>
        </row>
        <row r="375">
          <cell r="A375" t="str">
            <v>330500</v>
          </cell>
          <cell r="D375" t="str">
            <v>其他科目结转额</v>
          </cell>
        </row>
        <row r="376">
          <cell r="A376" t="str">
            <v>330990</v>
          </cell>
          <cell r="D376" t="str">
            <v>小计</v>
          </cell>
        </row>
        <row r="377">
          <cell r="A377" t="str">
            <v>331100</v>
          </cell>
          <cell r="D377" t="str">
            <v>在产品及半成品期末盘存</v>
          </cell>
        </row>
        <row r="378">
          <cell r="A378" t="str">
            <v>331200</v>
          </cell>
          <cell r="D378" t="str">
            <v>在产品及半成品期末盘存调整</v>
          </cell>
        </row>
        <row r="379">
          <cell r="A379" t="str">
            <v>331300</v>
          </cell>
          <cell r="D379" t="str">
            <v>半成品销售成本</v>
          </cell>
        </row>
        <row r="380">
          <cell r="A380" t="str">
            <v>331400</v>
          </cell>
          <cell r="D380" t="str">
            <v>产成品马达结转额</v>
          </cell>
        </row>
        <row r="381">
          <cell r="A381" t="str">
            <v>331500</v>
          </cell>
          <cell r="D381" t="str">
            <v>半成品委托加工转出额</v>
          </cell>
        </row>
        <row r="382">
          <cell r="A382" t="str">
            <v>331600</v>
          </cell>
          <cell r="D382" t="str">
            <v>半成品结转差异</v>
          </cell>
        </row>
        <row r="383">
          <cell r="A383" t="str">
            <v>331700</v>
          </cell>
          <cell r="D383" t="str">
            <v>其他科目结转额</v>
          </cell>
        </row>
        <row r="384">
          <cell r="A384" t="str">
            <v>331800</v>
          </cell>
          <cell r="D384" t="str">
            <v>固定资产结转额</v>
          </cell>
        </row>
        <row r="385">
          <cell r="A385" t="str">
            <v>331900</v>
          </cell>
          <cell r="D385" t="str">
            <v>自制消耗品成本转出</v>
          </cell>
        </row>
        <row r="386">
          <cell r="A386" t="str">
            <v>339990</v>
          </cell>
          <cell r="D386" t="str">
            <v>实际制造成本</v>
          </cell>
        </row>
        <row r="387">
          <cell r="A387" t="str">
            <v>349990</v>
          </cell>
          <cell r="D387" t="str">
            <v>标准制造成本</v>
          </cell>
        </row>
        <row r="388">
          <cell r="A388" t="str">
            <v>359990</v>
          </cell>
          <cell r="D388" t="str">
            <v>成本差异</v>
          </cell>
        </row>
        <row r="389">
          <cell r="A389" t="str">
            <v>360190</v>
          </cell>
          <cell r="D389" t="str">
            <v>其中:废弃品</v>
          </cell>
        </row>
        <row r="390">
          <cell r="A390" t="str">
            <v>400100</v>
          </cell>
          <cell r="D390" t="str">
            <v>工资及附加费</v>
          </cell>
        </row>
        <row r="391">
          <cell r="A391" t="str">
            <v>400200</v>
          </cell>
          <cell r="D391" t="str">
            <v>其他工资性支出</v>
          </cell>
        </row>
        <row r="392">
          <cell r="A392" t="str">
            <v>400300</v>
          </cell>
          <cell r="D392" t="str">
            <v>奖金</v>
          </cell>
        </row>
        <row r="393">
          <cell r="A393" t="str">
            <v>400400</v>
          </cell>
          <cell r="D393" t="str">
            <v>奖金提取</v>
          </cell>
        </row>
        <row r="394">
          <cell r="A394" t="str">
            <v>400500</v>
          </cell>
          <cell r="D394" t="str">
            <v>退职金</v>
          </cell>
        </row>
        <row r="395">
          <cell r="A395" t="str">
            <v>400600</v>
          </cell>
          <cell r="D395" t="str">
            <v>退职金提取</v>
          </cell>
        </row>
        <row r="396">
          <cell r="A396" t="str">
            <v>400700</v>
          </cell>
          <cell r="D396" t="str">
            <v>董事报酬</v>
          </cell>
        </row>
        <row r="397">
          <cell r="A397" t="str">
            <v>400800</v>
          </cell>
          <cell r="D397" t="str">
            <v>股份支付費用</v>
          </cell>
        </row>
        <row r="398">
          <cell r="A398" t="str">
            <v>400900</v>
          </cell>
          <cell r="D398" t="str">
            <v>(中国不适用)n/a</v>
          </cell>
        </row>
        <row r="399">
          <cell r="A399" t="str">
            <v>401000</v>
          </cell>
          <cell r="D399" t="str">
            <v>法定福利费</v>
          </cell>
        </row>
        <row r="400">
          <cell r="A400" t="str">
            <v>401100</v>
          </cell>
          <cell r="D400" t="str">
            <v>一般福利费</v>
          </cell>
        </row>
        <row r="401">
          <cell r="A401" t="str">
            <v>401200</v>
          </cell>
          <cell r="D401" t="str">
            <v>培训费</v>
          </cell>
        </row>
        <row r="402">
          <cell r="A402" t="str">
            <v>401300</v>
          </cell>
          <cell r="D402" t="str">
            <v>招聘费</v>
          </cell>
        </row>
        <row r="403">
          <cell r="A403" t="str">
            <v>401400</v>
          </cell>
          <cell r="D403" t="str">
            <v>劳务管理费</v>
          </cell>
        </row>
        <row r="404">
          <cell r="A404" t="str">
            <v>401500</v>
          </cell>
          <cell r="D404" t="str">
            <v>(中国不适用)n/a</v>
          </cell>
        </row>
        <row r="405">
          <cell r="A405" t="str">
            <v>401600</v>
          </cell>
          <cell r="D405" t="str">
            <v>退职付给准备金提取</v>
          </cell>
        </row>
        <row r="406">
          <cell r="A406" t="str">
            <v>401990</v>
          </cell>
          <cell r="D406" t="str">
            <v>劳务费小计</v>
          </cell>
        </row>
        <row r="407">
          <cell r="A407" t="str">
            <v>402100</v>
          </cell>
          <cell r="D407" t="str">
            <v>销售手续费</v>
          </cell>
        </row>
        <row r="408">
          <cell r="A408" t="str">
            <v>402200</v>
          </cell>
          <cell r="D408" t="str">
            <v>邮送专递费用</v>
          </cell>
        </row>
        <row r="409">
          <cell r="A409" t="str">
            <v>402300</v>
          </cell>
          <cell r="D409" t="str">
            <v>船运费用</v>
          </cell>
        </row>
        <row r="410">
          <cell r="A410" t="str">
            <v>402400</v>
          </cell>
          <cell r="D410" t="str">
            <v>样品费用</v>
          </cell>
        </row>
        <row r="411">
          <cell r="A411" t="str">
            <v>402500</v>
          </cell>
          <cell r="D411" t="str">
            <v>广告费用</v>
          </cell>
        </row>
        <row r="412">
          <cell r="A412" t="str">
            <v>402600</v>
          </cell>
          <cell r="D412" t="str">
            <v>交际费用</v>
          </cell>
        </row>
        <row r="413">
          <cell r="A413" t="str">
            <v>402700</v>
          </cell>
          <cell r="D413" t="str">
            <v>会议费用</v>
          </cell>
        </row>
        <row r="414">
          <cell r="A414" t="str">
            <v>402800</v>
          </cell>
          <cell r="D414" t="str">
            <v>捐赠</v>
          </cell>
        </row>
        <row r="415">
          <cell r="A415" t="str">
            <v>402900</v>
          </cell>
          <cell r="D415" t="str">
            <v>电费</v>
          </cell>
        </row>
        <row r="416">
          <cell r="A416" t="str">
            <v>403000</v>
          </cell>
          <cell r="D416" t="str">
            <v>煤气自来水费用</v>
          </cell>
        </row>
        <row r="417">
          <cell r="A417" t="str">
            <v>403100</v>
          </cell>
          <cell r="D417" t="str">
            <v>燃料费</v>
          </cell>
        </row>
        <row r="418">
          <cell r="A418" t="str">
            <v>403200</v>
          </cell>
          <cell r="D418" t="str">
            <v>差旅及交通费</v>
          </cell>
        </row>
        <row r="419">
          <cell r="A419" t="str">
            <v>403300</v>
          </cell>
          <cell r="D419" t="str">
            <v>通信费</v>
          </cell>
        </row>
        <row r="420">
          <cell r="A420" t="str">
            <v>403400</v>
          </cell>
          <cell r="D420" t="str">
            <v>保险费</v>
          </cell>
        </row>
        <row r="421">
          <cell r="A421" t="str">
            <v>403500</v>
          </cell>
          <cell r="D421" t="str">
            <v>消耗品费</v>
          </cell>
        </row>
        <row r="422">
          <cell r="A422" t="str">
            <v>403600</v>
          </cell>
          <cell r="D422" t="str">
            <v>低值易耗品费费</v>
          </cell>
        </row>
        <row r="423">
          <cell r="A423" t="str">
            <v>403700</v>
          </cell>
          <cell r="D423" t="str">
            <v>模具费</v>
          </cell>
        </row>
        <row r="424">
          <cell r="A424" t="str">
            <v>403800</v>
          </cell>
          <cell r="D424" t="str">
            <v>自制消耗品费用</v>
          </cell>
        </row>
        <row r="425">
          <cell r="A425" t="str">
            <v>403900</v>
          </cell>
          <cell r="D425" t="str">
            <v>修理费</v>
          </cell>
        </row>
        <row r="426">
          <cell r="A426" t="str">
            <v>404000</v>
          </cell>
          <cell r="D426" t="str">
            <v>税金</v>
          </cell>
        </row>
        <row r="427">
          <cell r="A427" t="str">
            <v>404100</v>
          </cell>
          <cell r="D427" t="str">
            <v>折旧费用</v>
          </cell>
        </row>
        <row r="428">
          <cell r="A428" t="str">
            <v>404200</v>
          </cell>
          <cell r="D428" t="str">
            <v>递延资产摊销费用</v>
          </cell>
        </row>
        <row r="429">
          <cell r="A429" t="str">
            <v>404300</v>
          </cell>
          <cell r="D429" t="str">
            <v>银行手续费</v>
          </cell>
        </row>
        <row r="430">
          <cell r="A430" t="str">
            <v>404400</v>
          </cell>
          <cell r="D430" t="str">
            <v>支付手续费</v>
          </cell>
        </row>
        <row r="431">
          <cell r="A431" t="str">
            <v>404500</v>
          </cell>
          <cell r="D431" t="str">
            <v>业务委托费</v>
          </cell>
        </row>
        <row r="432">
          <cell r="A432" t="str">
            <v>404600</v>
          </cell>
          <cell r="D432" t="str">
            <v>审计费用</v>
          </cell>
        </row>
        <row r="433">
          <cell r="A433" t="str">
            <v>404700</v>
          </cell>
          <cell r="D433" t="str">
            <v>租赁费用</v>
          </cell>
        </row>
        <row r="434">
          <cell r="A434" t="str">
            <v>404800</v>
          </cell>
          <cell r="D434" t="str">
            <v>租金</v>
          </cell>
        </row>
        <row r="435">
          <cell r="A435" t="str">
            <v>404900</v>
          </cell>
          <cell r="D435" t="str">
            <v>书报费</v>
          </cell>
        </row>
        <row r="436">
          <cell r="A436" t="str">
            <v>405000</v>
          </cell>
          <cell r="D436" t="str">
            <v>会费</v>
          </cell>
        </row>
        <row r="437">
          <cell r="A437" t="str">
            <v>405100</v>
          </cell>
          <cell r="D437" t="str">
            <v>工会经费</v>
          </cell>
        </row>
        <row r="438">
          <cell r="A438" t="str">
            <v>405200</v>
          </cell>
          <cell r="D438" t="str">
            <v>委托加工费</v>
          </cell>
        </row>
        <row r="439">
          <cell r="A439" t="str">
            <v>405300</v>
          </cell>
          <cell r="D439" t="str">
            <v>技术援助费</v>
          </cell>
        </row>
        <row r="440">
          <cell r="A440" t="str">
            <v>405400</v>
          </cell>
          <cell r="D440" t="str">
            <v>经营援助费</v>
          </cell>
        </row>
        <row r="441">
          <cell r="A441" t="str">
            <v>405500</v>
          </cell>
          <cell r="D441" t="str">
            <v>顾问费</v>
          </cell>
        </row>
        <row r="442">
          <cell r="A442" t="str">
            <v>405600</v>
          </cell>
          <cell r="D442" t="str">
            <v>研究费</v>
          </cell>
        </row>
        <row r="443">
          <cell r="A443" t="str">
            <v>405700</v>
          </cell>
          <cell r="D443" t="str">
            <v>特许权使用费</v>
          </cell>
        </row>
        <row r="444">
          <cell r="A444" t="str">
            <v>405800</v>
          </cell>
          <cell r="D444" t="str">
            <v>坏帐准备提取额</v>
          </cell>
        </row>
        <row r="445">
          <cell r="A445" t="str">
            <v>405900</v>
          </cell>
          <cell r="D445" t="str">
            <v>坏帐损失</v>
          </cell>
        </row>
        <row r="446">
          <cell r="A446" t="str">
            <v>406000</v>
          </cell>
          <cell r="D446" t="str">
            <v>(中国不适用)n/a</v>
          </cell>
        </row>
        <row r="447">
          <cell r="A447" t="str">
            <v>406100</v>
          </cell>
          <cell r="D447" t="str">
            <v>事业税准备提取</v>
          </cell>
        </row>
        <row r="448">
          <cell r="A448" t="str">
            <v>406200</v>
          </cell>
          <cell r="D448" t="str">
            <v>事业场所税金准备提取</v>
          </cell>
        </row>
        <row r="449">
          <cell r="A449" t="str">
            <v>406300</v>
          </cell>
          <cell r="D449" t="str">
            <v>罚款支出</v>
          </cell>
        </row>
        <row r="450">
          <cell r="A450" t="str">
            <v>406400</v>
          </cell>
          <cell r="D450" t="str">
            <v>其他费用</v>
          </cell>
        </row>
        <row r="451">
          <cell r="A451" t="str">
            <v>406500</v>
          </cell>
          <cell r="D451" t="str">
            <v>外国劳工诸费用</v>
          </cell>
        </row>
        <row r="452">
          <cell r="A452" t="str">
            <v>406600</v>
          </cell>
          <cell r="D452" t="str">
            <v>一般运输费用</v>
          </cell>
        </row>
        <row r="453">
          <cell r="A453" t="str">
            <v>406990</v>
          </cell>
          <cell r="D453" t="str">
            <v>经费小计</v>
          </cell>
        </row>
        <row r="454">
          <cell r="A454" t="str">
            <v>409990</v>
          </cell>
          <cell r="D454" t="str">
            <v>销售及一般管理费用合计</v>
          </cell>
        </row>
        <row r="455">
          <cell r="A455" t="str">
            <v>410100</v>
          </cell>
          <cell r="D455" t="str">
            <v>工资及附加费</v>
          </cell>
        </row>
        <row r="456">
          <cell r="A456" t="str">
            <v>410110</v>
          </cell>
          <cell r="D456" t="str">
            <v>工资及附加费-当地职工</v>
          </cell>
        </row>
        <row r="457">
          <cell r="A457" t="str">
            <v>410120</v>
          </cell>
          <cell r="D457" t="str">
            <v>工资及附加费-日本人职工</v>
          </cell>
        </row>
        <row r="458">
          <cell r="A458" t="str">
            <v>410200</v>
          </cell>
          <cell r="D458" t="str">
            <v>其他工资性支出</v>
          </cell>
        </row>
        <row r="459">
          <cell r="A459" t="str">
            <v>410300</v>
          </cell>
          <cell r="D459" t="str">
            <v>奖金</v>
          </cell>
        </row>
        <row r="460">
          <cell r="A460" t="str">
            <v>410310</v>
          </cell>
          <cell r="D460" t="str">
            <v>奖金-当地职工</v>
          </cell>
        </row>
        <row r="461">
          <cell r="A461" t="str">
            <v>410320</v>
          </cell>
          <cell r="D461" t="str">
            <v>奖金-日本人职工</v>
          </cell>
        </row>
        <row r="462">
          <cell r="A462" t="str">
            <v>410400</v>
          </cell>
          <cell r="D462" t="str">
            <v>奖金提取</v>
          </cell>
        </row>
        <row r="463">
          <cell r="A463" t="str">
            <v>410500</v>
          </cell>
          <cell r="D463" t="str">
            <v>退职金</v>
          </cell>
        </row>
        <row r="464">
          <cell r="A464" t="str">
            <v>410600</v>
          </cell>
          <cell r="D464" t="str">
            <v>退职金提取</v>
          </cell>
        </row>
        <row r="465">
          <cell r="A465" t="str">
            <v>410700</v>
          </cell>
          <cell r="D465" t="str">
            <v>董事报酬</v>
          </cell>
        </row>
        <row r="466">
          <cell r="A466" t="str">
            <v>410800</v>
          </cell>
          <cell r="D466" t="str">
            <v>董事退职金</v>
          </cell>
        </row>
        <row r="467">
          <cell r="A467" t="str">
            <v>410900</v>
          </cell>
          <cell r="D467" t="str">
            <v>(中国不适用)n/a</v>
          </cell>
        </row>
        <row r="468">
          <cell r="A468" t="str">
            <v>411000</v>
          </cell>
          <cell r="D468" t="str">
            <v>法定福利费</v>
          </cell>
        </row>
        <row r="469">
          <cell r="A469" t="str">
            <v>411100</v>
          </cell>
          <cell r="D469" t="str">
            <v>福利费</v>
          </cell>
        </row>
        <row r="470">
          <cell r="A470" t="str">
            <v>411200</v>
          </cell>
          <cell r="D470" t="str">
            <v>培训费</v>
          </cell>
        </row>
        <row r="471">
          <cell r="A471" t="str">
            <v>411300</v>
          </cell>
          <cell r="D471" t="str">
            <v>招聘费</v>
          </cell>
        </row>
        <row r="472">
          <cell r="A472" t="str">
            <v>411400</v>
          </cell>
          <cell r="D472" t="str">
            <v>劳务管理费</v>
          </cell>
        </row>
        <row r="473">
          <cell r="A473" t="str">
            <v>411500</v>
          </cell>
          <cell r="D473" t="str">
            <v>(中国不适用)n/a</v>
          </cell>
        </row>
        <row r="474">
          <cell r="A474" t="str">
            <v>411600</v>
          </cell>
          <cell r="D474" t="str">
            <v>退职付给准备金提取</v>
          </cell>
        </row>
        <row r="475">
          <cell r="A475" t="str">
            <v>412100</v>
          </cell>
          <cell r="D475" t="str">
            <v>销售手续费</v>
          </cell>
        </row>
        <row r="476">
          <cell r="A476" t="str">
            <v>412100</v>
          </cell>
          <cell r="D476" t="str">
            <v>销售手续费-有交易对方</v>
          </cell>
        </row>
        <row r="477">
          <cell r="A477" t="str">
            <v>412100</v>
          </cell>
          <cell r="D477" t="str">
            <v>销售手续费-其他</v>
          </cell>
        </row>
        <row r="478">
          <cell r="A478" t="str">
            <v>412200</v>
          </cell>
          <cell r="D478" t="str">
            <v>邮送专递费用</v>
          </cell>
        </row>
        <row r="479">
          <cell r="A479" t="str">
            <v>412300</v>
          </cell>
          <cell r="D479" t="str">
            <v>船运费用</v>
          </cell>
        </row>
        <row r="480">
          <cell r="A480" t="str">
            <v>412400</v>
          </cell>
          <cell r="D480" t="str">
            <v>样品费用</v>
          </cell>
        </row>
        <row r="481">
          <cell r="A481" t="str">
            <v>412500</v>
          </cell>
          <cell r="D481" t="str">
            <v>广告费用</v>
          </cell>
        </row>
        <row r="482">
          <cell r="A482" t="str">
            <v>412600</v>
          </cell>
          <cell r="D482" t="str">
            <v>交际费用</v>
          </cell>
        </row>
        <row r="483">
          <cell r="A483" t="str">
            <v>412700</v>
          </cell>
          <cell r="D483" t="str">
            <v>会议费用</v>
          </cell>
        </row>
        <row r="484">
          <cell r="A484" t="str">
            <v>412800</v>
          </cell>
          <cell r="D484" t="str">
            <v>捐赠</v>
          </cell>
        </row>
        <row r="485">
          <cell r="A485" t="str">
            <v>412900</v>
          </cell>
          <cell r="D485" t="str">
            <v>电费</v>
          </cell>
        </row>
        <row r="486">
          <cell r="A486" t="str">
            <v>413000</v>
          </cell>
          <cell r="D486" t="str">
            <v>煤气自来水费用</v>
          </cell>
        </row>
        <row r="487">
          <cell r="A487" t="str">
            <v>413100</v>
          </cell>
          <cell r="D487" t="str">
            <v>燃料费</v>
          </cell>
        </row>
        <row r="488">
          <cell r="A488" t="str">
            <v>413200</v>
          </cell>
          <cell r="D488" t="str">
            <v>差旅及交通费</v>
          </cell>
        </row>
        <row r="489">
          <cell r="A489" t="str">
            <v>413300</v>
          </cell>
          <cell r="D489" t="str">
            <v>通信费</v>
          </cell>
        </row>
        <row r="490">
          <cell r="A490" t="str">
            <v>413400</v>
          </cell>
          <cell r="D490" t="str">
            <v>保险费</v>
          </cell>
        </row>
        <row r="491">
          <cell r="A491" t="str">
            <v>413500</v>
          </cell>
          <cell r="D491" t="str">
            <v>消耗品费</v>
          </cell>
        </row>
        <row r="492">
          <cell r="A492" t="str">
            <v>413600</v>
          </cell>
          <cell r="D492" t="str">
            <v>低值易耗品费费</v>
          </cell>
        </row>
        <row r="493">
          <cell r="A493" t="str">
            <v>413700</v>
          </cell>
          <cell r="D493" t="str">
            <v>模具费</v>
          </cell>
        </row>
        <row r="494">
          <cell r="A494" t="str">
            <v>413800</v>
          </cell>
          <cell r="D494" t="str">
            <v>自制消耗品费用</v>
          </cell>
        </row>
        <row r="495">
          <cell r="A495" t="str">
            <v>413900</v>
          </cell>
          <cell r="D495" t="str">
            <v>修理费</v>
          </cell>
        </row>
        <row r="496">
          <cell r="A496" t="str">
            <v>414000</v>
          </cell>
          <cell r="D496" t="str">
            <v>税金</v>
          </cell>
        </row>
        <row r="497">
          <cell r="A497" t="str">
            <v>414100</v>
          </cell>
          <cell r="D497" t="str">
            <v>折旧费用</v>
          </cell>
        </row>
        <row r="498">
          <cell r="A498" t="str">
            <v>414200</v>
          </cell>
          <cell r="D498" t="str">
            <v>递延资产摊销费用</v>
          </cell>
        </row>
        <row r="499">
          <cell r="A499" t="str">
            <v>414300</v>
          </cell>
          <cell r="D499" t="str">
            <v>银行手续费</v>
          </cell>
        </row>
        <row r="500">
          <cell r="A500" t="str">
            <v>414400</v>
          </cell>
          <cell r="D500" t="str">
            <v>支付手续费</v>
          </cell>
        </row>
        <row r="501">
          <cell r="A501" t="str">
            <v>414410</v>
          </cell>
          <cell r="D501" t="str">
            <v>支付手续费 - 翻译费 .制图费</v>
          </cell>
        </row>
        <row r="502">
          <cell r="A502" t="str">
            <v>414420</v>
          </cell>
          <cell r="D502" t="str">
            <v>支付手续费 - 其他</v>
          </cell>
        </row>
        <row r="503">
          <cell r="A503" t="str">
            <v>414500</v>
          </cell>
          <cell r="D503" t="str">
            <v>业务委托费</v>
          </cell>
        </row>
        <row r="504">
          <cell r="A504" t="str">
            <v>414600</v>
          </cell>
          <cell r="D504" t="str">
            <v>审计费用</v>
          </cell>
        </row>
        <row r="505">
          <cell r="A505" t="str">
            <v>414700</v>
          </cell>
          <cell r="D505" t="str">
            <v>租赁费用</v>
          </cell>
        </row>
        <row r="506">
          <cell r="A506" t="str">
            <v>414800</v>
          </cell>
          <cell r="D506" t="str">
            <v>租金</v>
          </cell>
        </row>
        <row r="507">
          <cell r="A507" t="str">
            <v>414900</v>
          </cell>
          <cell r="D507" t="str">
            <v>书报费</v>
          </cell>
        </row>
        <row r="508">
          <cell r="A508" t="str">
            <v>415000</v>
          </cell>
          <cell r="D508" t="str">
            <v>会费</v>
          </cell>
        </row>
        <row r="509">
          <cell r="A509" t="str">
            <v>415100</v>
          </cell>
          <cell r="D509" t="str">
            <v>工会经费</v>
          </cell>
        </row>
        <row r="510">
          <cell r="A510" t="str">
            <v>415200</v>
          </cell>
          <cell r="D510" t="str">
            <v>委托加工费</v>
          </cell>
        </row>
        <row r="511">
          <cell r="A511" t="str">
            <v>415300</v>
          </cell>
          <cell r="D511" t="str">
            <v>技术援助费</v>
          </cell>
        </row>
        <row r="512">
          <cell r="A512" t="str">
            <v>415400</v>
          </cell>
          <cell r="D512" t="str">
            <v>经营援助费</v>
          </cell>
        </row>
        <row r="513">
          <cell r="A513" t="str">
            <v>415410</v>
          </cell>
          <cell r="D513" t="str">
            <v>经营援助费-日本人工资及奖金</v>
          </cell>
        </row>
        <row r="514">
          <cell r="A514" t="str">
            <v>415420</v>
          </cell>
          <cell r="D514" t="str">
            <v>经营援助费-其他</v>
          </cell>
        </row>
        <row r="515">
          <cell r="A515" t="str">
            <v>415500</v>
          </cell>
          <cell r="D515" t="str">
            <v>顾问费</v>
          </cell>
        </row>
        <row r="516">
          <cell r="A516" t="str">
            <v>415600</v>
          </cell>
          <cell r="D516" t="str">
            <v>研究费</v>
          </cell>
        </row>
        <row r="517">
          <cell r="A517" t="str">
            <v>415700</v>
          </cell>
          <cell r="D517" t="str">
            <v>特许权关联费用</v>
          </cell>
        </row>
        <row r="518">
          <cell r="A518" t="str">
            <v>415800</v>
          </cell>
          <cell r="D518" t="str">
            <v>坏帐准备提取额</v>
          </cell>
        </row>
        <row r="519">
          <cell r="A519" t="str">
            <v>415900</v>
          </cell>
          <cell r="D519" t="str">
            <v>坏帐损失</v>
          </cell>
        </row>
        <row r="520">
          <cell r="A520" t="str">
            <v>416000</v>
          </cell>
          <cell r="D520" t="str">
            <v>(中国不适用)n/a</v>
          </cell>
        </row>
        <row r="521">
          <cell r="A521" t="str">
            <v>416100</v>
          </cell>
          <cell r="D521" t="str">
            <v>事业税准备提取</v>
          </cell>
        </row>
        <row r="522">
          <cell r="A522" t="str">
            <v>416200</v>
          </cell>
          <cell r="D522" t="str">
            <v>事业场所税金准备提取</v>
          </cell>
        </row>
        <row r="523">
          <cell r="A523" t="str">
            <v>416300</v>
          </cell>
          <cell r="D523" t="str">
            <v>罚款支出</v>
          </cell>
        </row>
        <row r="524">
          <cell r="A524" t="str">
            <v>416400</v>
          </cell>
          <cell r="D524" t="str">
            <v>其他费用</v>
          </cell>
        </row>
        <row r="525">
          <cell r="A525" t="str">
            <v>416500</v>
          </cell>
          <cell r="D525" t="str">
            <v>外国劳工诸费用</v>
          </cell>
        </row>
        <row r="526">
          <cell r="A526" t="str">
            <v>416600</v>
          </cell>
          <cell r="D526" t="str">
            <v>一般运输费用</v>
          </cell>
        </row>
        <row r="527">
          <cell r="A527" t="str">
            <v>420700</v>
          </cell>
          <cell r="D527" t="str">
            <v>董事报酬</v>
          </cell>
        </row>
        <row r="528">
          <cell r="A528" t="str">
            <v>424410</v>
          </cell>
          <cell r="D528" t="str">
            <v>支付手续费 - 翻译费 .制图费</v>
          </cell>
        </row>
        <row r="529">
          <cell r="A529" t="str">
            <v>424700</v>
          </cell>
          <cell r="D529" t="str">
            <v>租赁费</v>
          </cell>
        </row>
        <row r="530">
          <cell r="A530" t="str">
            <v>424800</v>
          </cell>
          <cell r="D530" t="str">
            <v>租金</v>
          </cell>
        </row>
        <row r="531">
          <cell r="A531" t="str">
            <v>425400</v>
          </cell>
          <cell r="D531" t="str">
            <v>经营援助费</v>
          </cell>
        </row>
        <row r="532">
          <cell r="A532" t="str">
            <v>425420</v>
          </cell>
          <cell r="D532" t="str">
            <v>经营援助费-其他</v>
          </cell>
        </row>
        <row r="533">
          <cell r="A533" t="str">
            <v>426300</v>
          </cell>
          <cell r="D533" t="str">
            <v>罚款支出</v>
          </cell>
        </row>
        <row r="534">
          <cell r="A534" t="str">
            <v>430100</v>
          </cell>
          <cell r="D534" t="str">
            <v>工资及附加费</v>
          </cell>
        </row>
        <row r="535">
          <cell r="A535" t="str">
            <v>430110</v>
          </cell>
          <cell r="D535" t="str">
            <v>工资及附加费-当地职工</v>
          </cell>
        </row>
        <row r="536">
          <cell r="A536" t="str">
            <v>430120</v>
          </cell>
          <cell r="D536" t="str">
            <v>工资及附加费-日本人职工</v>
          </cell>
        </row>
        <row r="537">
          <cell r="A537" t="str">
            <v>430200</v>
          </cell>
          <cell r="D537" t="str">
            <v>其他工资性支出</v>
          </cell>
        </row>
        <row r="538">
          <cell r="A538" t="str">
            <v>430300</v>
          </cell>
          <cell r="D538" t="str">
            <v>奖金</v>
          </cell>
        </row>
        <row r="539">
          <cell r="A539" t="str">
            <v>430310</v>
          </cell>
          <cell r="D539" t="str">
            <v>奖金-当地职工</v>
          </cell>
        </row>
        <row r="540">
          <cell r="A540" t="str">
            <v>430320</v>
          </cell>
          <cell r="D540" t="str">
            <v>奖金-日本人职工</v>
          </cell>
        </row>
        <row r="541">
          <cell r="A541" t="str">
            <v>430400</v>
          </cell>
          <cell r="D541" t="str">
            <v>奖金提取</v>
          </cell>
        </row>
        <row r="542">
          <cell r="A542" t="str">
            <v>430500</v>
          </cell>
          <cell r="D542" t="str">
            <v>退职金</v>
          </cell>
        </row>
        <row r="543">
          <cell r="A543" t="str">
            <v>430600</v>
          </cell>
          <cell r="D543" t="str">
            <v>退职金提取</v>
          </cell>
        </row>
        <row r="544">
          <cell r="A544" t="str">
            <v>430700</v>
          </cell>
          <cell r="D544" t="str">
            <v>董事报酬</v>
          </cell>
        </row>
        <row r="545">
          <cell r="A545" t="str">
            <v>430800</v>
          </cell>
          <cell r="D545" t="str">
            <v>董事退职金</v>
          </cell>
        </row>
        <row r="546">
          <cell r="A546" t="str">
            <v>430900</v>
          </cell>
          <cell r="D546" t="str">
            <v>(中国不适用)n/a</v>
          </cell>
        </row>
        <row r="547">
          <cell r="A547" t="str">
            <v>431000</v>
          </cell>
          <cell r="D547" t="str">
            <v>法定福利费</v>
          </cell>
        </row>
        <row r="548">
          <cell r="A548" t="str">
            <v>431100</v>
          </cell>
          <cell r="D548" t="str">
            <v>福利费</v>
          </cell>
        </row>
        <row r="549">
          <cell r="A549" t="str">
            <v>431200</v>
          </cell>
          <cell r="D549" t="str">
            <v>培训费</v>
          </cell>
        </row>
        <row r="550">
          <cell r="A550" t="str">
            <v>431300</v>
          </cell>
          <cell r="D550" t="str">
            <v>招聘费</v>
          </cell>
        </row>
        <row r="551">
          <cell r="A551" t="str">
            <v>431400</v>
          </cell>
          <cell r="D551" t="str">
            <v>劳务管理费</v>
          </cell>
        </row>
        <row r="552">
          <cell r="A552" t="str">
            <v>431600</v>
          </cell>
          <cell r="D552" t="str">
            <v>退职付给准备金提取</v>
          </cell>
        </row>
        <row r="553">
          <cell r="A553" t="str">
            <v>431990</v>
          </cell>
          <cell r="D553" t="str">
            <v>劳务费小计</v>
          </cell>
        </row>
        <row r="554">
          <cell r="A554" t="str">
            <v>432100</v>
          </cell>
          <cell r="D554" t="str">
            <v>销售手续费</v>
          </cell>
        </row>
        <row r="555">
          <cell r="A555" t="str">
            <v>432200</v>
          </cell>
          <cell r="D555" t="str">
            <v>邮送专递费用</v>
          </cell>
        </row>
        <row r="556">
          <cell r="A556" t="str">
            <v>432300</v>
          </cell>
          <cell r="D556" t="str">
            <v>船运费用</v>
          </cell>
        </row>
        <row r="557">
          <cell r="A557" t="str">
            <v>432400</v>
          </cell>
          <cell r="D557" t="str">
            <v>样品费用</v>
          </cell>
        </row>
        <row r="558">
          <cell r="A558" t="str">
            <v>432500</v>
          </cell>
          <cell r="D558" t="str">
            <v>广告费用</v>
          </cell>
        </row>
        <row r="559">
          <cell r="A559" t="str">
            <v>432600</v>
          </cell>
          <cell r="D559" t="str">
            <v>交际费用</v>
          </cell>
        </row>
        <row r="560">
          <cell r="A560" t="str">
            <v>432700</v>
          </cell>
          <cell r="D560" t="str">
            <v>会议费用</v>
          </cell>
        </row>
        <row r="561">
          <cell r="A561" t="str">
            <v>432800</v>
          </cell>
          <cell r="D561" t="str">
            <v>捐赠</v>
          </cell>
        </row>
        <row r="562">
          <cell r="A562" t="str">
            <v>432900</v>
          </cell>
          <cell r="D562" t="str">
            <v>电费</v>
          </cell>
        </row>
        <row r="563">
          <cell r="A563" t="str">
            <v>433000</v>
          </cell>
          <cell r="D563" t="str">
            <v>煤气自来水费用</v>
          </cell>
        </row>
        <row r="564">
          <cell r="A564" t="str">
            <v>433100</v>
          </cell>
          <cell r="D564" t="str">
            <v>燃料费</v>
          </cell>
        </row>
        <row r="565">
          <cell r="A565" t="str">
            <v>433200</v>
          </cell>
          <cell r="D565" t="str">
            <v>差旅及交通费</v>
          </cell>
        </row>
        <row r="566">
          <cell r="A566" t="str">
            <v>433300</v>
          </cell>
          <cell r="D566" t="str">
            <v>通信费</v>
          </cell>
        </row>
        <row r="567">
          <cell r="A567" t="str">
            <v>433400</v>
          </cell>
          <cell r="D567" t="str">
            <v>保险费</v>
          </cell>
        </row>
        <row r="568">
          <cell r="A568" t="str">
            <v>433500</v>
          </cell>
          <cell r="D568" t="str">
            <v>消耗品费</v>
          </cell>
        </row>
        <row r="569">
          <cell r="A569" t="str">
            <v>433600</v>
          </cell>
          <cell r="D569" t="str">
            <v>低值易耗品费费</v>
          </cell>
        </row>
        <row r="570">
          <cell r="A570" t="str">
            <v>433700</v>
          </cell>
          <cell r="D570" t="str">
            <v>模具费</v>
          </cell>
        </row>
        <row r="571">
          <cell r="A571" t="str">
            <v>433800</v>
          </cell>
          <cell r="D571" t="str">
            <v>自制消耗品费用</v>
          </cell>
        </row>
        <row r="572">
          <cell r="A572" t="str">
            <v>433900</v>
          </cell>
          <cell r="D572" t="str">
            <v>修理费</v>
          </cell>
        </row>
        <row r="573">
          <cell r="A573" t="str">
            <v>434000</v>
          </cell>
          <cell r="D573" t="str">
            <v>税金</v>
          </cell>
        </row>
        <row r="574">
          <cell r="A574" t="str">
            <v>434100</v>
          </cell>
          <cell r="D574" t="str">
            <v>折旧费用</v>
          </cell>
        </row>
        <row r="575">
          <cell r="A575" t="str">
            <v>434200</v>
          </cell>
          <cell r="D575" t="str">
            <v>递延资产摊销费用</v>
          </cell>
        </row>
        <row r="576">
          <cell r="A576" t="str">
            <v>434300</v>
          </cell>
          <cell r="D576" t="str">
            <v>银行手续费</v>
          </cell>
        </row>
        <row r="577">
          <cell r="A577" t="str">
            <v>434400</v>
          </cell>
          <cell r="D577" t="str">
            <v>支付手续费</v>
          </cell>
        </row>
        <row r="578">
          <cell r="A578" t="str">
            <v>434500</v>
          </cell>
          <cell r="D578" t="str">
            <v>业务委托费</v>
          </cell>
        </row>
        <row r="579">
          <cell r="A579" t="str">
            <v>434600</v>
          </cell>
          <cell r="D579" t="str">
            <v>审计费用</v>
          </cell>
        </row>
        <row r="580">
          <cell r="A580" t="str">
            <v>434700</v>
          </cell>
          <cell r="D580" t="str">
            <v>租赁费用</v>
          </cell>
        </row>
        <row r="581">
          <cell r="A581" t="str">
            <v>434800</v>
          </cell>
          <cell r="D581" t="str">
            <v>租金</v>
          </cell>
        </row>
        <row r="582">
          <cell r="A582" t="str">
            <v>434900</v>
          </cell>
          <cell r="D582" t="str">
            <v>书报费</v>
          </cell>
        </row>
        <row r="583">
          <cell r="A583" t="str">
            <v>435000</v>
          </cell>
          <cell r="D583" t="str">
            <v>会费</v>
          </cell>
        </row>
        <row r="584">
          <cell r="A584" t="str">
            <v>435100</v>
          </cell>
          <cell r="D584" t="str">
            <v>工会经费</v>
          </cell>
        </row>
        <row r="585">
          <cell r="A585" t="str">
            <v>435200</v>
          </cell>
          <cell r="D585" t="str">
            <v>委托加工费</v>
          </cell>
        </row>
        <row r="586">
          <cell r="A586" t="str">
            <v>435300</v>
          </cell>
          <cell r="D586" t="str">
            <v>技术援助费</v>
          </cell>
        </row>
        <row r="587">
          <cell r="A587" t="str">
            <v>435400</v>
          </cell>
          <cell r="D587" t="str">
            <v>经营援助费</v>
          </cell>
        </row>
        <row r="588">
          <cell r="A588" t="str">
            <v>435500</v>
          </cell>
          <cell r="D588" t="str">
            <v>顾问费</v>
          </cell>
        </row>
        <row r="589">
          <cell r="A589" t="str">
            <v>435600</v>
          </cell>
          <cell r="D589" t="str">
            <v>研究费</v>
          </cell>
        </row>
        <row r="590">
          <cell r="A590" t="str">
            <v>435700</v>
          </cell>
          <cell r="D590" t="str">
            <v>特许权关联费用</v>
          </cell>
        </row>
        <row r="591">
          <cell r="A591" t="str">
            <v>435800</v>
          </cell>
          <cell r="D591" t="str">
            <v>坏帐准备提取额</v>
          </cell>
        </row>
        <row r="592">
          <cell r="A592" t="str">
            <v>435900</v>
          </cell>
          <cell r="D592" t="str">
            <v>坏帐损失</v>
          </cell>
        </row>
        <row r="593">
          <cell r="A593" t="str">
            <v>436000</v>
          </cell>
          <cell r="D593" t="str">
            <v>(中国不适用)n/a</v>
          </cell>
        </row>
        <row r="594">
          <cell r="A594" t="str">
            <v>436100</v>
          </cell>
          <cell r="D594" t="str">
            <v>事业税准备提取</v>
          </cell>
        </row>
        <row r="595">
          <cell r="A595" t="str">
            <v>436200</v>
          </cell>
          <cell r="D595" t="str">
            <v>事业场所税金准备提取</v>
          </cell>
        </row>
        <row r="596">
          <cell r="A596" t="str">
            <v>436300</v>
          </cell>
          <cell r="D596" t="str">
            <v>罚款支出</v>
          </cell>
        </row>
        <row r="597">
          <cell r="A597" t="str">
            <v>436400</v>
          </cell>
          <cell r="D597" t="str">
            <v>其他费用</v>
          </cell>
        </row>
        <row r="598">
          <cell r="A598" t="str">
            <v>436500</v>
          </cell>
          <cell r="D598" t="str">
            <v>外国劳工诸费用</v>
          </cell>
        </row>
        <row r="599">
          <cell r="A599" t="str">
            <v>436600</v>
          </cell>
          <cell r="D599" t="str">
            <v>一般运输费用</v>
          </cell>
        </row>
        <row r="600">
          <cell r="A600" t="str">
            <v>436990</v>
          </cell>
          <cell r="D600" t="str">
            <v>经费小计</v>
          </cell>
        </row>
        <row r="601">
          <cell r="A601" t="str">
            <v>437990</v>
          </cell>
          <cell r="D601" t="str">
            <v>合计</v>
          </cell>
        </row>
        <row r="602">
          <cell r="A602" t="str">
            <v>450100</v>
          </cell>
          <cell r="D602" t="str">
            <v>直接工资及附加费</v>
          </cell>
        </row>
        <row r="603">
          <cell r="A603" t="str">
            <v>450200</v>
          </cell>
          <cell r="D603" t="str">
            <v>直接工资性其他支出</v>
          </cell>
        </row>
        <row r="604">
          <cell r="A604" t="str">
            <v>450300</v>
          </cell>
          <cell r="D604" t="str">
            <v>直接奖金</v>
          </cell>
        </row>
        <row r="605">
          <cell r="A605" t="str">
            <v>450400</v>
          </cell>
          <cell r="D605" t="str">
            <v>直接奖金提取</v>
          </cell>
        </row>
        <row r="606">
          <cell r="A606" t="str">
            <v>450500</v>
          </cell>
          <cell r="D606" t="str">
            <v>直接退职金</v>
          </cell>
        </row>
        <row r="607">
          <cell r="A607" t="str">
            <v>450600</v>
          </cell>
          <cell r="D607" t="str">
            <v>直接退职金提取</v>
          </cell>
        </row>
        <row r="608">
          <cell r="A608" t="str">
            <v>450900</v>
          </cell>
          <cell r="D608" t="str">
            <v>(中国不适用)n/a</v>
          </cell>
        </row>
        <row r="609">
          <cell r="A609" t="str">
            <v>451000</v>
          </cell>
          <cell r="D609" t="str">
            <v>直接法定福利费</v>
          </cell>
        </row>
        <row r="610">
          <cell r="A610" t="str">
            <v>451100</v>
          </cell>
          <cell r="D610" t="str">
            <v>直接福利费</v>
          </cell>
        </row>
        <row r="611">
          <cell r="A611" t="str">
            <v>451200</v>
          </cell>
          <cell r="D611" t="str">
            <v>直接培训费</v>
          </cell>
        </row>
        <row r="612">
          <cell r="A612" t="str">
            <v>451400</v>
          </cell>
          <cell r="D612" t="str">
            <v>直接劳务管理费用</v>
          </cell>
        </row>
        <row r="613">
          <cell r="A613" t="str">
            <v>451500</v>
          </cell>
          <cell r="D613" t="str">
            <v>(中国不适用)n/a</v>
          </cell>
        </row>
        <row r="614">
          <cell r="A614" t="str">
            <v>451600</v>
          </cell>
          <cell r="D614" t="str">
            <v>直接退职付给准备金提取</v>
          </cell>
        </row>
        <row r="615">
          <cell r="A615" t="str">
            <v>451990</v>
          </cell>
          <cell r="D615" t="str">
            <v>直接劳务费小计</v>
          </cell>
        </row>
        <row r="616">
          <cell r="A616" t="str">
            <v>460100</v>
          </cell>
          <cell r="D616" t="str">
            <v>工资及附加费</v>
          </cell>
        </row>
        <row r="617">
          <cell r="A617" t="str">
            <v>460110</v>
          </cell>
          <cell r="D617" t="str">
            <v>工资及附加费-当地职工</v>
          </cell>
        </row>
        <row r="618">
          <cell r="A618" t="str">
            <v>460120</v>
          </cell>
          <cell r="D618" t="str">
            <v>工资及附加费-日本人职工</v>
          </cell>
        </row>
        <row r="619">
          <cell r="A619" t="str">
            <v>460200</v>
          </cell>
          <cell r="D619" t="str">
            <v>其他工资性支出</v>
          </cell>
        </row>
        <row r="620">
          <cell r="A620" t="str">
            <v>460300</v>
          </cell>
          <cell r="D620" t="str">
            <v>奖金</v>
          </cell>
        </row>
        <row r="621">
          <cell r="A621" t="str">
            <v>460310</v>
          </cell>
          <cell r="D621" t="str">
            <v>奖金-当地职工</v>
          </cell>
        </row>
        <row r="622">
          <cell r="A622" t="str">
            <v>460320</v>
          </cell>
          <cell r="D622" t="str">
            <v>奖金-日本人职工</v>
          </cell>
        </row>
        <row r="623">
          <cell r="A623" t="str">
            <v>460400</v>
          </cell>
          <cell r="D623" t="str">
            <v>奖金提取</v>
          </cell>
        </row>
        <row r="624">
          <cell r="A624" t="str">
            <v>460500</v>
          </cell>
          <cell r="D624" t="str">
            <v>退职金</v>
          </cell>
        </row>
        <row r="625">
          <cell r="A625" t="str">
            <v>460600</v>
          </cell>
          <cell r="D625" t="str">
            <v>退职金提取</v>
          </cell>
        </row>
        <row r="626">
          <cell r="A626" t="str">
            <v>460700</v>
          </cell>
          <cell r="D626" t="str">
            <v>董事报酬</v>
          </cell>
        </row>
        <row r="627">
          <cell r="A627" t="str">
            <v>460800</v>
          </cell>
          <cell r="D627" t="str">
            <v>董事退职金</v>
          </cell>
        </row>
        <row r="628">
          <cell r="A628" t="str">
            <v>460900</v>
          </cell>
          <cell r="D628" t="str">
            <v>(中国不适用)n/a</v>
          </cell>
        </row>
        <row r="629">
          <cell r="A629" t="str">
            <v>461000</v>
          </cell>
          <cell r="D629" t="str">
            <v>法定福利费</v>
          </cell>
        </row>
        <row r="630">
          <cell r="A630" t="str">
            <v>461100</v>
          </cell>
          <cell r="D630" t="str">
            <v>福利费</v>
          </cell>
        </row>
        <row r="631">
          <cell r="A631" t="str">
            <v>461200</v>
          </cell>
          <cell r="D631" t="str">
            <v>培训费</v>
          </cell>
        </row>
        <row r="632">
          <cell r="A632" t="str">
            <v>461300</v>
          </cell>
          <cell r="D632" t="str">
            <v>招聘费</v>
          </cell>
        </row>
        <row r="633">
          <cell r="A633" t="str">
            <v>461400</v>
          </cell>
          <cell r="D633" t="str">
            <v>劳务管理费用</v>
          </cell>
        </row>
        <row r="634">
          <cell r="A634" t="str">
            <v>461500</v>
          </cell>
          <cell r="D634" t="str">
            <v>(中国不适用)n/a</v>
          </cell>
        </row>
        <row r="635">
          <cell r="A635" t="str">
            <v>461600</v>
          </cell>
          <cell r="D635" t="str">
            <v>退职付给准备金提取</v>
          </cell>
        </row>
        <row r="636">
          <cell r="A636" t="str">
            <v>461990</v>
          </cell>
          <cell r="D636" t="str">
            <v>间接劳务费用小计</v>
          </cell>
        </row>
        <row r="637">
          <cell r="A637" t="str">
            <v>472100</v>
          </cell>
          <cell r="D637" t="str">
            <v>销售手续费</v>
          </cell>
        </row>
        <row r="638">
          <cell r="A638" t="str">
            <v>472200</v>
          </cell>
          <cell r="D638" t="str">
            <v>邮送专递费用</v>
          </cell>
        </row>
        <row r="639">
          <cell r="A639" t="str">
            <v>472300</v>
          </cell>
          <cell r="D639" t="str">
            <v>船运费用</v>
          </cell>
        </row>
        <row r="640">
          <cell r="A640" t="str">
            <v>472400</v>
          </cell>
          <cell r="D640" t="str">
            <v>样品费用</v>
          </cell>
        </row>
        <row r="641">
          <cell r="A641" t="str">
            <v>472500</v>
          </cell>
          <cell r="D641" t="str">
            <v>广告费用</v>
          </cell>
        </row>
        <row r="642">
          <cell r="A642" t="str">
            <v>472600</v>
          </cell>
          <cell r="D642" t="str">
            <v>交际费用</v>
          </cell>
        </row>
        <row r="643">
          <cell r="A643" t="str">
            <v>472700</v>
          </cell>
          <cell r="D643" t="str">
            <v>会议费用</v>
          </cell>
        </row>
        <row r="644">
          <cell r="A644" t="str">
            <v>472800</v>
          </cell>
          <cell r="D644" t="str">
            <v>捐赠</v>
          </cell>
        </row>
        <row r="645">
          <cell r="A645" t="str">
            <v>472900</v>
          </cell>
          <cell r="D645" t="str">
            <v>电费</v>
          </cell>
        </row>
        <row r="646">
          <cell r="A646" t="str">
            <v>473000</v>
          </cell>
          <cell r="D646" t="str">
            <v>煤气自来水费用</v>
          </cell>
        </row>
        <row r="647">
          <cell r="A647" t="str">
            <v>473100</v>
          </cell>
          <cell r="D647" t="str">
            <v>燃料费</v>
          </cell>
        </row>
        <row r="648">
          <cell r="A648" t="str">
            <v>473200</v>
          </cell>
          <cell r="D648" t="str">
            <v>差旅及交通费</v>
          </cell>
        </row>
        <row r="649">
          <cell r="A649" t="str">
            <v>473300</v>
          </cell>
          <cell r="D649" t="str">
            <v>通信费</v>
          </cell>
        </row>
        <row r="650">
          <cell r="A650" t="str">
            <v>473400</v>
          </cell>
          <cell r="D650" t="str">
            <v>保险费</v>
          </cell>
        </row>
        <row r="651">
          <cell r="A651" t="str">
            <v>473500</v>
          </cell>
          <cell r="D651" t="str">
            <v>消耗品费</v>
          </cell>
        </row>
        <row r="652">
          <cell r="A652" t="str">
            <v>473600</v>
          </cell>
          <cell r="D652" t="str">
            <v>低值易耗品费费</v>
          </cell>
        </row>
        <row r="653">
          <cell r="A653" t="str">
            <v>473700</v>
          </cell>
          <cell r="D653" t="str">
            <v>模具费</v>
          </cell>
        </row>
        <row r="654">
          <cell r="A654" t="str">
            <v>473800</v>
          </cell>
          <cell r="D654" t="str">
            <v>自制消耗品费用</v>
          </cell>
        </row>
        <row r="655">
          <cell r="A655" t="str">
            <v>473900</v>
          </cell>
          <cell r="D655" t="str">
            <v>修理费</v>
          </cell>
        </row>
        <row r="656">
          <cell r="A656" t="str">
            <v>474000</v>
          </cell>
          <cell r="D656" t="str">
            <v>税金</v>
          </cell>
        </row>
        <row r="657">
          <cell r="A657" t="str">
            <v>474100</v>
          </cell>
          <cell r="D657" t="str">
            <v>折旧费用</v>
          </cell>
        </row>
        <row r="658">
          <cell r="A658" t="str">
            <v>474200</v>
          </cell>
          <cell r="D658" t="str">
            <v>递延资产摊销费用</v>
          </cell>
        </row>
        <row r="659">
          <cell r="A659" t="str">
            <v>474300</v>
          </cell>
          <cell r="D659" t="str">
            <v>银行手续费</v>
          </cell>
        </row>
        <row r="660">
          <cell r="A660" t="str">
            <v>474400</v>
          </cell>
          <cell r="D660" t="str">
            <v>支付手续费</v>
          </cell>
        </row>
        <row r="661">
          <cell r="A661" t="str">
            <v>474410</v>
          </cell>
          <cell r="D661" t="str">
            <v>支付手续费 - 翻译费 .制图费</v>
          </cell>
        </row>
        <row r="662">
          <cell r="A662" t="str">
            <v>474420</v>
          </cell>
          <cell r="D662" t="str">
            <v>支付手续费 - 其他</v>
          </cell>
        </row>
        <row r="663">
          <cell r="A663" t="str">
            <v>474500</v>
          </cell>
          <cell r="D663" t="str">
            <v>业务委托费</v>
          </cell>
        </row>
        <row r="664">
          <cell r="A664" t="str">
            <v>474600</v>
          </cell>
          <cell r="D664" t="str">
            <v>审计费用</v>
          </cell>
        </row>
        <row r="665">
          <cell r="A665" t="str">
            <v>474700</v>
          </cell>
          <cell r="D665" t="str">
            <v>租赁费用</v>
          </cell>
        </row>
        <row r="666">
          <cell r="A666" t="str">
            <v>474800</v>
          </cell>
          <cell r="D666" t="str">
            <v>租金</v>
          </cell>
        </row>
        <row r="667">
          <cell r="A667" t="str">
            <v>474900</v>
          </cell>
          <cell r="D667" t="str">
            <v>书报费</v>
          </cell>
        </row>
        <row r="668">
          <cell r="A668" t="str">
            <v>475000</v>
          </cell>
          <cell r="D668" t="str">
            <v>会费</v>
          </cell>
        </row>
        <row r="669">
          <cell r="A669" t="str">
            <v>475100</v>
          </cell>
          <cell r="D669" t="str">
            <v>工会经费</v>
          </cell>
        </row>
        <row r="670">
          <cell r="A670" t="str">
            <v>475200</v>
          </cell>
          <cell r="D670" t="str">
            <v>委托加工费</v>
          </cell>
        </row>
        <row r="671">
          <cell r="A671" t="str">
            <v>475300</v>
          </cell>
          <cell r="D671" t="str">
            <v>技术援助费</v>
          </cell>
        </row>
        <row r="672">
          <cell r="A672" t="str">
            <v>475400</v>
          </cell>
          <cell r="D672" t="str">
            <v>经营援助费</v>
          </cell>
        </row>
        <row r="673">
          <cell r="A673" t="str">
            <v>475410</v>
          </cell>
          <cell r="D673" t="str">
            <v>经营援助费-日本人工资及奖金</v>
          </cell>
        </row>
        <row r="674">
          <cell r="A674" t="str">
            <v>475420</v>
          </cell>
          <cell r="D674" t="str">
            <v>经营援助费-其他</v>
          </cell>
        </row>
        <row r="675">
          <cell r="A675" t="str">
            <v>475500</v>
          </cell>
          <cell r="D675" t="str">
            <v>顾问费</v>
          </cell>
        </row>
        <row r="676">
          <cell r="A676" t="str">
            <v>475600</v>
          </cell>
          <cell r="D676" t="str">
            <v>研究费</v>
          </cell>
        </row>
        <row r="677">
          <cell r="A677" t="str">
            <v>475700</v>
          </cell>
          <cell r="D677" t="str">
            <v>特许权关联费用</v>
          </cell>
        </row>
        <row r="678">
          <cell r="A678" t="str">
            <v>475800</v>
          </cell>
          <cell r="D678" t="str">
            <v>坏帐准备提取额</v>
          </cell>
        </row>
        <row r="679">
          <cell r="A679" t="str">
            <v>475900</v>
          </cell>
          <cell r="D679" t="str">
            <v>坏帐损失</v>
          </cell>
        </row>
        <row r="680">
          <cell r="A680" t="str">
            <v>476000</v>
          </cell>
          <cell r="D680" t="str">
            <v>(中国不适用)n/a</v>
          </cell>
        </row>
        <row r="681">
          <cell r="A681" t="str">
            <v>476100</v>
          </cell>
          <cell r="D681" t="str">
            <v>事业税准备提取</v>
          </cell>
        </row>
        <row r="682">
          <cell r="A682" t="str">
            <v>476200</v>
          </cell>
          <cell r="D682" t="str">
            <v>事业场所税金准备提取</v>
          </cell>
        </row>
        <row r="683">
          <cell r="A683" t="str">
            <v>476300</v>
          </cell>
          <cell r="D683" t="str">
            <v>罚款支出</v>
          </cell>
        </row>
        <row r="684">
          <cell r="A684" t="str">
            <v>476400</v>
          </cell>
          <cell r="D684" t="str">
            <v>其他费用</v>
          </cell>
        </row>
        <row r="685">
          <cell r="A685" t="str">
            <v>476500</v>
          </cell>
          <cell r="D685" t="str">
            <v>外国劳工诸费用</v>
          </cell>
        </row>
        <row r="686">
          <cell r="A686" t="str">
            <v>476600</v>
          </cell>
          <cell r="D686" t="str">
            <v>一般运输费用</v>
          </cell>
        </row>
        <row r="687">
          <cell r="A687" t="str">
            <v>476990</v>
          </cell>
          <cell r="D687" t="str">
            <v>经费小计</v>
          </cell>
        </row>
        <row r="688">
          <cell r="A688" t="str">
            <v>521000</v>
          </cell>
          <cell r="D688" t="str">
            <v>销售成本</v>
          </cell>
        </row>
        <row r="689">
          <cell r="A689" t="str">
            <v>521100</v>
          </cell>
          <cell r="D689" t="str">
            <v>存货期初盘存</v>
          </cell>
        </row>
        <row r="690">
          <cell r="A690" t="str">
            <v>521200</v>
          </cell>
          <cell r="D690" t="str">
            <v>存货期初调整</v>
          </cell>
        </row>
        <row r="691">
          <cell r="A691" t="str">
            <v>521300</v>
          </cell>
          <cell r="D691" t="str">
            <v>当期产成品制造成本</v>
          </cell>
        </row>
        <row r="692">
          <cell r="A692" t="str">
            <v>521400</v>
          </cell>
          <cell r="D692" t="str">
            <v>当期产成品马达结转额</v>
          </cell>
        </row>
        <row r="693">
          <cell r="A693" t="str">
            <v>521500</v>
          </cell>
          <cell r="D693" t="str">
            <v>当期商品采购</v>
          </cell>
        </row>
        <row r="694">
          <cell r="A694" t="str">
            <v>521510</v>
          </cell>
          <cell r="D694" t="str">
            <v>当期进口费用</v>
          </cell>
        </row>
        <row r="695">
          <cell r="A695" t="str">
            <v>521600</v>
          </cell>
          <cell r="D695" t="str">
            <v>其他科目结转额</v>
          </cell>
        </row>
        <row r="696">
          <cell r="A696" t="str">
            <v>521610</v>
          </cell>
          <cell r="D696" t="str">
            <v>与其他科目轧抵额</v>
          </cell>
        </row>
        <row r="697">
          <cell r="A697" t="str">
            <v>521990</v>
          </cell>
          <cell r="D697" t="str">
            <v>小计</v>
          </cell>
        </row>
        <row r="698">
          <cell r="A698" t="str">
            <v>522100</v>
          </cell>
          <cell r="D698" t="str">
            <v>产成品部品投入额</v>
          </cell>
        </row>
        <row r="699">
          <cell r="A699" t="str">
            <v>522200</v>
          </cell>
          <cell r="D699" t="str">
            <v>其他科目结转额</v>
          </cell>
        </row>
        <row r="700">
          <cell r="A700" t="str">
            <v>522210</v>
          </cell>
          <cell r="D700" t="str">
            <v>与其他科目轧抵额</v>
          </cell>
        </row>
        <row r="701">
          <cell r="A701" t="str">
            <v>522300</v>
          </cell>
          <cell r="D701" t="str">
            <v>存货期末盘存</v>
          </cell>
        </row>
        <row r="702">
          <cell r="A702" t="str">
            <v>522400</v>
          </cell>
          <cell r="D702" t="str">
            <v>存货期末调整</v>
          </cell>
        </row>
        <row r="703">
          <cell r="A703" t="str">
            <v>522500</v>
          </cell>
          <cell r="D703" t="str">
            <v>产成品部品对外委托支给额</v>
          </cell>
        </row>
        <row r="704">
          <cell r="A704" t="str">
            <v>523100</v>
          </cell>
          <cell r="D704" t="str">
            <v>商品期初盘存</v>
          </cell>
        </row>
        <row r="705">
          <cell r="A705" t="str">
            <v>523200</v>
          </cell>
          <cell r="D705" t="str">
            <v>商品期初盘存调整</v>
          </cell>
        </row>
        <row r="706">
          <cell r="A706" t="str">
            <v>540000</v>
          </cell>
          <cell r="D706" t="str">
            <v>支援费</v>
          </cell>
        </row>
        <row r="707">
          <cell r="A707" t="str">
            <v>541000</v>
          </cell>
        </row>
        <row r="708">
          <cell r="A708" t="str">
            <v>500100</v>
          </cell>
          <cell r="D708" t="str">
            <v>资本金-期初</v>
          </cell>
        </row>
        <row r="709">
          <cell r="A709" t="str">
            <v>500226</v>
          </cell>
          <cell r="D709" t="str">
            <v>资本金-增加</v>
          </cell>
        </row>
        <row r="710">
          <cell r="A710" t="str">
            <v>500227</v>
          </cell>
          <cell r="D710" t="str">
            <v>资本金-可转换公司债的转换增资</v>
          </cell>
        </row>
        <row r="711">
          <cell r="A711" t="str">
            <v>500228</v>
          </cell>
          <cell r="D711" t="str">
            <v>资本金-资本公积的结转增资</v>
          </cell>
        </row>
        <row r="712">
          <cell r="A712" t="str">
            <v>500268</v>
          </cell>
          <cell r="D712" t="str">
            <v>资本金-其他增减</v>
          </cell>
        </row>
        <row r="713">
          <cell r="A713" t="str">
            <v>500310</v>
          </cell>
          <cell r="D713" t="str">
            <v>资本金-减少</v>
          </cell>
        </row>
        <row r="714">
          <cell r="A714" t="str">
            <v>1311000</v>
          </cell>
          <cell r="D714" t="str">
            <v>资本金-期末</v>
          </cell>
        </row>
        <row r="715">
          <cell r="A715" t="str">
            <v>530100</v>
          </cell>
          <cell r="D715" t="str">
            <v>库存股票-期初</v>
          </cell>
        </row>
        <row r="716">
          <cell r="A716" t="str">
            <v>530110</v>
          </cell>
          <cell r="D716" t="str">
            <v>库存股票-减少</v>
          </cell>
        </row>
        <row r="717">
          <cell r="A717" t="str">
            <v>530234</v>
          </cell>
          <cell r="D717" t="str">
            <v>库存股票-取得</v>
          </cell>
        </row>
        <row r="718">
          <cell r="A718" t="str">
            <v>530248</v>
          </cell>
          <cell r="D718" t="str">
            <v>库存股票-结转</v>
          </cell>
        </row>
        <row r="719">
          <cell r="A719" t="str">
            <v>530310</v>
          </cell>
          <cell r="D719" t="str">
            <v>库存股票-出售</v>
          </cell>
        </row>
        <row r="720">
          <cell r="A720" t="str">
            <v>530500</v>
          </cell>
          <cell r="D720" t="str">
            <v>库存股票-期末</v>
          </cell>
        </row>
        <row r="721">
          <cell r="A721" t="str">
            <v>550000</v>
          </cell>
          <cell r="D721" t="str">
            <v>未分配盈余-期初余额</v>
          </cell>
        </row>
        <row r="722">
          <cell r="A722" t="str">
            <v>550100</v>
          </cell>
          <cell r="D722" t="str">
            <v>未分配盈余-期初增加</v>
          </cell>
        </row>
        <row r="723">
          <cell r="A723" t="str">
            <v>550200</v>
          </cell>
          <cell r="D723" t="str">
            <v>未分配盈余-以前年度税金影响调整</v>
          </cell>
        </row>
        <row r="724">
          <cell r="A724" t="str">
            <v>551000</v>
          </cell>
          <cell r="D724" t="str">
            <v>未分配盈余-减少额</v>
          </cell>
        </row>
        <row r="725">
          <cell r="A725" t="str">
            <v>552000</v>
          </cell>
          <cell r="D725" t="str">
            <v>未分配盈余-提取盈余公积</v>
          </cell>
        </row>
        <row r="726">
          <cell r="A726" t="str">
            <v>552100</v>
          </cell>
          <cell r="D726" t="str">
            <v>未分配盈余-提取盈余公积-期末</v>
          </cell>
        </row>
        <row r="727">
          <cell r="A727" t="str">
            <v>552200</v>
          </cell>
          <cell r="D727" t="str">
            <v>未分配盈余-提取盈余公积-期中部分</v>
          </cell>
        </row>
        <row r="728">
          <cell r="A728" t="str">
            <v>553000</v>
          </cell>
          <cell r="D728" t="str">
            <v>未分配盈余-股利</v>
          </cell>
        </row>
        <row r="729">
          <cell r="A729" t="str">
            <v>553100</v>
          </cell>
          <cell r="D729" t="str">
            <v>未分配盈余-股利-期末</v>
          </cell>
        </row>
        <row r="730">
          <cell r="A730" t="str">
            <v>553200</v>
          </cell>
          <cell r="D730" t="str">
            <v>未分配盈余-股利-期中部分</v>
          </cell>
        </row>
        <row r="731">
          <cell r="A731" t="str">
            <v>555000</v>
          </cell>
          <cell r="D731" t="str">
            <v>未分配盈余-储备基金</v>
          </cell>
        </row>
        <row r="732">
          <cell r="A732" t="str">
            <v>555300</v>
          </cell>
          <cell r="D732" t="str">
            <v>以前年度收益</v>
          </cell>
        </row>
        <row r="733">
          <cell r="A733" t="str">
            <v>555400</v>
          </cell>
          <cell r="D733" t="str">
            <v>以前年度损失</v>
          </cell>
        </row>
        <row r="734">
          <cell r="A734" t="str">
            <v>555500</v>
          </cell>
          <cell r="D734" t="str">
            <v>未分配盈余-库存股票消滅</v>
          </cell>
        </row>
        <row r="735">
          <cell r="A735" t="str">
            <v>555600</v>
          </cell>
          <cell r="D735" t="str">
            <v>未分配盈余-其他-增加</v>
          </cell>
        </row>
        <row r="736">
          <cell r="A736" t="str">
            <v>555700</v>
          </cell>
          <cell r="D736" t="str">
            <v>未分配盈余-其他-减少</v>
          </cell>
        </row>
        <row r="737">
          <cell r="A737" t="str">
            <v>556200</v>
          </cell>
          <cell r="D737" t="str">
            <v>未分配盈余-当期净利润</v>
          </cell>
        </row>
        <row r="738">
          <cell r="A738" t="str">
            <v>5563000</v>
          </cell>
          <cell r="D738" t="str">
            <v>未分配盈余-期末余额</v>
          </cell>
        </row>
        <row r="739">
          <cell r="A739" t="str">
            <v>599101</v>
          </cell>
          <cell r="D739" t="str">
            <v>资本公积-期初</v>
          </cell>
        </row>
        <row r="740">
          <cell r="A740" t="str">
            <v>599102</v>
          </cell>
          <cell r="D740" t="str">
            <v>资本公积-增加</v>
          </cell>
        </row>
        <row r="741">
          <cell r="A741" t="str">
            <v>599103</v>
          </cell>
          <cell r="D741" t="str">
            <v>资本公积-减少</v>
          </cell>
        </row>
        <row r="742">
          <cell r="A742" t="str">
            <v>1312100</v>
          </cell>
          <cell r="D742" t="str">
            <v>资本公积-期末</v>
          </cell>
        </row>
        <row r="743">
          <cell r="A743" t="str">
            <v>599201</v>
          </cell>
          <cell r="D743" t="str">
            <v>其他资本公积-期初</v>
          </cell>
        </row>
        <row r="744">
          <cell r="A744" t="str">
            <v>599202</v>
          </cell>
          <cell r="D744" t="str">
            <v>其他资本公积-增加</v>
          </cell>
        </row>
        <row r="745">
          <cell r="A745" t="str">
            <v>599203</v>
          </cell>
          <cell r="D745" t="str">
            <v>其他资本公积-减少</v>
          </cell>
        </row>
        <row r="746">
          <cell r="A746" t="str">
            <v>1312200</v>
          </cell>
          <cell r="D746" t="str">
            <v>其他资本公积-期末</v>
          </cell>
        </row>
        <row r="747">
          <cell r="A747" t="str">
            <v>599301</v>
          </cell>
          <cell r="D747" t="str">
            <v>库存股票-期初</v>
          </cell>
        </row>
        <row r="748">
          <cell r="A748" t="str">
            <v>599302</v>
          </cell>
          <cell r="D748" t="str">
            <v>库存股票-取得</v>
          </cell>
        </row>
        <row r="749">
          <cell r="A749" t="str">
            <v>599303</v>
          </cell>
          <cell r="D749" t="str">
            <v>库存股票-消滅</v>
          </cell>
        </row>
        <row r="750">
          <cell r="A750" t="str">
            <v>1333000</v>
          </cell>
          <cell r="D750" t="str">
            <v>库存股票-期末</v>
          </cell>
        </row>
        <row r="751">
          <cell r="A751" t="str">
            <v>599401</v>
          </cell>
          <cell r="D751" t="str">
            <v>其他有价证券估价差额-期初</v>
          </cell>
        </row>
        <row r="752">
          <cell r="A752" t="str">
            <v>599402</v>
          </cell>
          <cell r="D752" t="str">
            <v>其他有价证券估价差额-增加</v>
          </cell>
        </row>
        <row r="753">
          <cell r="A753" t="str">
            <v>599403</v>
          </cell>
          <cell r="D753" t="str">
            <v>其他有价证券估价差额-减少</v>
          </cell>
        </row>
        <row r="754">
          <cell r="A754" t="str">
            <v>132100</v>
          </cell>
          <cell r="D754" t="str">
            <v>其他有价证券估价差额-期末</v>
          </cell>
        </row>
        <row r="755">
          <cell r="A755" t="str">
            <v>1313100</v>
          </cell>
          <cell r="D755" t="str">
            <v>盈余公积-期末</v>
          </cell>
        </row>
        <row r="756">
          <cell r="A756" t="str">
            <v>shihonkin</v>
          </cell>
          <cell r="D756" t="str">
            <v>＜资本金＞</v>
          </cell>
        </row>
        <row r="757">
          <cell r="A757" t="str">
            <v>shihonjyunbi</v>
          </cell>
          <cell r="D757" t="str">
            <v>＜资本公积＞</v>
          </cell>
        </row>
        <row r="758">
          <cell r="A758" t="str">
            <v>sonotashihon</v>
          </cell>
          <cell r="D758" t="str">
            <v>＜其他资本公积＞</v>
          </cell>
        </row>
        <row r="759">
          <cell r="A759" t="str">
            <v>jikokabu</v>
          </cell>
          <cell r="D759" t="str">
            <v>＜库存股票＞</v>
          </cell>
        </row>
        <row r="760">
          <cell r="A760" t="str">
            <v>sonotayuuka</v>
          </cell>
          <cell r="D760" t="str">
            <v>＜其他有价证券估价差额＞</v>
          </cell>
        </row>
        <row r="761">
          <cell r="A761" t="str">
            <v>riekijyunbi</v>
          </cell>
          <cell r="D761" t="str">
            <v>＜盈余公积＞</v>
          </cell>
        </row>
        <row r="762">
          <cell r="A762" t="str">
            <v>sonotajyouyo</v>
          </cell>
          <cell r="D762" t="str">
            <v>＜其他未分配盈余＞</v>
          </cell>
        </row>
        <row r="763">
          <cell r="A763" t="str">
            <v>zougensyousai</v>
          </cell>
          <cell r="D763" t="str">
            <v>＜未分配盈余-其他-增减详细＞</v>
          </cell>
        </row>
        <row r="764">
          <cell r="A764" t="str">
            <v>700000</v>
          </cell>
          <cell r="D764" t="str">
            <v>销售收入</v>
          </cell>
        </row>
        <row r="765">
          <cell r="A765" t="str">
            <v>703100</v>
          </cell>
          <cell r="D765" t="str">
            <v>MMK制</v>
          </cell>
        </row>
        <row r="766">
          <cell r="A766" t="str">
            <v>703200</v>
          </cell>
          <cell r="D766" t="str">
            <v>HKM制</v>
          </cell>
        </row>
        <row r="767">
          <cell r="A767" t="str">
            <v>703300</v>
          </cell>
          <cell r="D767" t="str">
            <v>TWM制</v>
          </cell>
        </row>
        <row r="768">
          <cell r="A768" t="str">
            <v>703400</v>
          </cell>
          <cell r="D768" t="str">
            <v>TKM制</v>
          </cell>
        </row>
        <row r="769">
          <cell r="A769" t="str">
            <v>703500</v>
          </cell>
          <cell r="D769" t="str">
            <v>DLM制</v>
          </cell>
        </row>
        <row r="770">
          <cell r="A770" t="str">
            <v>703600</v>
          </cell>
          <cell r="D770" t="str">
            <v>MLM制</v>
          </cell>
        </row>
        <row r="771">
          <cell r="A771" t="str">
            <v>703700</v>
          </cell>
          <cell r="D771" t="str">
            <v>JSM制</v>
          </cell>
        </row>
        <row r="772">
          <cell r="A772" t="str">
            <v>703800</v>
          </cell>
          <cell r="D772" t="str">
            <v>VNM制</v>
          </cell>
        </row>
        <row r="773">
          <cell r="A773" t="str">
            <v>703900</v>
          </cell>
          <cell r="D773" t="str">
            <v>DWM制</v>
          </cell>
        </row>
        <row r="774">
          <cell r="A774" t="str">
            <v>703950</v>
          </cell>
          <cell r="D774" t="str">
            <v>VDM制</v>
          </cell>
        </row>
        <row r="775">
          <cell r="A775" t="str">
            <v>703250</v>
          </cell>
          <cell r="D775" t="str">
            <v>DGM制</v>
          </cell>
        </row>
        <row r="776">
          <cell r="A776" t="str">
            <v>703260</v>
          </cell>
          <cell r="D776" t="str">
            <v>YTM制</v>
          </cell>
        </row>
        <row r="777">
          <cell r="A777" t="str">
            <v>703270</v>
          </cell>
          <cell r="D777" t="str">
            <v>DDM制</v>
          </cell>
        </row>
        <row r="778">
          <cell r="A778" t="str">
            <v>703280</v>
          </cell>
          <cell r="D778" t="str">
            <v>JXM制</v>
          </cell>
        </row>
        <row r="779">
          <cell r="A779" t="str">
            <v>708000</v>
          </cell>
          <cell r="D779" t="str">
            <v>佣金收入(COMM)</v>
          </cell>
        </row>
        <row r="780">
          <cell r="A780" t="str">
            <v>709000</v>
          </cell>
          <cell r="D780" t="str">
            <v>技术援助收入(ROY)</v>
          </cell>
        </row>
        <row r="781">
          <cell r="A781" t="str">
            <v>720000</v>
          </cell>
          <cell r="D781" t="str">
            <v>采购</v>
          </cell>
        </row>
        <row r="782">
          <cell r="A782" t="str">
            <v>721000</v>
          </cell>
          <cell r="D782" t="str">
            <v>产成品销售成本</v>
          </cell>
        </row>
        <row r="783">
          <cell r="A783" t="str">
            <v>723000</v>
          </cell>
          <cell r="D783" t="str">
            <v>商品销售成本</v>
          </cell>
        </row>
        <row r="784">
          <cell r="A784" t="str">
            <v>725100</v>
          </cell>
          <cell r="D784" t="str">
            <v>MMK制</v>
          </cell>
        </row>
        <row r="785">
          <cell r="A785" t="str">
            <v>725200</v>
          </cell>
          <cell r="D785" t="str">
            <v>HKM制</v>
          </cell>
        </row>
        <row r="786">
          <cell r="A786" t="str">
            <v>725300</v>
          </cell>
          <cell r="D786" t="str">
            <v>TWM制</v>
          </cell>
        </row>
        <row r="787">
          <cell r="A787" t="str">
            <v>725400</v>
          </cell>
          <cell r="D787" t="str">
            <v>TKM制</v>
          </cell>
        </row>
        <row r="788">
          <cell r="A788" t="str">
            <v>725500</v>
          </cell>
          <cell r="D788" t="str">
            <v>DLM制</v>
          </cell>
        </row>
        <row r="789">
          <cell r="A789" t="str">
            <v>725600</v>
          </cell>
          <cell r="D789" t="str">
            <v>MLM制</v>
          </cell>
        </row>
        <row r="790">
          <cell r="A790" t="str">
            <v>725700</v>
          </cell>
          <cell r="D790" t="str">
            <v>JSM制</v>
          </cell>
        </row>
        <row r="791">
          <cell r="A791" t="str">
            <v>725800</v>
          </cell>
          <cell r="D791" t="str">
            <v>VNM制</v>
          </cell>
        </row>
        <row r="792">
          <cell r="A792" t="str">
            <v>725900</v>
          </cell>
          <cell r="D792" t="str">
            <v>DWM制</v>
          </cell>
        </row>
        <row r="793">
          <cell r="A793" t="str">
            <v>725950</v>
          </cell>
          <cell r="D793" t="str">
            <v>VDM制</v>
          </cell>
        </row>
        <row r="794">
          <cell r="A794" t="str">
            <v>725250</v>
          </cell>
          <cell r="D794" t="str">
            <v>DＧM制</v>
          </cell>
        </row>
        <row r="795">
          <cell r="A795" t="str">
            <v>725260</v>
          </cell>
          <cell r="D795" t="str">
            <v>ＹＴM制</v>
          </cell>
        </row>
        <row r="796">
          <cell r="A796" t="str">
            <v>725270</v>
          </cell>
          <cell r="D796" t="str">
            <v>DDM制</v>
          </cell>
        </row>
        <row r="797">
          <cell r="A797" t="str">
            <v>725280</v>
          </cell>
          <cell r="D797" t="str">
            <v>JXM制</v>
          </cell>
        </row>
        <row r="798">
          <cell r="A798" t="str">
            <v>726000</v>
          </cell>
          <cell r="D798" t="str">
            <v>半成品销售成本</v>
          </cell>
        </row>
        <row r="799">
          <cell r="A799" t="str">
            <v>727000</v>
          </cell>
          <cell r="D799" t="str">
            <v>材料销售成本</v>
          </cell>
        </row>
        <row r="800">
          <cell r="A800" t="str">
            <v>732000</v>
          </cell>
          <cell r="D800" t="str">
            <v>购入商品支付手续费</v>
          </cell>
        </row>
        <row r="801">
          <cell r="A801" t="str">
            <v>733000</v>
          </cell>
          <cell r="D801" t="str">
            <v>销货成本-不予抵扣进项税</v>
          </cell>
        </row>
        <row r="802">
          <cell r="A802" t="str">
            <v>734000</v>
          </cell>
          <cell r="D802" t="str">
            <v>存货报废损失</v>
          </cell>
        </row>
        <row r="803">
          <cell r="A803" t="str">
            <v>736000</v>
          </cell>
          <cell r="D803" t="str">
            <v>存货评价损</v>
          </cell>
        </row>
        <row r="804">
          <cell r="A804" t="str">
            <v>740000</v>
          </cell>
          <cell r="D804" t="str">
            <v>支援/加工费</v>
          </cell>
        </row>
        <row r="805">
          <cell r="A805" t="str">
            <v>741000</v>
          </cell>
          <cell r="D805" t="str">
            <v>加工费(仅DWM)</v>
          </cell>
        </row>
        <row r="806">
          <cell r="A806" t="str">
            <v>750400</v>
          </cell>
          <cell r="D806" t="str">
            <v>股利收入</v>
          </cell>
        </row>
        <row r="807">
          <cell r="A807" t="str">
            <v>812100</v>
          </cell>
          <cell r="D807" t="str">
            <v>销售手续费</v>
          </cell>
        </row>
        <row r="808">
          <cell r="A808" t="str">
            <v>875300</v>
          </cell>
          <cell r="D808" t="str">
            <v>技术援助费</v>
          </cell>
        </row>
        <row r="809">
          <cell r="A809" t="str">
            <v>880000</v>
          </cell>
          <cell r="D809" t="str">
            <v>出口票据折扣</v>
          </cell>
        </row>
        <row r="810">
          <cell r="A810" t="str">
            <v>880100</v>
          </cell>
          <cell r="D810" t="str">
            <v>职工住房基金</v>
          </cell>
        </row>
        <row r="811">
          <cell r="A811" t="str">
            <v>880200</v>
          </cell>
          <cell r="D811" t="str">
            <v>外国劳工的债务保证</v>
          </cell>
        </row>
        <row r="812">
          <cell r="A812" t="str">
            <v>880300</v>
          </cell>
          <cell r="D812" t="str">
            <v>贵金属期货合同</v>
          </cell>
        </row>
        <row r="813">
          <cell r="A813" t="str">
            <v>880400</v>
          </cell>
          <cell r="D813" t="str">
            <v>退职年金</v>
          </cell>
        </row>
        <row r="814">
          <cell r="A814" t="str">
            <v>880500</v>
          </cell>
          <cell r="D814" t="str">
            <v>-</v>
          </cell>
        </row>
        <row r="815">
          <cell r="A815" t="str">
            <v>880600</v>
          </cell>
          <cell r="D815" t="str">
            <v>-</v>
          </cell>
        </row>
        <row r="816">
          <cell r="A816" t="str">
            <v>881000</v>
          </cell>
          <cell r="D816" t="str">
            <v>增加</v>
          </cell>
        </row>
        <row r="817">
          <cell r="A817" t="str">
            <v>881100</v>
          </cell>
          <cell r="D817" t="str">
            <v>减少</v>
          </cell>
        </row>
        <row r="818">
          <cell r="A818" t="str">
            <v>881200</v>
          </cell>
          <cell r="D818" t="str">
            <v>增加</v>
          </cell>
        </row>
        <row r="819">
          <cell r="A819" t="str">
            <v>881300</v>
          </cell>
          <cell r="D819" t="str">
            <v>减少</v>
          </cell>
        </row>
        <row r="820">
          <cell r="A820" t="str">
            <v>890000</v>
          </cell>
          <cell r="D820" t="str">
            <v>期中平均发行股票数</v>
          </cell>
        </row>
        <row r="821">
          <cell r="A821" t="str">
            <v>890100</v>
          </cell>
          <cell r="D821" t="str">
            <v>期中平均库存股票数</v>
          </cell>
        </row>
        <row r="822">
          <cell r="A822" t="str">
            <v>890200</v>
          </cell>
          <cell r="D822" t="str">
            <v>期末发行股票数</v>
          </cell>
        </row>
        <row r="823">
          <cell r="A823" t="str">
            <v>890300</v>
          </cell>
          <cell r="D823" t="str">
            <v>期末库存股票数</v>
          </cell>
        </row>
        <row r="824">
          <cell r="A824" t="str">
            <v>890400</v>
          </cell>
          <cell r="D824" t="str">
            <v>期初发行股票数</v>
          </cell>
        </row>
        <row r="825">
          <cell r="A825" t="str">
            <v>890500</v>
          </cell>
          <cell r="D825" t="str">
            <v>可转换社债的潜在股份数</v>
          </cell>
        </row>
        <row r="826">
          <cell r="A826" t="str">
            <v>890600</v>
          </cell>
          <cell r="D826" t="str">
            <v>可转换社债的潜在股份数调整额</v>
          </cell>
        </row>
        <row r="827">
          <cell r="A827" t="str">
            <v>891000</v>
          </cell>
          <cell r="D827" t="str">
            <v>研究开发费用</v>
          </cell>
        </row>
        <row r="828">
          <cell r="A828" t="str">
            <v>891100</v>
          </cell>
          <cell r="D828" t="str">
            <v>研究开发人员</v>
          </cell>
        </row>
        <row r="829">
          <cell r="A829" t="str">
            <v>903000</v>
          </cell>
          <cell r="D829" t="str">
            <v>总工作时间</v>
          </cell>
        </row>
        <row r="830">
          <cell r="A830" t="str">
            <v>903010</v>
          </cell>
          <cell r="D830" t="str">
            <v>总正常工作时间</v>
          </cell>
        </row>
        <row r="831">
          <cell r="A831" t="str">
            <v>903020</v>
          </cell>
          <cell r="D831" t="str">
            <v>总加班时间</v>
          </cell>
        </row>
        <row r="832">
          <cell r="A832" t="str">
            <v>903100</v>
          </cell>
          <cell r="D832" t="str">
            <v>总直接工作时间</v>
          </cell>
        </row>
        <row r="833">
          <cell r="A833" t="str">
            <v>903110</v>
          </cell>
          <cell r="D833" t="str">
            <v>直接正常工作时间</v>
          </cell>
        </row>
        <row r="834">
          <cell r="A834" t="str">
            <v>903120</v>
          </cell>
          <cell r="D834" t="str">
            <v>直接加班时间</v>
          </cell>
        </row>
        <row r="835">
          <cell r="A835" t="str">
            <v>903200</v>
          </cell>
          <cell r="D835" t="str">
            <v>总间接工作时间（制造）</v>
          </cell>
        </row>
        <row r="836">
          <cell r="A836" t="str">
            <v>903210</v>
          </cell>
          <cell r="D836" t="str">
            <v>間接正常工作时间（制造）</v>
          </cell>
        </row>
        <row r="837">
          <cell r="A837" t="str">
            <v>903220</v>
          </cell>
          <cell r="D837" t="str">
            <v>間接加班时间（制造）</v>
          </cell>
        </row>
        <row r="838">
          <cell r="A838" t="str">
            <v>903300</v>
          </cell>
          <cell r="D838" t="str">
            <v>总销售及管理工作时间</v>
          </cell>
        </row>
        <row r="839">
          <cell r="A839" t="str">
            <v>903310</v>
          </cell>
          <cell r="D839" t="str">
            <v>销售及管理正常工作时间</v>
          </cell>
        </row>
        <row r="840">
          <cell r="A840" t="str">
            <v>903320</v>
          </cell>
          <cell r="D840" t="str">
            <v>销售及管理加班时间</v>
          </cell>
        </row>
        <row r="841">
          <cell r="A841" t="str">
            <v>6313020</v>
          </cell>
          <cell r="D841" t="str">
            <v>盈余公积-期初</v>
          </cell>
        </row>
        <row r="842">
          <cell r="A842" t="str">
            <v>6313033</v>
          </cell>
          <cell r="D842" t="str">
            <v>盈余公积-提取</v>
          </cell>
        </row>
        <row r="843">
          <cell r="A843" t="str">
            <v>6313059</v>
          </cell>
          <cell r="D843" t="str">
            <v>盈余公积-使用</v>
          </cell>
        </row>
        <row r="844">
          <cell r="A844" t="str">
            <v>72900A0</v>
          </cell>
          <cell r="D844" t="str">
            <v>技术援助费</v>
          </cell>
        </row>
        <row r="845">
          <cell r="A845" t="str">
            <v>72900B0</v>
          </cell>
          <cell r="D845" t="str">
            <v>技术援助费</v>
          </cell>
        </row>
        <row r="846">
          <cell r="A846" t="str">
            <v>111</v>
          </cell>
          <cell r="D846" t="str">
            <v>马达部门</v>
          </cell>
        </row>
        <row r="847">
          <cell r="A847" t="str">
            <v>112</v>
          </cell>
          <cell r="D847" t="str">
            <v>零部件部门</v>
          </cell>
        </row>
        <row r="848">
          <cell r="A848" t="str">
            <v>121</v>
          </cell>
          <cell r="D848" t="str">
            <v>马达部门</v>
          </cell>
        </row>
        <row r="849">
          <cell r="A849" t="str">
            <v>122</v>
          </cell>
          <cell r="D849" t="str">
            <v>零部件部门</v>
          </cell>
        </row>
        <row r="850">
          <cell r="A850" t="str">
            <v>131</v>
          </cell>
          <cell r="D850" t="str">
            <v>半成品</v>
          </cell>
        </row>
        <row r="851">
          <cell r="A851" t="str">
            <v>141</v>
          </cell>
          <cell r="D851" t="str">
            <v>材料</v>
          </cell>
        </row>
        <row r="852">
          <cell r="A852" t="str">
            <v>211</v>
          </cell>
          <cell r="D852" t="str">
            <v>工具及机器部门</v>
          </cell>
        </row>
        <row r="853">
          <cell r="A853" t="str">
            <v>221</v>
          </cell>
          <cell r="D853" t="str">
            <v>工具及机器部门</v>
          </cell>
        </row>
        <row r="854">
          <cell r="A854" t="str">
            <v>311</v>
          </cell>
          <cell r="D854" t="str">
            <v>其他</v>
          </cell>
        </row>
        <row r="855">
          <cell r="A855" t="str">
            <v>600810</v>
          </cell>
          <cell r="D855" t="str">
            <v>马达</v>
          </cell>
        </row>
        <row r="856">
          <cell r="A856" t="str">
            <v>600820</v>
          </cell>
          <cell r="D856" t="str">
            <v>生产机器</v>
          </cell>
        </row>
        <row r="857">
          <cell r="A857" t="str">
            <v>600830</v>
          </cell>
          <cell r="D857" t="str">
            <v>马达部品</v>
          </cell>
        </row>
        <row r="858">
          <cell r="A858" t="str">
            <v>600910</v>
          </cell>
          <cell r="D858" t="str">
            <v>马达</v>
          </cell>
        </row>
        <row r="859">
          <cell r="A859" t="str">
            <v>600920</v>
          </cell>
          <cell r="D859" t="str">
            <v>马达部品</v>
          </cell>
        </row>
        <row r="860">
          <cell r="A860" t="str">
            <v>600930</v>
          </cell>
          <cell r="D860" t="str">
            <v>生产机器</v>
          </cell>
        </row>
        <row r="861">
          <cell r="A861" t="str">
            <v>601010</v>
          </cell>
          <cell r="D861" t="str">
            <v>半成品</v>
          </cell>
        </row>
        <row r="862">
          <cell r="A862" t="str">
            <v>601110</v>
          </cell>
          <cell r="D862" t="str">
            <v>马达部品</v>
          </cell>
        </row>
        <row r="863">
          <cell r="A863" t="str">
            <v>dgm</v>
          </cell>
          <cell r="D863" t="str">
            <v>DGM</v>
          </cell>
        </row>
        <row r="864">
          <cell r="A864" t="str">
            <v>DGM</v>
          </cell>
          <cell r="D864" t="str">
            <v>DGM</v>
          </cell>
        </row>
        <row r="865">
          <cell r="A865" t="str">
            <v>dlm</v>
          </cell>
          <cell r="D865" t="str">
            <v>DLM</v>
          </cell>
        </row>
        <row r="866">
          <cell r="A866" t="str">
            <v>DLM</v>
          </cell>
          <cell r="D866" t="str">
            <v>DLM</v>
          </cell>
        </row>
        <row r="867">
          <cell r="A867" t="str">
            <v>dwm</v>
          </cell>
          <cell r="D867" t="str">
            <v>DWM</v>
          </cell>
        </row>
        <row r="868">
          <cell r="A868" t="str">
            <v>DWM</v>
          </cell>
          <cell r="D868" t="str">
            <v>DWM</v>
          </cell>
        </row>
        <row r="869">
          <cell r="A869" t="str">
            <v>hdr100001</v>
          </cell>
          <cell r="D869" t="str">
            <v>0-1个月</v>
          </cell>
        </row>
        <row r="870">
          <cell r="A870" t="str">
            <v>hdr100002</v>
          </cell>
          <cell r="D870" t="str">
            <v>0-6个月</v>
          </cell>
        </row>
        <row r="871">
          <cell r="A871" t="str">
            <v>hdr100003</v>
          </cell>
          <cell r="D871" t="str">
            <v>0-3个月</v>
          </cell>
        </row>
        <row r="872">
          <cell r="A872" t="str">
            <v>hdr101001</v>
          </cell>
          <cell r="D872" t="str">
            <v>1-2个月</v>
          </cell>
        </row>
        <row r="873">
          <cell r="A873" t="str">
            <v>hdr101002</v>
          </cell>
          <cell r="D873" t="str">
            <v>1-2年</v>
          </cell>
        </row>
        <row r="874">
          <cell r="A874" t="str">
            <v>hdr101003</v>
          </cell>
          <cell r="D874" t="str">
            <v>1回支付的租赁费</v>
          </cell>
        </row>
        <row r="875">
          <cell r="A875" t="str">
            <v>hdr101004</v>
          </cell>
          <cell r="D875" t="str">
            <v>1年内偿还的可转换公司债</v>
          </cell>
        </row>
        <row r="876">
          <cell r="A876" t="str">
            <v>hdr101005</v>
          </cell>
          <cell r="D876" t="str">
            <v>1年内偿还的可转换公司债-期末</v>
          </cell>
        </row>
        <row r="877">
          <cell r="A877" t="str">
            <v>hdr101006</v>
          </cell>
          <cell r="D877" t="str">
            <v>1年以上</v>
          </cell>
        </row>
        <row r="878">
          <cell r="A878" t="str">
            <v>hdr101007</v>
          </cell>
          <cell r="D878" t="str">
            <v>1年以上2年以内</v>
          </cell>
        </row>
        <row r="879">
          <cell r="A879" t="str">
            <v>hdr102001</v>
          </cell>
          <cell r="D879" t="str">
            <v>2-3个月</v>
          </cell>
        </row>
        <row r="880">
          <cell r="A880" t="str">
            <v>hdr102002</v>
          </cell>
          <cell r="D880" t="str">
            <v>2年以上</v>
          </cell>
        </row>
        <row r="881">
          <cell r="A881" t="str">
            <v>hdr102003</v>
          </cell>
          <cell r="D881" t="str">
            <v>2年以上3年以内</v>
          </cell>
        </row>
        <row r="882">
          <cell r="A882" t="str">
            <v>hdr103001</v>
          </cell>
          <cell r="D882" t="str">
            <v>3个月以上</v>
          </cell>
        </row>
        <row r="883">
          <cell r="A883" t="str">
            <v>hdr103002</v>
          </cell>
          <cell r="D883" t="str">
            <v>3-6个月</v>
          </cell>
        </row>
        <row r="884">
          <cell r="A884" t="str">
            <v>hdr103003</v>
          </cell>
          <cell r="D884" t="str">
            <v>3年以上4年以内</v>
          </cell>
        </row>
        <row r="885">
          <cell r="A885" t="str">
            <v>hdr104001</v>
          </cell>
          <cell r="D885" t="str">
            <v>4年以上5年以内</v>
          </cell>
        </row>
        <row r="886">
          <cell r="A886" t="str">
            <v>hdr105001</v>
          </cell>
          <cell r="D886" t="str">
            <v>5年以上</v>
          </cell>
        </row>
        <row r="887">
          <cell r="A887" t="str">
            <v>hdr106001</v>
          </cell>
          <cell r="D887" t="str">
            <v>6个月-1年</v>
          </cell>
        </row>
        <row r="888">
          <cell r="A888" t="str">
            <v>hdr126001</v>
          </cell>
          <cell r="D888" t="str">
            <v>-</v>
          </cell>
        </row>
        <row r="889">
          <cell r="A889" t="str">
            <v>hdr2cc001</v>
          </cell>
          <cell r="D889" t="str">
            <v>C1利润分配明细·资本增加明细</v>
          </cell>
        </row>
        <row r="890">
          <cell r="A890" t="str">
            <v>hdr2cc002</v>
          </cell>
          <cell r="D890" t="str">
            <v>C9MMK,TKM供应材料比例计算表</v>
          </cell>
        </row>
        <row r="891">
          <cell r="A891" t="str">
            <v>hdr2dg001</v>
          </cell>
          <cell r="D891" t="str">
            <v>DGM供应材料费比例计算表</v>
          </cell>
        </row>
        <row r="892">
          <cell r="A892" t="str">
            <v>hdr2dg002</v>
          </cell>
          <cell r="D892" t="str">
            <v>从DGM购入</v>
          </cell>
        </row>
        <row r="893">
          <cell r="A893" t="str">
            <v>hdr2dg003</v>
          </cell>
          <cell r="D893" t="str">
            <v>从DGM购入在库-期初</v>
          </cell>
        </row>
        <row r="894">
          <cell r="A894" t="str">
            <v>hdr2dg004</v>
          </cell>
          <cell r="D894" t="str">
            <v>从DGM购入在库-期末</v>
          </cell>
        </row>
        <row r="895">
          <cell r="A895" t="str">
            <v>hdr2dg005</v>
          </cell>
          <cell r="D895" t="str">
            <v>DGM材料费比例</v>
          </cell>
        </row>
        <row r="896">
          <cell r="A896" t="str">
            <v>hdr2ld001</v>
          </cell>
          <cell r="D896" t="str">
            <v>LDM供应材料费比例计算表</v>
          </cell>
        </row>
        <row r="897">
          <cell r="A897" t="str">
            <v>hdr2ld002</v>
          </cell>
          <cell r="D897" t="str">
            <v>从LDM购入</v>
          </cell>
        </row>
        <row r="898">
          <cell r="A898" t="str">
            <v>hdr2ld003</v>
          </cell>
          <cell r="D898" t="str">
            <v>从LDM购入在库-期初</v>
          </cell>
        </row>
        <row r="899">
          <cell r="A899" t="str">
            <v>hdr2ld004</v>
          </cell>
          <cell r="D899" t="str">
            <v>从LDM购入在库-期末</v>
          </cell>
        </row>
        <row r="900">
          <cell r="A900" t="str">
            <v>hdr2ld005</v>
          </cell>
          <cell r="D900" t="str">
            <v>LDM材料费比例</v>
          </cell>
        </row>
        <row r="901">
          <cell r="A901" t="str">
            <v>hdr2dr001</v>
          </cell>
          <cell r="D901" t="str">
            <v>借/贷明细表</v>
          </cell>
        </row>
        <row r="902">
          <cell r="A902" t="str">
            <v>hdr2dr002</v>
          </cell>
          <cell r="D902" t="str">
            <v>IGS明细表</v>
          </cell>
        </row>
        <row r="903">
          <cell r="A903" t="str">
            <v>hdr2hh001</v>
          </cell>
          <cell r="D903" t="str">
            <v>供应材料费比例计算表</v>
          </cell>
        </row>
        <row r="904">
          <cell r="A904" t="str">
            <v>hdr2hh002</v>
          </cell>
          <cell r="D904" t="str">
            <v>从HKSEIKO购入</v>
          </cell>
        </row>
        <row r="905">
          <cell r="A905" t="str">
            <v>hdr2hh003</v>
          </cell>
          <cell r="D905" t="str">
            <v>从HKSEIKO购入在库-期初</v>
          </cell>
        </row>
        <row r="906">
          <cell r="A906" t="str">
            <v>hdr2hh004</v>
          </cell>
          <cell r="D906" t="str">
            <v>从HKSEIKO购入在库-期末</v>
          </cell>
        </row>
        <row r="907">
          <cell r="A907" t="str">
            <v>hdr2hh005</v>
          </cell>
          <cell r="D907" t="str">
            <v>HKSEIKO材料费比例</v>
          </cell>
        </row>
        <row r="908">
          <cell r="A908" t="str">
            <v>hdr2mm001</v>
          </cell>
          <cell r="D908" t="str">
            <v>MMK供应材料费比例计算表(仅工场)</v>
          </cell>
        </row>
        <row r="909">
          <cell r="A909" t="str">
            <v>hdr2mm002</v>
          </cell>
          <cell r="D909" t="str">
            <v>从MMK购入</v>
          </cell>
        </row>
        <row r="910">
          <cell r="A910" t="str">
            <v>hdr2mm003</v>
          </cell>
          <cell r="D910" t="str">
            <v>从MMK购入在库-期初</v>
          </cell>
        </row>
        <row r="911">
          <cell r="A911" t="str">
            <v>hdr2mm004</v>
          </cell>
          <cell r="D911" t="str">
            <v>从MMK购入在库-期末</v>
          </cell>
        </row>
        <row r="912">
          <cell r="A912" t="str">
            <v>hdr2mm005</v>
          </cell>
          <cell r="D912" t="str">
            <v>MMK材料费比例</v>
          </cell>
        </row>
        <row r="913">
          <cell r="A913" t="str">
            <v>hdr2mm006</v>
          </cell>
          <cell r="D913" t="str">
            <v>MMK</v>
          </cell>
        </row>
        <row r="914">
          <cell r="A914" t="str">
            <v>hdr2mm007</v>
          </cell>
          <cell r="D914" t="str">
            <v>从MMK购入的存货-期初</v>
          </cell>
        </row>
        <row r="915">
          <cell r="A915" t="str">
            <v>hdr2ro001</v>
          </cell>
          <cell r="D915" t="str">
            <v>ROY.COMM收入明细(MMK/TWM)</v>
          </cell>
        </row>
        <row r="916">
          <cell r="A916" t="str">
            <v>hdr2ss001</v>
          </cell>
          <cell r="D916" t="str">
            <v>S2销售成本计算表</v>
          </cell>
        </row>
        <row r="917">
          <cell r="A917" t="str">
            <v>hdr2ss002</v>
          </cell>
          <cell r="D917" t="str">
            <v>S5制造成本报告书</v>
          </cell>
        </row>
        <row r="918">
          <cell r="A918" t="str">
            <v>hdr2ss003</v>
          </cell>
          <cell r="D918" t="str">
            <v>S9固定资产增减明细</v>
          </cell>
        </row>
        <row r="919">
          <cell r="A919" t="str">
            <v>hdr2tt001</v>
          </cell>
          <cell r="D919" t="str">
            <v>T1资产负债表增减明细</v>
          </cell>
        </row>
        <row r="920">
          <cell r="A920" t="str">
            <v>hdr2tt003</v>
          </cell>
          <cell r="D920" t="str">
            <v>TKM供应材料费比例计算表(仅工场)</v>
          </cell>
        </row>
        <row r="921">
          <cell r="A921" t="str">
            <v>hdr2tt004</v>
          </cell>
          <cell r="D921" t="str">
            <v>从TKM购入</v>
          </cell>
        </row>
        <row r="922">
          <cell r="A922" t="str">
            <v>hdr2tt005</v>
          </cell>
          <cell r="D922" t="str">
            <v>从TKM购入在库-期初</v>
          </cell>
        </row>
        <row r="923">
          <cell r="A923" t="str">
            <v>hdr2tt006</v>
          </cell>
          <cell r="D923" t="str">
            <v>从TKM购入在库-期末</v>
          </cell>
        </row>
        <row r="924">
          <cell r="A924" t="str">
            <v>hdr2tt007</v>
          </cell>
          <cell r="D924" t="str">
            <v>TKM材料费比例</v>
          </cell>
        </row>
        <row r="925">
          <cell r="A925" t="str">
            <v>hdr2tt008</v>
          </cell>
          <cell r="D925" t="str">
            <v>从TKM购入的存货-期初</v>
          </cell>
        </row>
        <row r="926">
          <cell r="A926" t="str">
            <v>hdr3gu001</v>
          </cell>
          <cell r="D926" t="str">
            <v>集团</v>
          </cell>
        </row>
        <row r="927">
          <cell r="A927" t="str">
            <v>hdr3gu002</v>
          </cell>
          <cell r="D927" t="str">
            <v>集团内销售</v>
          </cell>
        </row>
        <row r="928">
          <cell r="A928" t="str">
            <v>hdr3ku001</v>
          </cell>
          <cell r="D928" t="str">
            <v>索赔</v>
          </cell>
        </row>
        <row r="929">
          <cell r="A929" t="str">
            <v>hdr3ku002</v>
          </cell>
          <cell r="D929" t="str">
            <v>索赔品所花费工数明细</v>
          </cell>
        </row>
        <row r="930">
          <cell r="A930" t="str">
            <v>hdr3ku003</v>
          </cell>
          <cell r="D930" t="str">
            <v>索赔小计</v>
          </cell>
        </row>
        <row r="931">
          <cell r="A931" t="str">
            <v>hdr3ku004</v>
          </cell>
          <cell r="D931" t="str">
            <v>索赔号</v>
          </cell>
        </row>
        <row r="932">
          <cell r="A932" t="str">
            <v>hdr3ku005</v>
          </cell>
          <cell r="D932" t="str">
            <v>索赔明细</v>
          </cell>
        </row>
        <row r="933">
          <cell r="A933" t="str">
            <v>hdr3ma001</v>
          </cell>
          <cell r="D933" t="str">
            <v>管理报告</v>
          </cell>
        </row>
        <row r="934">
          <cell r="A934" t="str">
            <v>hdr3mo001</v>
          </cell>
          <cell r="D934" t="str">
            <v>马达销售数量</v>
          </cell>
        </row>
        <row r="935">
          <cell r="A935" t="str">
            <v>hdr3mo002</v>
          </cell>
          <cell r="D935" t="str">
            <v>马达销售数量(千个)</v>
          </cell>
        </row>
        <row r="936">
          <cell r="A936" t="str">
            <v>hdr3mo003</v>
          </cell>
          <cell r="D936" t="str">
            <v>马达生产数量(千个)</v>
          </cell>
        </row>
        <row r="937">
          <cell r="A937" t="str">
            <v>hdr3mo004</v>
          </cell>
          <cell r="D937" t="str">
            <v>马达期末在库数量(千个)</v>
          </cell>
        </row>
        <row r="938">
          <cell r="A938" t="str">
            <v>hdr3mo005</v>
          </cell>
          <cell r="D938" t="str">
            <v>每个马达的销售单价 （RMB)</v>
          </cell>
        </row>
        <row r="939">
          <cell r="A939" t="str">
            <v>hdr3mo006</v>
          </cell>
          <cell r="D939" t="str">
            <v>每个马达的制造原价 (RMB)</v>
          </cell>
        </row>
        <row r="940">
          <cell r="A940" t="str">
            <v>hdr3pe001</v>
          </cell>
          <cell r="D940" t="str">
            <v>页</v>
          </cell>
        </row>
        <row r="941">
          <cell r="A941" t="str">
            <v>hdr3re001</v>
          </cell>
          <cell r="D941" t="str">
            <v>报告书</v>
          </cell>
        </row>
        <row r="942">
          <cell r="A942" t="str">
            <v>hdr3re002</v>
          </cell>
          <cell r="D942" t="str">
            <v>汇兑收益/损失</v>
          </cell>
        </row>
        <row r="943">
          <cell r="A943" t="str">
            <v>hdr3ri001</v>
          </cell>
          <cell r="D943" t="str">
            <v>租赁解约明细</v>
          </cell>
        </row>
        <row r="944">
          <cell r="A944" t="str">
            <v>hdr3ri002</v>
          </cell>
          <cell r="D944" t="str">
            <v>新设租赁合同·变更明细</v>
          </cell>
        </row>
        <row r="945">
          <cell r="A945" t="str">
            <v>hdr3ri003</v>
          </cell>
          <cell r="D945" t="str">
            <v>租赁开始日</v>
          </cell>
        </row>
        <row r="946">
          <cell r="A946" t="str">
            <v>hdr3ri004</v>
          </cell>
          <cell r="D946" t="str">
            <v>租赁开始日的汇率</v>
          </cell>
        </row>
        <row r="947">
          <cell r="A947" t="str">
            <v>hdr3ri005</v>
          </cell>
          <cell r="D947" t="str">
            <v>租赁期间(月数)</v>
          </cell>
        </row>
        <row r="948">
          <cell r="A948" t="str">
            <v>hdr3ri006</v>
          </cell>
          <cell r="D948" t="str">
            <v>租赁费总额</v>
          </cell>
        </row>
        <row r="949">
          <cell r="A949" t="str">
            <v>hdr3ri007</v>
          </cell>
          <cell r="D949" t="str">
            <v>新设租赁合同·变更明细</v>
          </cell>
        </row>
        <row r="950">
          <cell r="A950" t="str">
            <v>hdr3ri008</v>
          </cell>
          <cell r="D950" t="str">
            <v>融资租赁合同明细</v>
          </cell>
        </row>
        <row r="951">
          <cell r="A951" t="str">
            <v>hdr3ri009</v>
          </cell>
          <cell r="D951" t="str">
            <v>融资租赁合同期间</v>
          </cell>
        </row>
        <row r="952">
          <cell r="A952" t="str">
            <v>hdr3se001</v>
          </cell>
          <cell r="D952" t="str">
            <v>部门报告</v>
          </cell>
        </row>
        <row r="953">
          <cell r="A953" t="str">
            <v>hdr3se002</v>
          </cell>
          <cell r="D953" t="str">
            <v>Cell位置</v>
          </cell>
        </row>
        <row r="954">
          <cell r="A954" t="str">
            <v>hdr3se003</v>
          </cell>
          <cell r="D954" t="str">
            <v>部门</v>
          </cell>
        </row>
        <row r="955">
          <cell r="A955" t="str">
            <v>hdr3si001</v>
          </cell>
          <cell r="D955" t="str">
            <v>表格号</v>
          </cell>
        </row>
        <row r="956">
          <cell r="A956" t="str">
            <v>hdr3si002</v>
          </cell>
          <cell r="D956" t="str">
            <v>表格名称</v>
          </cell>
        </row>
        <row r="957">
          <cell r="A957" t="str">
            <v>hdr3so001</v>
          </cell>
          <cell r="D957" t="str">
            <v>其他</v>
          </cell>
        </row>
        <row r="958">
          <cell r="A958" t="str">
            <v>hdr3so002</v>
          </cell>
          <cell r="D958" t="str">
            <v>(其他)</v>
          </cell>
        </row>
        <row r="959">
          <cell r="A959" t="str">
            <v>hdr3ta001</v>
          </cell>
          <cell r="D959" t="str">
            <v>报告种类</v>
          </cell>
        </row>
        <row r="960">
          <cell r="A960" t="str">
            <v>hdr3yu001</v>
          </cell>
          <cell r="D960" t="str">
            <v>用户保证余额</v>
          </cell>
        </row>
        <row r="961">
          <cell r="A961" t="str">
            <v>hdr4aa001</v>
          </cell>
          <cell r="D961" t="str">
            <v>对方公司</v>
          </cell>
        </row>
        <row r="962">
          <cell r="A962" t="str">
            <v>hdr4aa002</v>
          </cell>
          <cell r="D962" t="str">
            <v>对方/债权金额</v>
          </cell>
        </row>
        <row r="963">
          <cell r="A963" t="str">
            <v>hdr4aa003</v>
          </cell>
          <cell r="D963" t="str">
            <v>对方</v>
          </cell>
        </row>
        <row r="964">
          <cell r="A964" t="str">
            <v>hdr4aa004</v>
          </cell>
          <cell r="D964" t="str">
            <v>(中国不适用) n/a</v>
          </cell>
        </row>
        <row r="965">
          <cell r="A965" t="str">
            <v>hdr4aa005</v>
          </cell>
          <cell r="D965" t="str">
            <v>(中国不适用) n/a</v>
          </cell>
        </row>
        <row r="966">
          <cell r="A966" t="str">
            <v>hdr4ba001</v>
          </cell>
          <cell r="D966" t="str">
            <v>出售损益</v>
          </cell>
        </row>
        <row r="967">
          <cell r="A967" t="str">
            <v>hdr4ba002</v>
          </cell>
          <cell r="D967" t="str">
            <v>出售额</v>
          </cell>
        </row>
        <row r="968">
          <cell r="A968" t="str">
            <v>hdr4ba003</v>
          </cell>
          <cell r="D968" t="str">
            <v>出售理由</v>
          </cell>
        </row>
        <row r="969">
          <cell r="A969" t="str">
            <v>hdr4ba004</v>
          </cell>
          <cell r="D969" t="str">
            <v>出售成本</v>
          </cell>
        </row>
        <row r="970">
          <cell r="A970" t="str">
            <v>hdr4bi001</v>
          </cell>
          <cell r="D970" t="str">
            <v>备注</v>
          </cell>
        </row>
        <row r="971">
          <cell r="A971" t="str">
            <v>hdr4bu001</v>
          </cell>
          <cell r="D971" t="str">
            <v>部门代号</v>
          </cell>
        </row>
        <row r="972">
          <cell r="A972" t="str">
            <v>hdr4bu002</v>
          </cell>
          <cell r="D972" t="str">
            <v>部门名称</v>
          </cell>
        </row>
        <row r="973">
          <cell r="A973" t="str">
            <v>hdr4bu003</v>
          </cell>
          <cell r="D973" t="str">
            <v>分解</v>
          </cell>
        </row>
        <row r="974">
          <cell r="A974" t="str">
            <v>hdr4bu004</v>
          </cell>
          <cell r="D974" t="str">
            <v>物件情报</v>
          </cell>
        </row>
        <row r="975">
          <cell r="A975" t="str">
            <v>hdr4bu005</v>
          </cell>
          <cell r="D975" t="str">
            <v>物件名称</v>
          </cell>
        </row>
        <row r="976">
          <cell r="A976" t="str">
            <v>hdr4bu006</v>
          </cell>
          <cell r="D976" t="str">
            <v>分类</v>
          </cell>
        </row>
        <row r="977">
          <cell r="A977" t="str">
            <v>hdr4de001</v>
          </cell>
          <cell r="D977" t="str">
            <v>电话使用权</v>
          </cell>
        </row>
        <row r="978">
          <cell r="A978" t="str">
            <v>hdr4de002</v>
          </cell>
          <cell r="D978" t="str">
            <v>电话使用权-取得成本-期初</v>
          </cell>
        </row>
        <row r="979">
          <cell r="A979" t="str">
            <v>hdr4de003</v>
          </cell>
          <cell r="D979" t="str">
            <v>电话使用权-累计摊销-期初</v>
          </cell>
        </row>
        <row r="980">
          <cell r="A980" t="str">
            <v>hdr4ee001</v>
          </cell>
          <cell r="D980" t="str">
            <v>营业报告</v>
          </cell>
        </row>
        <row r="981">
          <cell r="A981" t="str">
            <v>hdr4ee002</v>
          </cell>
          <cell r="D981" t="str">
            <v>营业外明细(按对方分)</v>
          </cell>
        </row>
        <row r="982">
          <cell r="A982" t="str">
            <v>hdr4ee003</v>
          </cell>
          <cell r="D982" t="str">
            <v>营业外收入</v>
          </cell>
        </row>
        <row r="983">
          <cell r="A983" t="str">
            <v>hdr4ee004</v>
          </cell>
          <cell r="D983" t="str">
            <v>营业外支出</v>
          </cell>
        </row>
        <row r="984">
          <cell r="A984" t="str">
            <v>hdr4ee005</v>
          </cell>
          <cell r="D984" t="str">
            <v>(永久差异-费用)</v>
          </cell>
        </row>
        <row r="985">
          <cell r="A985" t="str">
            <v>hdr4ee006</v>
          </cell>
          <cell r="D985" t="str">
            <v>(永久差异-收入)</v>
          </cell>
        </row>
        <row r="986">
          <cell r="A986" t="str">
            <v>hdr4ee007</v>
          </cell>
          <cell r="D986" t="str">
            <v>-</v>
          </cell>
        </row>
        <row r="987">
          <cell r="A987" t="str">
            <v>hdr4ge001</v>
          </cell>
          <cell r="D987" t="str">
            <v>月度</v>
          </cell>
        </row>
        <row r="988">
          <cell r="A988" t="str">
            <v>hdr4ge002</v>
          </cell>
          <cell r="D988" t="str">
            <v>月末在职人数</v>
          </cell>
        </row>
        <row r="989">
          <cell r="A989" t="str">
            <v>hdr4ge003</v>
          </cell>
          <cell r="D989" t="str">
            <v>原材料</v>
          </cell>
        </row>
        <row r="990">
          <cell r="A990" t="str">
            <v>hdr4ge004</v>
          </cell>
          <cell r="D990" t="str">
            <v>当地科目代号</v>
          </cell>
        </row>
        <row r="991">
          <cell r="A991" t="str">
            <v>hdr4ge005</v>
          </cell>
          <cell r="D991" t="str">
            <v>当地科目名称</v>
          </cell>
        </row>
        <row r="992">
          <cell r="A992" t="str">
            <v>hdr4ge006</v>
          </cell>
          <cell r="D992" t="str">
            <v>减少</v>
          </cell>
        </row>
        <row r="993">
          <cell r="A993" t="str">
            <v>hdr4ge007</v>
          </cell>
          <cell r="D993" t="str">
            <v>累计折旧</v>
          </cell>
        </row>
        <row r="994">
          <cell r="A994" t="str">
            <v>hdr4ge008</v>
          </cell>
          <cell r="D994" t="str">
            <v>当地会计处理</v>
          </cell>
        </row>
        <row r="995">
          <cell r="A995" t="str">
            <v>hdr4ge009</v>
          </cell>
          <cell r="D995" t="str">
            <v>月度决算报告</v>
          </cell>
        </row>
        <row r="996">
          <cell r="A996" t="str">
            <v>hdr4ge010</v>
          </cell>
          <cell r="D996" t="str">
            <v>减算</v>
          </cell>
        </row>
        <row r="997">
          <cell r="A997" t="str">
            <v>hdr4ge011</v>
          </cell>
          <cell r="D997" t="str">
            <v>折旧超过额</v>
          </cell>
        </row>
        <row r="998">
          <cell r="A998" t="str">
            <v>hdr4ge012</v>
          </cell>
          <cell r="D998" t="str">
            <v>折旧超过但为税法所认可额</v>
          </cell>
        </row>
        <row r="999">
          <cell r="A999" t="str">
            <v>hdr4ge013</v>
          </cell>
          <cell r="D999" t="str">
            <v>现金等价物</v>
          </cell>
        </row>
        <row r="1000">
          <cell r="A1000" t="str">
            <v>hdr4ge014</v>
          </cell>
          <cell r="D1000" t="str">
            <v>-</v>
          </cell>
        </row>
        <row r="1001">
          <cell r="A1001" t="str">
            <v>hdr4ge015</v>
          </cell>
          <cell r="D1001" t="str">
            <v>-</v>
          </cell>
        </row>
        <row r="1002">
          <cell r="A1002" t="str">
            <v>hdr4ge016</v>
          </cell>
          <cell r="D1002" t="str">
            <v>融资租赁费月额</v>
          </cell>
        </row>
        <row r="1003">
          <cell r="A1003" t="str">
            <v>hdr4gi001</v>
          </cell>
          <cell r="D1003" t="str">
            <v>技术援助费用</v>
          </cell>
        </row>
        <row r="1004">
          <cell r="A1004" t="str">
            <v>hdr4go001</v>
          </cell>
          <cell r="D1004" t="str">
            <v>合计</v>
          </cell>
        </row>
        <row r="1005">
          <cell r="A1005" t="str">
            <v>hdr4go002</v>
          </cell>
          <cell r="D1005" t="str">
            <v>合计中已支付额</v>
          </cell>
        </row>
        <row r="1006">
          <cell r="A1006" t="str">
            <v>hdr4gu001</v>
          </cell>
          <cell r="D1006" t="str">
            <v>潜在债务明细</v>
          </cell>
        </row>
        <row r="1007">
          <cell r="A1007" t="str">
            <v>hdr4gu002</v>
          </cell>
          <cell r="D1007" t="str">
            <v>潜在债务</v>
          </cell>
        </row>
        <row r="1008">
          <cell r="A1008" t="str">
            <v>hdr4ha001</v>
          </cell>
          <cell r="D1008" t="str">
            <v>发生理由</v>
          </cell>
        </row>
        <row r="1009">
          <cell r="A1009" t="str">
            <v>hdr4ha002</v>
          </cell>
          <cell r="D1009" t="str">
            <v>半成品</v>
          </cell>
        </row>
        <row r="1010">
          <cell r="A1010" t="str">
            <v>hdr4ha003</v>
          </cell>
          <cell r="D1010" t="str">
            <v>销售费用</v>
          </cell>
        </row>
        <row r="1011">
          <cell r="A1011" t="str">
            <v>hdr4ha004</v>
          </cell>
          <cell r="D1011" t="str">
            <v>销售及一般管理费用明细</v>
          </cell>
        </row>
        <row r="1012">
          <cell r="A1012" t="str">
            <v>hdr4ha005</v>
          </cell>
          <cell r="D1012" t="str">
            <v>销售及一般管理费用明细(按部门分)</v>
          </cell>
        </row>
        <row r="1013">
          <cell r="A1013" t="str">
            <v>hdr4ha006</v>
          </cell>
          <cell r="D1013" t="str">
            <v>销售及一般管理费用</v>
          </cell>
        </row>
        <row r="1014">
          <cell r="A1014" t="str">
            <v>hdr4ha007</v>
          </cell>
          <cell r="D1014" t="str">
            <v>股利从何取得/股利金额</v>
          </cell>
        </row>
        <row r="1015">
          <cell r="A1015" t="str">
            <v>hdr4ha008</v>
          </cell>
          <cell r="D1015" t="str">
            <v>半年</v>
          </cell>
        </row>
        <row r="1016">
          <cell r="A1016" t="str">
            <v>hdr4ha009</v>
          </cell>
          <cell r="D1016" t="str">
            <v>半成品销售收入</v>
          </cell>
        </row>
        <row r="1017">
          <cell r="A1017" t="str">
            <v>hdr4ha010</v>
          </cell>
          <cell r="D1017" t="str">
            <v>半成品-期初</v>
          </cell>
        </row>
        <row r="1018">
          <cell r="A1018" t="str">
            <v>hdr4ha011</v>
          </cell>
          <cell r="D1018" t="str">
            <v>销售及一般管理费用明细(按交易对方分)</v>
          </cell>
        </row>
        <row r="1019">
          <cell r="A1019" t="str">
            <v>hdr4ha012</v>
          </cell>
          <cell r="D1019" t="str">
            <v>销售管理(人)</v>
          </cell>
        </row>
        <row r="1020">
          <cell r="A1020" t="str">
            <v>hdr4ha013</v>
          </cell>
          <cell r="D1020" t="str">
            <v>期末</v>
          </cell>
        </row>
        <row r="1021">
          <cell r="A1021" t="str">
            <v>hdr4ha014</v>
          </cell>
          <cell r="C1021" t="str">
            <v>aa007</v>
          </cell>
          <cell r="D1021" t="str">
            <v>销售及一般管理费用明细(前期对比)</v>
          </cell>
        </row>
        <row r="1022">
          <cell r="A1022" t="str">
            <v>hdr4ha015</v>
          </cell>
          <cell r="C1022" t="str">
            <v>aa008</v>
          </cell>
          <cell r="D1022" t="str">
            <v>销售及一般管理费用明细(预算对比)</v>
          </cell>
        </row>
        <row r="1023">
          <cell r="A1023" t="str">
            <v>hdr4he001</v>
          </cell>
          <cell r="D1023" t="str">
            <v>平均汇率(对US$)</v>
          </cell>
        </row>
        <row r="1024">
          <cell r="A1024" t="str">
            <v>hdr4he002</v>
          </cell>
          <cell r="D1024" t="str">
            <v>平均工资上涨率(年换算%)</v>
          </cell>
        </row>
        <row r="1025">
          <cell r="A1025" t="str">
            <v>hdr4hi001</v>
          </cell>
          <cell r="D1025" t="str">
            <v>比率</v>
          </cell>
        </row>
        <row r="1026">
          <cell r="A1026" t="str">
            <v>hdr4hi002</v>
          </cell>
          <cell r="D1026" t="str">
            <v>品名</v>
          </cell>
        </row>
        <row r="1027">
          <cell r="A1027" t="str">
            <v>hdr4hi003</v>
          </cell>
          <cell r="D1027" t="str">
            <v>品名代号</v>
          </cell>
        </row>
        <row r="1028">
          <cell r="A1028" t="str">
            <v>hdr4hi004</v>
          </cell>
          <cell r="D1028" t="str">
            <v>品名代号</v>
          </cell>
        </row>
        <row r="1029">
          <cell r="A1029" t="str">
            <v>hdr4hi005</v>
          </cell>
          <cell r="D1029" t="str">
            <v>日期</v>
          </cell>
        </row>
        <row r="1030">
          <cell r="A1030" t="str">
            <v>hdr4hi006</v>
          </cell>
          <cell r="D1030" t="str">
            <v>作为费用核算</v>
          </cell>
        </row>
        <row r="1031">
          <cell r="A1031" t="str">
            <v>hdr4ho001</v>
          </cell>
          <cell r="D1031" t="str">
            <v>报表上的期初未分配盈余</v>
          </cell>
        </row>
        <row r="1032">
          <cell r="A1032" t="str">
            <v>hdr4ho002</v>
          </cell>
          <cell r="D1032" t="str">
            <v>企业所得税</v>
          </cell>
        </row>
        <row r="1033">
          <cell r="A1033" t="str">
            <v>hdr4ho003</v>
          </cell>
          <cell r="D1033" t="str">
            <v>法定实效税率</v>
          </cell>
        </row>
        <row r="1034">
          <cell r="A1034" t="str">
            <v>hdr4ho004</v>
          </cell>
          <cell r="D1034" t="str">
            <v>法定实效税率税金费用</v>
          </cell>
        </row>
        <row r="1035">
          <cell r="A1035" t="str">
            <v>hdr4ho005</v>
          </cell>
          <cell r="D1035" t="str">
            <v>企业所得税+企业所得税调整额</v>
          </cell>
        </row>
        <row r="1036">
          <cell r="A1036" t="str">
            <v>hdr4hy001</v>
          </cell>
          <cell r="D1036" t="str">
            <v>估价损益</v>
          </cell>
        </row>
        <row r="1037">
          <cell r="A1037" t="str">
            <v>hdr4ii001</v>
          </cell>
          <cell r="D1037" t="str">
            <v>一般</v>
          </cell>
        </row>
        <row r="1038">
          <cell r="A1038" t="str">
            <v>hdr4ii002</v>
          </cell>
          <cell r="D1038" t="str">
            <v>一般管理费</v>
          </cell>
        </row>
        <row r="1039">
          <cell r="A1039" t="str">
            <v>hdr4ii003</v>
          </cell>
          <cell r="D1039" t="str">
            <v>一般小计</v>
          </cell>
        </row>
        <row r="1040">
          <cell r="A1040" t="str">
            <v>hdr4ii004</v>
          </cell>
          <cell r="D1040" t="str">
            <v>一般国内交易</v>
          </cell>
        </row>
        <row r="1041">
          <cell r="A1041" t="str">
            <v>hdr4ii005</v>
          </cell>
          <cell r="D1041" t="str">
            <v>一般出口</v>
          </cell>
        </row>
        <row r="1042">
          <cell r="A1042" t="str">
            <v>hdr4ii006</v>
          </cell>
          <cell r="D1042" t="str">
            <v>部分解约</v>
          </cell>
        </row>
        <row r="1043">
          <cell r="A1043" t="str">
            <v>hdr4ii007</v>
          </cell>
          <cell r="D1043" t="str">
            <v>一般国内交易小计</v>
          </cell>
        </row>
        <row r="1044">
          <cell r="A1044" t="str">
            <v>hdr4ii008</v>
          </cell>
          <cell r="D1044" t="str">
            <v>一般出口小计</v>
          </cell>
        </row>
        <row r="1045">
          <cell r="A1045" t="str">
            <v>hdr4ii009</v>
          </cell>
          <cell r="D1045" t="str">
            <v>一般销售</v>
          </cell>
        </row>
        <row r="1046">
          <cell r="A1046" t="str">
            <v>hdr4ji001</v>
          </cell>
          <cell r="D1046" t="str">
            <v>本工场责任</v>
          </cell>
        </row>
        <row r="1047">
          <cell r="A1047" t="str">
            <v>hdr4ji002</v>
          </cell>
          <cell r="D1047" t="str">
            <v>本公司发行股票明细,研究开发费用明细(MMK)</v>
          </cell>
        </row>
        <row r="1048">
          <cell r="A1048" t="str">
            <v>hdr4ji003</v>
          </cell>
          <cell r="D1048" t="str">
            <v>实际业绩</v>
          </cell>
        </row>
        <row r="1049">
          <cell r="A1049" t="str">
            <v>hdr4ji004</v>
          </cell>
          <cell r="D1049" t="str">
            <v>人事报告</v>
          </cell>
        </row>
        <row r="1050">
          <cell r="A1050" t="str">
            <v>hdr4ji005</v>
          </cell>
          <cell r="D1050" t="str">
            <v>本公司发行股票</v>
          </cell>
        </row>
        <row r="1051">
          <cell r="A1051" t="str">
            <v>hdr4ji006</v>
          </cell>
          <cell r="D1051" t="str">
            <v>库存股票</v>
          </cell>
        </row>
        <row r="1052">
          <cell r="A1052" t="str">
            <v>hdr4ji007</v>
          </cell>
          <cell r="D1052" t="str">
            <v>库存股票-期末</v>
          </cell>
        </row>
        <row r="1053">
          <cell r="A1053" t="str">
            <v>hdr4ji008</v>
          </cell>
          <cell r="D1053" t="str">
            <v>实绩</v>
          </cell>
        </row>
        <row r="1054">
          <cell r="A1054" t="str">
            <v>hdr4ji009</v>
          </cell>
          <cell r="D1054" t="str">
            <v>(实际/实际预测)</v>
          </cell>
        </row>
        <row r="1055">
          <cell r="A1055" t="str">
            <v>hdr4ji010</v>
          </cell>
          <cell r="D1055" t="str">
            <v>－</v>
          </cell>
        </row>
        <row r="1056">
          <cell r="A1056" t="str">
            <v>hdr4jy001</v>
          </cell>
          <cell r="D1056" t="str">
            <v>未分配盈余</v>
          </cell>
        </row>
        <row r="1057">
          <cell r="A1057" t="str">
            <v>hdr4jy002</v>
          </cell>
          <cell r="D1057" t="str">
            <v>报废</v>
          </cell>
        </row>
        <row r="1058">
          <cell r="A1058" t="str">
            <v>hdr4jy003</v>
          </cell>
          <cell r="D1058" t="str">
            <v>报废年月</v>
          </cell>
        </row>
        <row r="1059">
          <cell r="A1059" t="str">
            <v>hdr4jy004</v>
          </cell>
          <cell r="D1059" t="str">
            <v>报废年月代号</v>
          </cell>
        </row>
        <row r="1060">
          <cell r="A1060" t="str">
            <v>hdr4jy005</v>
          </cell>
          <cell r="D1060" t="str">
            <v>从业人员数(期末人数)</v>
          </cell>
        </row>
        <row r="1061">
          <cell r="A1061" t="str">
            <v>hdr4jy006</v>
          </cell>
          <cell r="D1061" t="str">
            <v>信息化关连</v>
          </cell>
        </row>
        <row r="1062">
          <cell r="A1062" t="str">
            <v>hdr4ka001</v>
          </cell>
          <cell r="D1062" t="str">
            <v>非合并报表关联企业小计</v>
          </cell>
        </row>
        <row r="1063">
          <cell r="A1063" t="str">
            <v>hdr4ka002</v>
          </cell>
          <cell r="D1063" t="str">
            <v>会计科目</v>
          </cell>
        </row>
        <row r="1064">
          <cell r="A1064" t="str">
            <v>hdr4ka003</v>
          </cell>
          <cell r="D1064" t="str">
            <v>会计科目明细表</v>
          </cell>
        </row>
        <row r="1065">
          <cell r="A1065" t="str">
            <v>hdr4ka004</v>
          </cell>
          <cell r="D1065" t="str">
            <v>借方科目</v>
          </cell>
        </row>
        <row r="1066">
          <cell r="A1066" t="str">
            <v>hdr4ka005</v>
          </cell>
          <cell r="D1066" t="str">
            <v>贷方科目</v>
          </cell>
        </row>
        <row r="1067">
          <cell r="A1067" t="str">
            <v>hdr4ka006</v>
          </cell>
          <cell r="D1067" t="str">
            <v>投资关联公司股份</v>
          </cell>
        </row>
        <row r="1068">
          <cell r="A1068" t="str">
            <v>hdr4ka007</v>
          </cell>
          <cell r="D1068" t="str">
            <v>投资关联公司出资金</v>
          </cell>
        </row>
        <row r="1069">
          <cell r="A1069" t="str">
            <v>hdr4ka008</v>
          </cell>
          <cell r="D1069" t="str">
            <v>解约</v>
          </cell>
        </row>
        <row r="1070">
          <cell r="A1070" t="str">
            <v>hdr4ka009</v>
          </cell>
          <cell r="D1070" t="str">
            <v>解约日</v>
          </cell>
        </row>
        <row r="1071">
          <cell r="A1071" t="str">
            <v>hdr4ka010</v>
          </cell>
          <cell r="D1071" t="str">
            <v>关联/一般公司</v>
          </cell>
        </row>
        <row r="1072">
          <cell r="A1072" t="str">
            <v>hdr4ka011</v>
          </cell>
          <cell r="D1072" t="str">
            <v>借方</v>
          </cell>
        </row>
        <row r="1073">
          <cell r="A1073" t="str">
            <v>hdr4ka012</v>
          </cell>
          <cell r="D1073" t="str">
            <v>贷方</v>
          </cell>
        </row>
        <row r="1074">
          <cell r="A1074" t="str">
            <v>hdr4ka013</v>
          </cell>
          <cell r="D1074" t="str">
            <v>科目</v>
          </cell>
        </row>
        <row r="1075">
          <cell r="A1075" t="str">
            <v>hdr4ka014</v>
          </cell>
          <cell r="D1075" t="str">
            <v>会计科目代号</v>
          </cell>
        </row>
        <row r="1076">
          <cell r="A1076" t="str">
            <v>hdr4ka015</v>
          </cell>
          <cell r="D1076" t="str">
            <v>坏帐准备(长期)</v>
          </cell>
        </row>
        <row r="1077">
          <cell r="A1077" t="str">
            <v>hdr4ka016</v>
          </cell>
          <cell r="D1077" t="str">
            <v>会计师调整-以前年度收益</v>
          </cell>
        </row>
        <row r="1078">
          <cell r="A1078" t="str">
            <v>hdr4ka017</v>
          </cell>
          <cell r="D1078" t="str">
            <v>会计师调整-以前年度损失</v>
          </cell>
        </row>
        <row r="1079">
          <cell r="A1079" t="str">
            <v>hdr4ka018</v>
          </cell>
          <cell r="D1079" t="str">
            <v>会计师调整后的期初未分配盈余</v>
          </cell>
        </row>
        <row r="1080">
          <cell r="A1080" t="str">
            <v>hdr4ka019</v>
          </cell>
          <cell r="D1080" t="str">
            <v>公司名称</v>
          </cell>
        </row>
        <row r="1081">
          <cell r="A1081" t="str">
            <v>hdr4ka020</v>
          </cell>
          <cell r="D1081" t="str">
            <v>加算</v>
          </cell>
        </row>
        <row r="1082">
          <cell r="A1082" t="str">
            <v>hdr4ka021</v>
          </cell>
          <cell r="D1082" t="str">
            <v>应纳税所得额</v>
          </cell>
        </row>
        <row r="1083">
          <cell r="A1083" t="str">
            <v>hdr4ka022</v>
          </cell>
          <cell r="D1083" t="str">
            <v>坏帐准备超过额</v>
          </cell>
        </row>
        <row r="1084">
          <cell r="A1084" t="str">
            <v>hdr4ka023</v>
          </cell>
          <cell r="D1084" t="str">
            <v>坏帐准备超过但为税法所认可金额</v>
          </cell>
        </row>
        <row r="1085">
          <cell r="A1085" t="str">
            <v>hdr4ka024</v>
          </cell>
          <cell r="D1085" t="str">
            <v>海外投资损失准备金使用额</v>
          </cell>
        </row>
        <row r="1086">
          <cell r="A1086" t="str">
            <v>hdr4ka025</v>
          </cell>
          <cell r="D1086" t="str">
            <v>海外投资损失准备金提取额</v>
          </cell>
        </row>
        <row r="1087">
          <cell r="A1087" t="str">
            <v>hdr4ka026</v>
          </cell>
          <cell r="D1087" t="str">
            <v>开办费</v>
          </cell>
        </row>
        <row r="1088">
          <cell r="A1088" t="str">
            <v>hdr4ka027</v>
          </cell>
          <cell r="D1088" t="str">
            <v>开办费 - 期末</v>
          </cell>
        </row>
        <row r="1089">
          <cell r="A1089" t="str">
            <v>hdr4ka028</v>
          </cell>
          <cell r="D1089" t="str">
            <v>加工费(仅DWM)</v>
          </cell>
        </row>
        <row r="1090">
          <cell r="A1090" t="str">
            <v>hdr4ka029</v>
          </cell>
          <cell r="D1090" t="str">
            <v>(上半年)</v>
          </cell>
        </row>
        <row r="1091">
          <cell r="A1091" t="str">
            <v>hdr4ka030</v>
          </cell>
          <cell r="D1091" t="str">
            <v>上期计画对下期计画</v>
          </cell>
        </row>
        <row r="1092">
          <cell r="A1092" t="str">
            <v>hdr4ka031</v>
          </cell>
        </row>
        <row r="1093">
          <cell r="A1093" t="str">
            <v>hdr4ka032</v>
          </cell>
          <cell r="D1093" t="str">
            <v>海外投资损失准备金</v>
          </cell>
        </row>
        <row r="1094">
          <cell r="A1094" t="str">
            <v>hdr4ka033</v>
          </cell>
          <cell r="D1094" t="str">
            <v>以前年度税金调整</v>
          </cell>
        </row>
        <row r="1095">
          <cell r="A1095" t="str">
            <v>hdr4ka034</v>
          </cell>
          <cell r="D1095" t="str">
            <v>应付借款5年以内偿还总额</v>
          </cell>
        </row>
        <row r="1096">
          <cell r="A1096" t="str">
            <v>hdr4ka035</v>
          </cell>
          <cell r="D1096" t="str">
            <v>环境关连</v>
          </cell>
        </row>
        <row r="1097">
          <cell r="A1097" t="str">
            <v>hdr4ka036</v>
          </cell>
          <cell r="D1097" t="str">
            <v>股票</v>
          </cell>
        </row>
        <row r="1098">
          <cell r="A1098" t="str">
            <v>hdr4ke001</v>
          </cell>
          <cell r="D1098" t="str">
            <v>经费明细(按交易对方分)</v>
          </cell>
        </row>
        <row r="1099">
          <cell r="A1099" t="str">
            <v>hdr4ke002</v>
          </cell>
          <cell r="D1099" t="str">
            <v>在建工程</v>
          </cell>
        </row>
        <row r="1100">
          <cell r="A1100" t="str">
            <v>hdr4ke003</v>
          </cell>
          <cell r="D1100" t="str">
            <v>合同号</v>
          </cell>
        </row>
        <row r="1101">
          <cell r="A1101" t="str">
            <v>hdr4ke004</v>
          </cell>
          <cell r="D1101" t="str">
            <v>合同参照</v>
          </cell>
        </row>
        <row r="1102">
          <cell r="A1102" t="str">
            <v>hdr4ke005</v>
          </cell>
          <cell r="D1102" t="str">
            <v>合同取消的情况</v>
          </cell>
        </row>
        <row r="1103">
          <cell r="A1103" t="str">
            <v>hdr4ke006</v>
          </cell>
          <cell r="D1103" t="str">
            <v>合同参照</v>
          </cell>
        </row>
        <row r="1104">
          <cell r="A1104" t="str">
            <v>hdr4ke007</v>
          </cell>
          <cell r="D1104" t="str">
            <v>研究开发</v>
          </cell>
        </row>
        <row r="1105">
          <cell r="A1105" t="str">
            <v>hdr4ke008</v>
          </cell>
          <cell r="D1105" t="str">
            <v>在建工程的结转</v>
          </cell>
        </row>
        <row r="1106">
          <cell r="A1106" t="str">
            <v>hdr4ke009</v>
          </cell>
          <cell r="D1106" t="str">
            <v>经费小计</v>
          </cell>
        </row>
        <row r="1107">
          <cell r="A1107" t="str">
            <v>hdr4ke010</v>
          </cell>
          <cell r="D1107" t="str">
            <v>在建工程余额(仅合并报表公司)</v>
          </cell>
        </row>
        <row r="1108">
          <cell r="A1108" t="str">
            <v>hdr4ke011</v>
          </cell>
          <cell r="D1108" t="str">
            <v>在建工程-期初</v>
          </cell>
        </row>
        <row r="1109">
          <cell r="A1109" t="str">
            <v>hdr4ke012</v>
          </cell>
          <cell r="D1109" t="str">
            <v>经营课题·风险等</v>
          </cell>
        </row>
        <row r="1110">
          <cell r="A1110" t="str">
            <v>hdr4ke013</v>
          </cell>
          <cell r="D1110" t="str">
            <v>经费</v>
          </cell>
        </row>
        <row r="1111">
          <cell r="A1111" t="str">
            <v>hdr4ke014</v>
          </cell>
          <cell r="D1111" t="str">
            <v>(计划)</v>
          </cell>
        </row>
        <row r="1112">
          <cell r="A1112" t="str">
            <v>hdr4ke015</v>
          </cell>
          <cell r="D1112" t="str">
            <v>合同继续中</v>
          </cell>
        </row>
        <row r="1113">
          <cell r="A1113" t="str">
            <v>hdr4ke016</v>
          </cell>
          <cell r="D1113" t="str">
            <v>合同更新中</v>
          </cell>
        </row>
        <row r="1114">
          <cell r="A1114" t="str">
            <v>hdr4ke017</v>
          </cell>
          <cell r="D1114" t="str">
            <v>合同终了</v>
          </cell>
        </row>
        <row r="1115">
          <cell r="A1115" t="str">
            <v>hdr4ki001</v>
          </cell>
          <cell r="D1115" t="str">
            <v>期日内应收帐款</v>
          </cell>
        </row>
        <row r="1116">
          <cell r="A1116" t="str">
            <v>hdr4ki002</v>
          </cell>
          <cell r="D1116" t="str">
            <v>金额</v>
          </cell>
        </row>
        <row r="1117">
          <cell r="A1117" t="str">
            <v>hdr4ki003</v>
          </cell>
          <cell r="D1117" t="str">
            <v>期间</v>
          </cell>
        </row>
        <row r="1118">
          <cell r="A1118" t="str">
            <v>hdr4ki004</v>
          </cell>
          <cell r="D1118" t="str">
            <v>记帐本位币</v>
          </cell>
        </row>
        <row r="1119">
          <cell r="A1119" t="str">
            <v>hdr4ki005</v>
          </cell>
          <cell r="D1119" t="str">
            <v>期初设定表</v>
          </cell>
        </row>
        <row r="1120">
          <cell r="A1120" t="str">
            <v>hdr4ki006</v>
          </cell>
          <cell r="D1120" t="str">
            <v>期初盘存</v>
          </cell>
        </row>
        <row r="1121">
          <cell r="A1121" t="str">
            <v>hdr4ki007</v>
          </cell>
          <cell r="D1121" t="str">
            <v>期初盘存调整额</v>
          </cell>
        </row>
        <row r="1122">
          <cell r="A1122" t="str">
            <v>hdr4ki008</v>
          </cell>
          <cell r="D1122" t="str">
            <v>期末盘存</v>
          </cell>
        </row>
        <row r="1123">
          <cell r="A1123" t="str">
            <v>hdr4ki009</v>
          </cell>
          <cell r="D1123" t="str">
            <v>期末盘存调整额</v>
          </cell>
        </row>
        <row r="1124">
          <cell r="A1124" t="str">
            <v>hdr4ki010</v>
          </cell>
          <cell r="D1124" t="str">
            <v>期初</v>
          </cell>
        </row>
        <row r="1125">
          <cell r="A1125" t="str">
            <v>hdr4ki011</v>
          </cell>
          <cell r="D1125" t="str">
            <v>期末</v>
          </cell>
        </row>
        <row r="1126">
          <cell r="A1126" t="str">
            <v>hdr4ki012</v>
          </cell>
          <cell r="D1126" t="str">
            <v>机械设备</v>
          </cell>
        </row>
        <row r="1127">
          <cell r="A1127" t="str">
            <v>hdr4ki013</v>
          </cell>
          <cell r="D1127" t="str">
            <v>机械设备购入明细(仅合并报表公司)</v>
          </cell>
        </row>
        <row r="1128">
          <cell r="A1128" t="str">
            <v>hdr4ki014</v>
          </cell>
          <cell r="D1128" t="str">
            <v>机械设备清理明细(仅合并报表公司)</v>
          </cell>
        </row>
        <row r="1129">
          <cell r="A1129" t="str">
            <v>hdr4ki015</v>
          </cell>
          <cell r="D1129" t="str">
            <v>期末所有的土地</v>
          </cell>
        </row>
        <row r="1130">
          <cell r="A1130" t="str">
            <v>hdr4ki016</v>
          </cell>
          <cell r="D1130" t="str">
            <v>期末租借的土地</v>
          </cell>
        </row>
        <row r="1131">
          <cell r="A1131" t="str">
            <v>hdr4ko001</v>
          </cell>
          <cell r="D1131" t="str">
            <v>固定资产购入明细(仅合并报表公司)</v>
          </cell>
        </row>
        <row r="1132">
          <cell r="A1132" t="str">
            <v>hdr4ko002</v>
          </cell>
          <cell r="D1132" t="str">
            <v>固定资产清理明细(仅合并报表公司)</v>
          </cell>
        </row>
        <row r="1133">
          <cell r="A1133" t="str">
            <v>hdr4ko003</v>
          </cell>
          <cell r="D1133" t="str">
            <v>固定资产增减明细</v>
          </cell>
        </row>
        <row r="1134">
          <cell r="A1134" t="str">
            <v>hdr4ko004</v>
          </cell>
          <cell r="D1134" t="str">
            <v>顾客名</v>
          </cell>
        </row>
        <row r="1135">
          <cell r="A1135" t="str">
            <v>hdr4ko005</v>
          </cell>
          <cell r="D1135" t="str">
            <v>构成比例</v>
          </cell>
        </row>
        <row r="1136">
          <cell r="A1136" t="str">
            <v>hdr4ko006</v>
          </cell>
          <cell r="D1136" t="str">
            <v>工具机器部门</v>
          </cell>
        </row>
        <row r="1137">
          <cell r="A1137" t="str">
            <v>hdr4ko007</v>
          </cell>
          <cell r="D1137" t="str">
            <v>现行价格</v>
          </cell>
        </row>
        <row r="1138">
          <cell r="A1138" t="str">
            <v>hdr4ko008</v>
          </cell>
          <cell r="D1138" t="str">
            <v>购入</v>
          </cell>
        </row>
        <row r="1139">
          <cell r="A1139" t="str">
            <v>hdr4ko009</v>
          </cell>
          <cell r="D1139" t="str">
            <v>结转入固定资产</v>
          </cell>
        </row>
        <row r="1140">
          <cell r="A1140" t="str">
            <v>hdr4ko010</v>
          </cell>
          <cell r="D1140" t="str">
            <v>构筑物</v>
          </cell>
        </row>
        <row r="1141">
          <cell r="A1141" t="str">
            <v>hdr4ko011</v>
          </cell>
          <cell r="D1141" t="str">
            <v>工器具</v>
          </cell>
        </row>
        <row r="1142">
          <cell r="A1142" t="str">
            <v>hdr4ko012</v>
          </cell>
          <cell r="D1142" t="str">
            <v>购入年月</v>
          </cell>
        </row>
        <row r="1143">
          <cell r="A1143" t="str">
            <v>hdr4ko013</v>
          </cell>
          <cell r="D1143" t="str">
            <v>供应商</v>
          </cell>
        </row>
        <row r="1144">
          <cell r="A1144" t="str">
            <v>hdr4ko014</v>
          </cell>
          <cell r="D1144" t="str">
            <v>购入金额</v>
          </cell>
        </row>
        <row r="1145">
          <cell r="A1145" t="str">
            <v>hdr4ko015</v>
          </cell>
          <cell r="D1145" t="str">
            <v>工器具购入明细(仅合并报表公司)</v>
          </cell>
        </row>
        <row r="1146">
          <cell r="A1146" t="str">
            <v>hdr4ko016</v>
          </cell>
          <cell r="D1146" t="str">
            <v>工漆具报废明细(仅合并报表公司)</v>
          </cell>
        </row>
        <row r="1147">
          <cell r="A1147" t="str">
            <v>hdr4ko017</v>
          </cell>
          <cell r="D1147" t="str">
            <v>项目</v>
          </cell>
        </row>
        <row r="1148">
          <cell r="A1148" t="str">
            <v>hdr4ko018</v>
          </cell>
          <cell r="D1148" t="str">
            <v>购入年月代号</v>
          </cell>
        </row>
        <row r="1149">
          <cell r="A1149" t="str">
            <v>hdr4ko019</v>
          </cell>
          <cell r="D1149" t="str">
            <v>供应商代号</v>
          </cell>
        </row>
        <row r="1150">
          <cell r="A1150" t="str">
            <v>hdr4ko020</v>
          </cell>
          <cell r="D1150" t="str">
            <v>固定</v>
          </cell>
        </row>
        <row r="1151">
          <cell r="A1151" t="str">
            <v>hdr4ko021</v>
          </cell>
          <cell r="D1151" t="str">
            <v>固定资产出售收益内容</v>
          </cell>
        </row>
        <row r="1152">
          <cell r="A1152" t="str">
            <v>hdr4ko022</v>
          </cell>
          <cell r="D1152" t="str">
            <v>固定资产出售损失清理损失内容</v>
          </cell>
        </row>
        <row r="1153">
          <cell r="A1153" t="str">
            <v>hdr4ko023</v>
          </cell>
          <cell r="D1153" t="str">
            <v>后发事项</v>
          </cell>
        </row>
        <row r="1154">
          <cell r="A1154" t="str">
            <v>hdr4ku001</v>
          </cell>
          <cell r="D1154" t="str">
            <v>递延税金资产</v>
          </cell>
        </row>
        <row r="1155">
          <cell r="A1155" t="str">
            <v>hdr4ku002</v>
          </cell>
          <cell r="D1155" t="str">
            <v>递延税金负债</v>
          </cell>
        </row>
        <row r="1156">
          <cell r="A1156" t="str">
            <v>hdr4ku003</v>
          </cell>
          <cell r="D1156" t="str">
            <v>上期结转损失</v>
          </cell>
        </row>
        <row r="1157">
          <cell r="A1157" t="str">
            <v>hdr4ku004</v>
          </cell>
          <cell r="D1157" t="str">
            <v>上期结转减税额(计入税额)</v>
          </cell>
        </row>
        <row r="1158">
          <cell r="A1158" t="str">
            <v>hdr4ku005</v>
          </cell>
          <cell r="D1158" t="str">
            <v>(递延税金资产负债未核算)</v>
          </cell>
        </row>
        <row r="1159">
          <cell r="A1159" t="str">
            <v>hdr4ku006</v>
          </cell>
          <cell r="D1159" t="str">
            <v>区分</v>
          </cell>
        </row>
        <row r="1160">
          <cell r="A1160" t="str">
            <v>hdr4ky001</v>
          </cell>
          <cell r="D1160" t="str">
            <v>客户</v>
          </cell>
        </row>
        <row r="1161">
          <cell r="A1161" t="str">
            <v>hdr4ky002</v>
          </cell>
          <cell r="D1161" t="str">
            <v>供应材料费比例计算表(仅工场)</v>
          </cell>
        </row>
        <row r="1162">
          <cell r="A1162" t="str">
            <v>hdr4ma001</v>
          </cell>
          <cell r="D1162" t="str">
            <v>待摊租赁费</v>
          </cell>
        </row>
        <row r="1163">
          <cell r="A1163" t="str">
            <v>hdr4me001</v>
          </cell>
          <cell r="D1163" t="str">
            <v>明细报告</v>
          </cell>
        </row>
        <row r="1164">
          <cell r="A1164" t="str">
            <v>hdr4me002</v>
          </cell>
          <cell r="D1164" t="str">
            <v>(面积m2)</v>
          </cell>
        </row>
        <row r="1165">
          <cell r="A1165" t="str">
            <v>hdr4mi001</v>
          </cell>
          <cell r="D1165" t="str">
            <v>在途存货</v>
          </cell>
        </row>
        <row r="1166">
          <cell r="A1166" t="str">
            <v>hdr4mi002</v>
          </cell>
          <cell r="D1166" t="str">
            <v>应付企业所得税</v>
          </cell>
        </row>
        <row r="1167">
          <cell r="A1167" t="str">
            <v>hdr4mi003</v>
          </cell>
          <cell r="D1167" t="str">
            <v>应付事业税</v>
          </cell>
        </row>
        <row r="1168">
          <cell r="A1168" t="str">
            <v>hdr4mi004</v>
          </cell>
          <cell r="D1168" t="str">
            <v>应付股利</v>
          </cell>
        </row>
        <row r="1169">
          <cell r="A1169" t="str">
            <v>hdr4mi005</v>
          </cell>
          <cell r="D1169" t="str">
            <v>以现金购入金额的估算</v>
          </cell>
        </row>
        <row r="1170">
          <cell r="A1170" t="str">
            <v>hdr4mi006</v>
          </cell>
          <cell r="D1170" t="str">
            <v>应付设备款</v>
          </cell>
        </row>
        <row r="1171">
          <cell r="A1171" t="str">
            <v>hdr4mi007</v>
          </cell>
          <cell r="D1171" t="str">
            <v>予提利息</v>
          </cell>
        </row>
        <row r="1172">
          <cell r="A1172" t="str">
            <v>hdr4mi008</v>
          </cell>
          <cell r="D1172" t="str">
            <v>未实现外币兑换损失</v>
          </cell>
        </row>
        <row r="1173">
          <cell r="A1173" t="str">
            <v>hdr4mi009</v>
          </cell>
          <cell r="D1173" t="str">
            <v>-</v>
          </cell>
        </row>
        <row r="1174">
          <cell r="A1174" t="str">
            <v>hdr4mi010</v>
          </cell>
          <cell r="D1174" t="str">
            <v>-</v>
          </cell>
        </row>
        <row r="1175">
          <cell r="A1175" t="str">
            <v>hdr4mi011</v>
          </cell>
          <cell r="D1175" t="str">
            <v>未实现外币兑换利润</v>
          </cell>
        </row>
        <row r="1176">
          <cell r="A1176" t="str">
            <v>hdr4mi012</v>
          </cell>
          <cell r="D1176" t="str">
            <v>-</v>
          </cell>
        </row>
        <row r="1177">
          <cell r="A1177" t="str">
            <v>hdr4mi013</v>
          </cell>
          <cell r="D1177" t="str">
            <v>-</v>
          </cell>
        </row>
        <row r="1178">
          <cell r="A1178" t="str">
            <v>hdr4mi014</v>
          </cell>
          <cell r="D1178" t="str">
            <v>见绩实效税率</v>
          </cell>
        </row>
        <row r="1179">
          <cell r="A1179" t="str">
            <v>hdr4mi015</v>
          </cell>
          <cell r="D1179" t="str">
            <v>未过期融资租赁费</v>
          </cell>
        </row>
        <row r="1180">
          <cell r="A1180" t="str">
            <v>hdr4mo001</v>
          </cell>
          <cell r="D1180" t="str">
            <v>目录</v>
          </cell>
        </row>
        <row r="1181">
          <cell r="A1181" t="str">
            <v>hdr4mu001</v>
          </cell>
          <cell r="D1181" t="str">
            <v>无形资产</v>
          </cell>
        </row>
        <row r="1182">
          <cell r="A1182" t="str">
            <v>hdr4na001</v>
          </cell>
          <cell r="D1182" t="str">
            <v>内容</v>
          </cell>
        </row>
        <row r="1183">
          <cell r="A1183" t="str">
            <v>hdr4ne001</v>
          </cell>
          <cell r="D1183" t="str">
            <v>年度</v>
          </cell>
        </row>
        <row r="1184">
          <cell r="A1184" t="str">
            <v>hdr4ne002</v>
          </cell>
          <cell r="D1184" t="str">
            <v>本年合计</v>
          </cell>
        </row>
        <row r="1185">
          <cell r="A1185" t="str">
            <v>hdr4ne003</v>
          </cell>
          <cell r="D1185" t="str">
            <v>年间计画对前期计画</v>
          </cell>
        </row>
        <row r="1186">
          <cell r="A1186" t="str">
            <v>hdr4ne004</v>
          </cell>
          <cell r="D1186" t="str">
            <v>年度决算报告</v>
          </cell>
        </row>
        <row r="1187">
          <cell r="A1187" t="str">
            <v>hdr4ne005</v>
          </cell>
          <cell r="D1187" t="str">
            <v>实际预测</v>
          </cell>
        </row>
        <row r="1188">
          <cell r="A1188" t="str">
            <v>hdr4ni001</v>
          </cell>
          <cell r="D1188" t="str">
            <v>日报记号</v>
          </cell>
        </row>
        <row r="1189">
          <cell r="A1189" t="str">
            <v>hdr4ni002</v>
          </cell>
          <cell r="D1189" t="str">
            <v>日本</v>
          </cell>
        </row>
        <row r="1190">
          <cell r="A1190" t="str">
            <v>hdr4ny001</v>
          </cell>
          <cell r="D1190" t="str">
            <v>输入表</v>
          </cell>
        </row>
        <row r="1191">
          <cell r="A1191" t="str">
            <v>hdr4ny002</v>
          </cell>
          <cell r="D1191" t="str">
            <v>必须输入的项目</v>
          </cell>
        </row>
        <row r="1192">
          <cell r="A1192" t="str">
            <v>hdr4re001</v>
          </cell>
          <cell r="D1192" t="str">
            <v>合并报表</v>
          </cell>
        </row>
        <row r="1193">
          <cell r="A1193" t="str">
            <v>hdr4re002</v>
          </cell>
          <cell r="D1193" t="str">
            <v>合并报表会计科目代号</v>
          </cell>
        </row>
        <row r="1194">
          <cell r="A1194" t="str">
            <v>hdr4re003</v>
          </cell>
          <cell r="D1194" t="str">
            <v>合并报表会计科目名称</v>
          </cell>
        </row>
        <row r="1195">
          <cell r="A1195" t="str">
            <v>hdr4re004</v>
          </cell>
          <cell r="D1195" t="str">
            <v>合并子公司小计</v>
          </cell>
        </row>
        <row r="1196">
          <cell r="A1196" t="str">
            <v>hdr4ri001</v>
          </cell>
          <cell r="D1196" t="str">
            <v>利润分配·资本增减明细</v>
          </cell>
        </row>
        <row r="1197">
          <cell r="A1197" t="str">
            <v>hdr4ri002</v>
          </cell>
          <cell r="D1197" t="str">
            <v>盈余公积</v>
          </cell>
        </row>
        <row r="1198">
          <cell r="A1198" t="str">
            <v>hdr4ri003</v>
          </cell>
          <cell r="D1198" t="str">
            <v>盈余公积-期末</v>
          </cell>
        </row>
        <row r="1199">
          <cell r="A1199" t="str">
            <v>hdr4ri004</v>
          </cell>
          <cell r="D1199" t="str">
            <v>利益计划的要点</v>
          </cell>
        </row>
        <row r="1200">
          <cell r="A1200" t="str">
            <v>hdr4ri005</v>
          </cell>
          <cell r="D1200" t="str">
            <v>利益计划的概况</v>
          </cell>
        </row>
        <row r="1201">
          <cell r="A1201" t="str">
            <v>hdr4ri006</v>
          </cell>
          <cell r="D1201" t="str">
            <v>比率</v>
          </cell>
        </row>
        <row r="1202">
          <cell r="A1202" t="str">
            <v>hdr4ri007</v>
          </cell>
          <cell r="D1202" t="str">
            <v>(理由及设备内容)</v>
          </cell>
        </row>
        <row r="1203">
          <cell r="A1203" t="str">
            <v>hdr4ro001</v>
          </cell>
          <cell r="D1203" t="str">
            <v>劳务费小计</v>
          </cell>
        </row>
        <row r="1204">
          <cell r="A1204" t="str">
            <v>hdr4ro002</v>
          </cell>
          <cell r="D1204" t="str">
            <v>劳务费</v>
          </cell>
        </row>
        <row r="1205">
          <cell r="A1205" t="str">
            <v>hdr4ro003</v>
          </cell>
          <cell r="D1205" t="str">
            <v>劳动时间内訳</v>
          </cell>
        </row>
        <row r="1206">
          <cell r="A1206" t="str">
            <v>hdr4ru001</v>
          </cell>
          <cell r="D1206" t="str">
            <v>累计支付融资租赁费</v>
          </cell>
        </row>
        <row r="1207">
          <cell r="A1207" t="str">
            <v>hdr4ry001</v>
          </cell>
          <cell r="D1207" t="str">
            <v>旅费</v>
          </cell>
        </row>
        <row r="1208">
          <cell r="A1208" t="str">
            <v>hdr4ry002</v>
          </cell>
          <cell r="D1208" t="str">
            <v>流动</v>
          </cell>
        </row>
        <row r="1209">
          <cell r="A1209" t="str">
            <v>hdr4sa001</v>
          </cell>
          <cell r="D1209" t="str">
            <v>差额</v>
          </cell>
        </row>
        <row r="1210">
          <cell r="A1210" t="str">
            <v>hdr4sa002</v>
          </cell>
          <cell r="D1210" t="str">
            <v>债权明细(按债务人分)</v>
          </cell>
        </row>
        <row r="1211">
          <cell r="A1211" t="str">
            <v>hdr4sa003</v>
          </cell>
          <cell r="D1211" t="str">
            <v>债务明细(按债权人分)</v>
          </cell>
        </row>
        <row r="1212">
          <cell r="A1212" t="str">
            <v>hdr4sa004</v>
          </cell>
          <cell r="D1212" t="str">
            <v>再检验/筛选/修补</v>
          </cell>
        </row>
        <row r="1213">
          <cell r="A1213" t="str">
            <v>hdr4sa005</v>
          </cell>
          <cell r="D1213" t="str">
            <v>作业日/内容</v>
          </cell>
        </row>
        <row r="1214">
          <cell r="A1214" t="str">
            <v>hdr4sa006</v>
          </cell>
          <cell r="D1214" t="str">
            <v>再租赁</v>
          </cell>
        </row>
        <row r="1215">
          <cell r="A1215" t="str">
            <v>hdr4sa007</v>
          </cell>
          <cell r="D1215" t="str">
            <v>作成日</v>
          </cell>
        </row>
        <row r="1216">
          <cell r="A1216" t="str">
            <v>hdr4sa008</v>
          </cell>
          <cell r="D1216" t="str">
            <v>债务保证</v>
          </cell>
        </row>
        <row r="1217">
          <cell r="A1217" t="str">
            <v>hdr4sa009</v>
          </cell>
          <cell r="D1217" t="str">
            <v>保证债务残高</v>
          </cell>
        </row>
        <row r="1218">
          <cell r="A1218" t="str">
            <v>hdr4sa010</v>
          </cell>
          <cell r="D1218" t="str">
            <v>债权</v>
          </cell>
        </row>
        <row r="1219">
          <cell r="A1219" t="str">
            <v>hdr4sa011</v>
          </cell>
          <cell r="D1219" t="str">
            <v>－</v>
          </cell>
        </row>
        <row r="1220">
          <cell r="A1220" t="str">
            <v>hdr4sa012</v>
          </cell>
          <cell r="D1220" t="str">
            <v>－</v>
          </cell>
        </row>
        <row r="1221">
          <cell r="A1221" t="str">
            <v>hdr4se001</v>
          </cell>
          <cell r="D1221" t="str">
            <v>正常在库</v>
          </cell>
        </row>
        <row r="1222">
          <cell r="A1222" t="str">
            <v>hdr4se002</v>
          </cell>
          <cell r="D1222" t="str">
            <v>制造费用</v>
          </cell>
        </row>
        <row r="1223">
          <cell r="A1223" t="str">
            <v>hdr4se003</v>
          </cell>
          <cell r="D1223" t="str">
            <v>生产机器</v>
          </cell>
        </row>
        <row r="1224">
          <cell r="A1224" t="str">
            <v>hdr4se004</v>
          </cell>
          <cell r="D1224" t="str">
            <v>制造费用明细</v>
          </cell>
        </row>
        <row r="1225">
          <cell r="A1225" t="str">
            <v>hdr4se005</v>
          </cell>
          <cell r="D1225" t="str">
            <v>制造费用明细(按部门分)</v>
          </cell>
        </row>
        <row r="1226">
          <cell r="A1226" t="str">
            <v>hdr4se006</v>
          </cell>
          <cell r="D1226" t="str">
            <v>制造成本报告</v>
          </cell>
        </row>
        <row r="1227">
          <cell r="A1227" t="str">
            <v>hdr4se007</v>
          </cell>
          <cell r="D1227" t="str">
            <v>制造成本报告(按部门分)</v>
          </cell>
        </row>
        <row r="1228">
          <cell r="A1228" t="str">
            <v>hdr4se008</v>
          </cell>
          <cell r="D1228" t="str">
            <v>产成品</v>
          </cell>
        </row>
        <row r="1229">
          <cell r="A1229" t="str">
            <v>hdr4se009</v>
          </cell>
          <cell r="D1229" t="str">
            <v>产成品·商品(马达)</v>
          </cell>
        </row>
        <row r="1230">
          <cell r="A1230" t="str">
            <v>hdr4se010</v>
          </cell>
          <cell r="D1230" t="str">
            <v>责任区分</v>
          </cell>
        </row>
        <row r="1231">
          <cell r="A1231" t="str">
            <v>hdr4se011</v>
          </cell>
          <cell r="D1231" t="str">
            <v>生产地</v>
          </cell>
        </row>
        <row r="1232">
          <cell r="A1232" t="str">
            <v>hdr4se012</v>
          </cell>
          <cell r="D1232" t="str">
            <v>产成品销售收入</v>
          </cell>
        </row>
        <row r="1233">
          <cell r="A1233" t="str">
            <v>hdr4se013</v>
          </cell>
          <cell r="D1233" t="str">
            <v>产成品销售成本</v>
          </cell>
        </row>
        <row r="1234">
          <cell r="A1234" t="str">
            <v>hdr4se014</v>
          </cell>
          <cell r="D1234" t="str">
            <v>制造费用明细(按交易对方分)</v>
          </cell>
        </row>
        <row r="1235">
          <cell r="A1235" t="str">
            <v>hdr4se015</v>
          </cell>
          <cell r="D1235" t="str">
            <v>责任者印章</v>
          </cell>
        </row>
        <row r="1236">
          <cell r="A1236" t="str">
            <v>hdr4se016</v>
          </cell>
          <cell r="D1236" t="str">
            <v>制造费用合计</v>
          </cell>
        </row>
        <row r="1237">
          <cell r="A1237" t="str">
            <v>hdr4se017</v>
          </cell>
          <cell r="D1237" t="str">
            <v>制造总费用</v>
          </cell>
        </row>
        <row r="1238">
          <cell r="A1238" t="str">
            <v>hdr4se018</v>
          </cell>
          <cell r="D1238" t="str">
            <v>制造间接费</v>
          </cell>
        </row>
        <row r="1239">
          <cell r="A1239" t="str">
            <v>hdr4se019</v>
          </cell>
          <cell r="D1239" t="str">
            <v>制造直接(人)</v>
          </cell>
        </row>
        <row r="1240">
          <cell r="A1240" t="str">
            <v>hdr4se020</v>
          </cell>
          <cell r="D1240" t="str">
            <v>制造间接(人)</v>
          </cell>
        </row>
        <row r="1241">
          <cell r="A1241" t="str">
            <v>hdr4se021</v>
          </cell>
          <cell r="D1241" t="str">
            <v>政府向罚金</v>
          </cell>
        </row>
        <row r="1242">
          <cell r="A1242" t="str">
            <v>hdr4se022</v>
          </cell>
          <cell r="D1242" t="str">
            <v>-</v>
          </cell>
        </row>
        <row r="1243">
          <cell r="A1243" t="str">
            <v>hdr4se023</v>
          </cell>
          <cell r="D1243" t="str">
            <v>设备投资明细</v>
          </cell>
        </row>
        <row r="1244">
          <cell r="A1244" t="str">
            <v>hdr4se024</v>
          </cell>
          <cell r="D1244" t="str">
            <v>设备投资</v>
          </cell>
        </row>
        <row r="1245">
          <cell r="A1245" t="str">
            <v>hdr4se025</v>
          </cell>
          <cell r="D1245" t="str">
            <v>设备销售·报废等</v>
          </cell>
        </row>
        <row r="1246">
          <cell r="A1246" t="str">
            <v>hdr4se026</v>
          </cell>
          <cell r="D1246" t="str">
            <v>设备新增·改良等</v>
          </cell>
        </row>
        <row r="1247">
          <cell r="A1247" t="str">
            <v>hdr4se027</v>
          </cell>
          <cell r="D1247" t="str">
            <v>生产能力的增强及维护</v>
          </cell>
        </row>
        <row r="1248">
          <cell r="A1248" t="str">
            <v>hdr4si001</v>
          </cell>
          <cell r="D1248" t="str">
            <v>在产品</v>
          </cell>
        </row>
        <row r="1249">
          <cell r="A1249" t="str">
            <v>hdr4si002</v>
          </cell>
          <cell r="D1249" t="str">
            <v>供应商</v>
          </cell>
        </row>
        <row r="1250">
          <cell r="A1250" t="str">
            <v>hdr4si003</v>
          </cell>
          <cell r="D1250" t="str">
            <v>季度</v>
          </cell>
        </row>
        <row r="1251">
          <cell r="A1251" t="str">
            <v>hdr4si004</v>
          </cell>
          <cell r="D1251" t="str">
            <v>资产负债增减明细</v>
          </cell>
        </row>
        <row r="1252">
          <cell r="A1252" t="str">
            <v>hdr4si005</v>
          </cell>
          <cell r="D1252" t="str">
            <v>罚款支出</v>
          </cell>
        </row>
        <row r="1253">
          <cell r="A1253" t="str">
            <v>hdr4si006</v>
          </cell>
          <cell r="D1253" t="str">
            <v>罚款支出·旅费明细</v>
          </cell>
        </row>
        <row r="1254">
          <cell r="A1254" t="str">
            <v>hdr4si007</v>
          </cell>
          <cell r="D1254" t="str">
            <v>资本金</v>
          </cell>
        </row>
        <row r="1255">
          <cell r="A1255" t="str">
            <v>hdr4si008</v>
          </cell>
          <cell r="D1255" t="str">
            <v>资本公积</v>
          </cell>
        </row>
        <row r="1256">
          <cell r="A1256" t="str">
            <v>hdr4si009</v>
          </cell>
          <cell r="D1256" t="str">
            <v>付款日程表</v>
          </cell>
        </row>
        <row r="1257">
          <cell r="A1257" t="str">
            <v>hdr4si010</v>
          </cell>
          <cell r="D1257" t="str">
            <v>付款次数</v>
          </cell>
        </row>
        <row r="1258">
          <cell r="A1258" t="str">
            <v>hdr4si011</v>
          </cell>
          <cell r="D1258" t="str">
            <v>付款间隔(月数)</v>
          </cell>
        </row>
        <row r="1259">
          <cell r="A1259" t="str">
            <v>hdr4si012</v>
          </cell>
          <cell r="D1259" t="str">
            <v>付款开始年月</v>
          </cell>
        </row>
        <row r="1260">
          <cell r="A1260" t="str">
            <v>hdr4si013</v>
          </cell>
          <cell r="D1260" t="str">
            <v>付款终了年月</v>
          </cell>
        </row>
        <row r="1261">
          <cell r="A1261" t="str">
            <v>hdr4si014</v>
          </cell>
          <cell r="D1261" t="str">
            <v>和约新设·变更</v>
          </cell>
        </row>
        <row r="1262">
          <cell r="A1262" t="str">
            <v>hdr4si015</v>
          </cell>
          <cell r="D1262" t="str">
            <v>付款人/股利</v>
          </cell>
        </row>
        <row r="1263">
          <cell r="A1263" t="str">
            <v>hdr4si016</v>
          </cell>
          <cell r="D1263" t="str">
            <v>商品采购佣金</v>
          </cell>
        </row>
        <row r="1264">
          <cell r="A1264" t="str">
            <v>hdr4si017</v>
          </cell>
          <cell r="D1264" t="str">
            <v>援助收入</v>
          </cell>
        </row>
        <row r="1265">
          <cell r="A1265" t="str">
            <v>hdr4si018</v>
          </cell>
          <cell r="D1265" t="str">
            <v>在产品-期初</v>
          </cell>
        </row>
        <row r="1266">
          <cell r="A1266" t="str">
            <v>hdr4si019</v>
          </cell>
          <cell r="D1266" t="str">
            <v>设施利用权</v>
          </cell>
        </row>
        <row r="1267">
          <cell r="A1267" t="str">
            <v>hdr4si020</v>
          </cell>
          <cell r="D1267" t="str">
            <v>资本金-期末</v>
          </cell>
        </row>
        <row r="1268">
          <cell r="A1268" t="str">
            <v>hdr4si021</v>
          </cell>
          <cell r="D1268" t="str">
            <v>资本公积-期末</v>
          </cell>
        </row>
        <row r="1269">
          <cell r="A1269" t="str">
            <v>hdr4si022</v>
          </cell>
          <cell r="D1269" t="str">
            <v>设施利用权-累计摊销-期初</v>
          </cell>
        </row>
        <row r="1270">
          <cell r="A1270" t="str">
            <v>hdr4si023</v>
          </cell>
          <cell r="D1270" t="str">
            <v>新合同号</v>
          </cell>
        </row>
        <row r="1271">
          <cell r="A1271" t="str">
            <v>hdr4si024</v>
          </cell>
          <cell r="D1271" t="str">
            <v>支援/加工费明细(DGM&amp;DWM&amp;TWM&amp;TKM)</v>
          </cell>
        </row>
        <row r="1272">
          <cell r="A1272" t="str">
            <v>hdr4si025</v>
          </cell>
          <cell r="D1272" t="str">
            <v>支援/加工费</v>
          </cell>
        </row>
        <row r="1273">
          <cell r="A1273" t="str">
            <v>hdr4si026</v>
          </cell>
          <cell r="D1273" t="str">
            <v>支援费</v>
          </cell>
        </row>
        <row r="1274">
          <cell r="A1274" t="str">
            <v>hdr4si027</v>
          </cell>
          <cell r="D1274" t="str">
            <v>(下半年)</v>
          </cell>
        </row>
        <row r="1275">
          <cell r="A1275" t="str">
            <v>hdr4si028</v>
          </cell>
          <cell r="D1275" t="str">
            <v>作为资产核算</v>
          </cell>
        </row>
        <row r="1276">
          <cell r="A1276" t="str">
            <v>hdr4si029</v>
          </cell>
          <cell r="D1276" t="str">
            <v>新产品的生产</v>
          </cell>
        </row>
        <row r="1277">
          <cell r="A1277" t="str">
            <v>hdr4so001</v>
          </cell>
          <cell r="D1277" t="str">
            <v>利润表(前期对比)</v>
          </cell>
        </row>
        <row r="1278">
          <cell r="A1278" t="str">
            <v>hdr4so002</v>
          </cell>
          <cell r="D1278" t="str">
            <v>利润表(预算对比)</v>
          </cell>
        </row>
        <row r="1279">
          <cell r="A1279" t="str">
            <v>hdr4so003</v>
          </cell>
          <cell r="D1279" t="str">
            <v>其他</v>
          </cell>
        </row>
        <row r="1280">
          <cell r="A1280" t="str">
            <v>hdr4so004</v>
          </cell>
          <cell r="D1280" t="str">
            <v>其他长期负债</v>
          </cell>
        </row>
        <row r="1281">
          <cell r="A1281" t="str">
            <v>hdr4so005</v>
          </cell>
          <cell r="D1281" t="str">
            <v>总合计</v>
          </cell>
        </row>
        <row r="1282">
          <cell r="A1282" t="str">
            <v>hdr4so006</v>
          </cell>
          <cell r="D1282" t="str">
            <v>其他(科目结转)</v>
          </cell>
        </row>
        <row r="1283">
          <cell r="A1283" t="str">
            <v>hdr4so007</v>
          </cell>
          <cell r="D1283" t="str">
            <v>其他无形资产</v>
          </cell>
        </row>
        <row r="1284">
          <cell r="A1284" t="str">
            <v>hdr4so008</v>
          </cell>
          <cell r="D1284" t="str">
            <v>其他长期负债-期末</v>
          </cell>
        </row>
        <row r="1285">
          <cell r="A1285" t="str">
            <v>hdr4so009</v>
          </cell>
          <cell r="D1285" t="str">
            <v>其他项目</v>
          </cell>
        </row>
        <row r="1286">
          <cell r="A1286" t="str">
            <v>hdr4so010</v>
          </cell>
          <cell r="D1286" t="str">
            <v>其他投资</v>
          </cell>
        </row>
        <row r="1287">
          <cell r="A1287" t="str">
            <v>hdr4so011</v>
          </cell>
          <cell r="D1287" t="str">
            <v>其他投资 - 期末</v>
          </cell>
        </row>
        <row r="1288">
          <cell r="A1288" t="str">
            <v>hdr4so012</v>
          </cell>
          <cell r="D1288" t="str">
            <v>其他注意事项</v>
          </cell>
        </row>
        <row r="1289">
          <cell r="A1289" t="str">
            <v>hdr4so013</v>
          </cell>
          <cell r="D1289" t="str">
            <v>损益计算书关系事项</v>
          </cell>
        </row>
        <row r="1290">
          <cell r="A1290" t="str">
            <v>hdr4sy001</v>
          </cell>
          <cell r="D1290" t="str">
            <v>主要增减分析</v>
          </cell>
        </row>
        <row r="1291">
          <cell r="A1291" t="str">
            <v>hdr4sy002</v>
          </cell>
          <cell r="D1291" t="str">
            <v>收集的时间性</v>
          </cell>
        </row>
        <row r="1292">
          <cell r="A1292" t="str">
            <v>hdr4sy003</v>
          </cell>
          <cell r="D1292" t="str">
            <v>商品</v>
          </cell>
        </row>
        <row r="1293">
          <cell r="A1293" t="str">
            <v>hdr4sy004</v>
          </cell>
          <cell r="D1293" t="str">
            <v>商品马达销售收入·销售成本(按生产地分)</v>
          </cell>
        </row>
        <row r="1294">
          <cell r="A1294" t="str">
            <v>hdr4sy005</v>
          </cell>
          <cell r="D1294" t="str">
            <v>商品销售收入</v>
          </cell>
        </row>
        <row r="1295">
          <cell r="A1295" t="str">
            <v>hdr4sy006</v>
          </cell>
          <cell r="D1295" t="str">
            <v>商品销售成本</v>
          </cell>
        </row>
        <row r="1296">
          <cell r="A1296" t="str">
            <v>hdr4sy007</v>
          </cell>
          <cell r="D1296" t="str">
            <v>取得成本</v>
          </cell>
        </row>
        <row r="1297">
          <cell r="A1297" t="str">
            <v>hdr4sy008</v>
          </cell>
          <cell r="D1297" t="str">
            <v>取得</v>
          </cell>
        </row>
        <row r="1298">
          <cell r="A1298" t="str">
            <v>hdr4sy009</v>
          </cell>
          <cell r="D1298" t="str">
            <v>出资金</v>
          </cell>
        </row>
        <row r="1299">
          <cell r="A1299" t="str">
            <v>hdr4sy010</v>
          </cell>
          <cell r="D1299" t="str">
            <v>低值品</v>
          </cell>
        </row>
        <row r="1300">
          <cell r="A1300" t="str">
            <v>hdr4sy011</v>
          </cell>
          <cell r="D1300" t="str">
            <v>所有权转移条款</v>
          </cell>
        </row>
        <row r="1301">
          <cell r="A1301" t="str">
            <v>hdr4sy012</v>
          </cell>
          <cell r="D1301" t="str">
            <v>详细</v>
          </cell>
        </row>
        <row r="1302">
          <cell r="A1302" t="str">
            <v>hdr4sy013</v>
          </cell>
          <cell r="D1302" t="str">
            <v>运输设备</v>
          </cell>
        </row>
        <row r="1303">
          <cell r="A1303" t="str">
            <v>hdr4sy014</v>
          </cell>
          <cell r="D1303" t="str">
            <v>出资金-期末</v>
          </cell>
        </row>
        <row r="1304">
          <cell r="A1304" t="str">
            <v>hdr4sy015</v>
          </cell>
          <cell r="D1304" t="str">
            <v>奖金准备超过额</v>
          </cell>
        </row>
        <row r="1305">
          <cell r="A1305" t="str">
            <v>hdr4sy016</v>
          </cell>
          <cell r="D1305" t="str">
            <v>奖金准备超过但为税法所认可额</v>
          </cell>
        </row>
        <row r="1306">
          <cell r="A1306" t="str">
            <v>hdr4sy017</v>
          </cell>
          <cell r="D1306" t="str">
            <v>主要经营指标</v>
          </cell>
        </row>
        <row r="1307">
          <cell r="A1307" t="str">
            <v>hdr4sy018</v>
          </cell>
          <cell r="D1307" t="str">
            <v>主要设备取得内容</v>
          </cell>
        </row>
        <row r="1308">
          <cell r="A1308" t="str">
            <v>hdr4sy019</v>
          </cell>
          <cell r="D1308" t="str">
            <v>主要设备销售·报废内容</v>
          </cell>
        </row>
        <row r="1309">
          <cell r="A1309" t="str">
            <v>hdr4ta001</v>
          </cell>
          <cell r="D1309" t="str">
            <v>他工场责任</v>
          </cell>
        </row>
        <row r="1310">
          <cell r="A1310" t="str">
            <v>hdr4ta002</v>
          </cell>
          <cell r="D1310" t="str">
            <v>积压月数</v>
          </cell>
        </row>
        <row r="1311">
          <cell r="A1311" t="str">
            <v>hdr4ta003</v>
          </cell>
          <cell r="D1311" t="str">
            <v>积压存货表</v>
          </cell>
        </row>
        <row r="1312">
          <cell r="A1312" t="str">
            <v>hdr4ta004</v>
          </cell>
          <cell r="D1312" t="str">
            <v>积压理由及销售可能性</v>
          </cell>
        </row>
        <row r="1313">
          <cell r="A1313" t="str">
            <v>hdr4ta005</v>
          </cell>
          <cell r="D1313" t="str">
            <v>资产负债表(资产)</v>
          </cell>
        </row>
        <row r="1314">
          <cell r="A1314" t="str">
            <v>hdr4ta006</v>
          </cell>
          <cell r="D1314" t="str">
            <v>资产负债表(负债·权益)</v>
          </cell>
        </row>
        <row r="1315">
          <cell r="A1315" t="str">
            <v>hdr4ta007</v>
          </cell>
          <cell r="D1315" t="str">
            <v>存货明细(按品名分)</v>
          </cell>
        </row>
        <row r="1316">
          <cell r="A1316" t="str">
            <v>hdr4ta008</v>
          </cell>
          <cell r="D1316" t="str">
            <v>存货积压明细</v>
          </cell>
        </row>
        <row r="1317">
          <cell r="A1317" t="str">
            <v>hdr4ta009</v>
          </cell>
          <cell r="D1317" t="str">
            <v>存货积压明细</v>
          </cell>
        </row>
        <row r="1318">
          <cell r="A1318" t="str">
            <v>hdr4ta010</v>
          </cell>
          <cell r="D1318" t="str">
            <v>存货报废损</v>
          </cell>
        </row>
        <row r="1319">
          <cell r="A1319" t="str">
            <v>hdr4ta011</v>
          </cell>
          <cell r="D1319" t="str">
            <v>存货报废损明细</v>
          </cell>
        </row>
        <row r="1320">
          <cell r="A1320" t="str">
            <v>hdr4ta012</v>
          </cell>
          <cell r="D1320" t="str">
            <v>存货评价损</v>
          </cell>
        </row>
        <row r="1321">
          <cell r="A1321" t="str">
            <v>hdr4ta013</v>
          </cell>
          <cell r="D1321" t="str">
            <v>存货评价损明细</v>
          </cell>
        </row>
        <row r="1322">
          <cell r="A1322" t="str">
            <v>hdr4ta014</v>
          </cell>
          <cell r="D1322" t="str">
            <v>积压在库</v>
          </cell>
        </row>
        <row r="1323">
          <cell r="A1323" t="str">
            <v>hdr4ta015</v>
          </cell>
          <cell r="D1323" t="str">
            <v>短期</v>
          </cell>
        </row>
        <row r="1324">
          <cell r="A1324" t="str">
            <v>hdr4ta016</v>
          </cell>
          <cell r="D1324" t="str">
            <v>短期贷款</v>
          </cell>
        </row>
        <row r="1325">
          <cell r="A1325" t="str">
            <v>hdr4ta017</v>
          </cell>
          <cell r="D1325" t="str">
            <v>短期借款</v>
          </cell>
        </row>
        <row r="1326">
          <cell r="A1326" t="str">
            <v>hdr4ta018</v>
          </cell>
          <cell r="D1326" t="str">
            <v>退职金准备</v>
          </cell>
        </row>
        <row r="1327">
          <cell r="A1327" t="str">
            <v>hdr4ta019</v>
          </cell>
          <cell r="D1327" t="str">
            <v>存货</v>
          </cell>
        </row>
        <row r="1328">
          <cell r="A1328" t="str">
            <v>hdr4ta020</v>
          </cell>
          <cell r="D1328" t="str">
            <v>房屋建筑物</v>
          </cell>
        </row>
        <row r="1329">
          <cell r="A1329" t="str">
            <v>hdr4ta021</v>
          </cell>
          <cell r="D1329" t="str">
            <v>短期贷款-期末</v>
          </cell>
        </row>
        <row r="1330">
          <cell r="A1330" t="str">
            <v>hdr4ta022</v>
          </cell>
          <cell r="D1330" t="str">
            <v>短期借款-期末</v>
          </cell>
        </row>
        <row r="1331">
          <cell r="A1331" t="str">
            <v>hdr4ta023</v>
          </cell>
          <cell r="D1331" t="str">
            <v>退职金准备-期末</v>
          </cell>
        </row>
        <row r="1332">
          <cell r="A1332" t="str">
            <v>hdr4ta024</v>
          </cell>
          <cell r="D1332" t="str">
            <v>存货评价损为税法所认可的金额</v>
          </cell>
        </row>
        <row r="1333">
          <cell r="A1333" t="str">
            <v>hdr4ta025</v>
          </cell>
          <cell r="D1333" t="str">
            <v>退职金准备超过额</v>
          </cell>
        </row>
        <row r="1334">
          <cell r="A1334" t="str">
            <v>hdr4ta026</v>
          </cell>
          <cell r="D1334" t="str">
            <v>退职金准备超过但为税法所认可的金额</v>
          </cell>
        </row>
        <row r="1335">
          <cell r="A1335" t="str">
            <v>hdr4ta027</v>
          </cell>
          <cell r="D1335" t="str">
            <v>房屋建筑物-取得成本-期初</v>
          </cell>
        </row>
        <row r="1336">
          <cell r="A1336" t="str">
            <v>hdr4ta028</v>
          </cell>
          <cell r="D1336" t="str">
            <v>房屋建筑物-累计折旧-期初</v>
          </cell>
        </row>
        <row r="1337">
          <cell r="A1337" t="str">
            <v>hdr4ta029</v>
          </cell>
          <cell r="D1337" t="str">
            <v>短期贷款 - 集团内 - 期初</v>
          </cell>
        </row>
        <row r="1338">
          <cell r="A1338" t="str">
            <v>hdr4ta030</v>
          </cell>
          <cell r="D1338" t="str">
            <v>短期贷款 - 一般 - 期初</v>
          </cell>
        </row>
        <row r="1339">
          <cell r="A1339" t="str">
            <v>hdr4ta031</v>
          </cell>
          <cell r="D1339" t="str">
            <v>短期借款 - 集团内 - 期初</v>
          </cell>
        </row>
        <row r="1340">
          <cell r="A1340" t="str">
            <v>hdr4ta032</v>
          </cell>
          <cell r="D1340" t="str">
            <v>短期借款 - 一般 - 期初</v>
          </cell>
        </row>
        <row r="1341">
          <cell r="A1341" t="str">
            <v>hdr4ta033</v>
          </cell>
          <cell r="D1341" t="str">
            <v>使用年限</v>
          </cell>
        </row>
        <row r="1342">
          <cell r="A1342" t="str">
            <v>hdr4ta034</v>
          </cell>
          <cell r="D1342" t="str">
            <v>存货报废损失</v>
          </cell>
        </row>
        <row r="1343">
          <cell r="A1343" t="str">
            <v>hdr4ta035</v>
          </cell>
          <cell r="D1343" t="str">
            <v>存货评价损</v>
          </cell>
        </row>
        <row r="1344">
          <cell r="A1344" t="str">
            <v>hdr4ta036</v>
          </cell>
          <cell r="D1344" t="str">
            <v>短期贷款 - 集团内</v>
          </cell>
        </row>
        <row r="1345">
          <cell r="A1345" t="str">
            <v>hdr4ta037</v>
          </cell>
          <cell r="D1345" t="str">
            <v>短期贷款 - 一般</v>
          </cell>
        </row>
        <row r="1346">
          <cell r="A1346" t="str">
            <v>hdr4ta038</v>
          </cell>
          <cell r="D1346" t="str">
            <v>短期借款 - 集团内</v>
          </cell>
        </row>
        <row r="1347">
          <cell r="A1347" t="str">
            <v>hdr4ta039</v>
          </cell>
          <cell r="D1347" t="str">
            <v>短期借款 - 一般</v>
          </cell>
        </row>
        <row r="1348">
          <cell r="A1348" t="str">
            <v>hdr4ta040</v>
          </cell>
          <cell r="D1348" t="str">
            <v>-</v>
          </cell>
        </row>
        <row r="1349">
          <cell r="A1349" t="str">
            <v>hdr4ta041</v>
          </cell>
          <cell r="D1349" t="str">
            <v>-</v>
          </cell>
        </row>
        <row r="1350">
          <cell r="A1350" t="str">
            <v>hdr4ta042</v>
          </cell>
          <cell r="D1350" t="str">
            <v>借贷对照表关联事项</v>
          </cell>
        </row>
        <row r="1351">
          <cell r="A1351" t="str">
            <v>hdr4ta043</v>
          </cell>
          <cell r="D1351" t="str">
            <v>保证债务残高</v>
          </cell>
        </row>
        <row r="1352">
          <cell r="A1352" t="str">
            <v>hdr4ta044</v>
          </cell>
          <cell r="D1352" t="str">
            <v>有担保债务的余额</v>
          </cell>
        </row>
        <row r="1353">
          <cell r="A1353" t="str">
            <v>hdr4te001</v>
          </cell>
          <cell r="D1353" t="str">
            <v>可转换公司债</v>
          </cell>
        </row>
        <row r="1354">
          <cell r="A1354" t="str">
            <v>hdr4te002</v>
          </cell>
          <cell r="D1354" t="str">
            <v>摘要</v>
          </cell>
        </row>
        <row r="1355">
          <cell r="A1355" t="str">
            <v>hdr4te003</v>
          </cell>
          <cell r="D1355" t="str">
            <v>转让租赁</v>
          </cell>
        </row>
        <row r="1356">
          <cell r="A1356" t="str">
            <v>hdr4te004</v>
          </cell>
          <cell r="D1356" t="str">
            <v>可转换公司债-期末</v>
          </cell>
        </row>
        <row r="1357">
          <cell r="A1357" t="str">
            <v>hdr4te005</v>
          </cell>
          <cell r="D1357" t="str">
            <v>余额递减法（D）/直线法（S）</v>
          </cell>
        </row>
        <row r="1358">
          <cell r="A1358" t="str">
            <v>hdr4te006</v>
          </cell>
          <cell r="D1358" t="str">
            <v>手形割引高</v>
          </cell>
        </row>
        <row r="1359">
          <cell r="A1359" t="str">
            <v>hdr4ti001</v>
          </cell>
          <cell r="D1359" t="str">
            <v>逾期日数</v>
          </cell>
        </row>
        <row r="1360">
          <cell r="A1360" t="str">
            <v>hdr4ti002</v>
          </cell>
          <cell r="D1360" t="str">
            <v>逾期客户名单</v>
          </cell>
        </row>
        <row r="1361">
          <cell r="A1361" t="str">
            <v>hdr4ti003</v>
          </cell>
          <cell r="D1361" t="str">
            <v>逾期理由及回收可能性</v>
          </cell>
        </row>
        <row r="1362">
          <cell r="A1362" t="str">
            <v>hdr4ti004</v>
          </cell>
          <cell r="D1362" t="str">
            <v>逾期应收帐款</v>
          </cell>
        </row>
        <row r="1363">
          <cell r="A1363" t="str">
            <v>hdr4ti005</v>
          </cell>
          <cell r="D1363" t="str">
            <v>工资上涨实施月</v>
          </cell>
        </row>
        <row r="1364">
          <cell r="A1364" t="str">
            <v>hdr4ti006</v>
          </cell>
          <cell r="D1364" t="str">
            <v>-</v>
          </cell>
        </row>
        <row r="1365">
          <cell r="A1365" t="str">
            <v>hdr4to001</v>
          </cell>
          <cell r="D1365" t="str">
            <v>本期</v>
          </cell>
        </row>
        <row r="1366">
          <cell r="A1366" t="str">
            <v>hdr4to002</v>
          </cell>
          <cell r="D1366" t="str">
            <v>本月主要事项</v>
          </cell>
        </row>
        <row r="1367">
          <cell r="A1367" t="str">
            <v>hdr4to003</v>
          </cell>
          <cell r="D1367" t="str">
            <v>本月结转</v>
          </cell>
        </row>
        <row r="1368">
          <cell r="A1368" t="str">
            <v>hdr4to004</v>
          </cell>
          <cell r="D1368" t="str">
            <v>本月发生</v>
          </cell>
        </row>
        <row r="1369">
          <cell r="A1369" t="str">
            <v>hdr4to005</v>
          </cell>
          <cell r="D1369" t="str">
            <v>本月月末</v>
          </cell>
        </row>
        <row r="1370">
          <cell r="A1370" t="str">
            <v>hdr4to006</v>
          </cell>
          <cell r="D1370" t="str">
            <v>交易货币明细</v>
          </cell>
        </row>
        <row r="1371">
          <cell r="A1371" t="str">
            <v>hdr4to007</v>
          </cell>
          <cell r="D1371" t="str">
            <v>交易货币</v>
          </cell>
        </row>
        <row r="1372">
          <cell r="A1372" t="str">
            <v>hdr4to008</v>
          </cell>
          <cell r="D1372" t="str">
            <v>交易货币代号</v>
          </cell>
        </row>
        <row r="1373">
          <cell r="A1373" t="str">
            <v>hdr4to009</v>
          </cell>
          <cell r="D1373" t="str">
            <v>投资有价证券</v>
          </cell>
        </row>
        <row r="1374">
          <cell r="A1374" t="str">
            <v>hdr4to010</v>
          </cell>
          <cell r="D1374" t="str">
            <v>特制型号</v>
          </cell>
        </row>
        <row r="1375">
          <cell r="A1375" t="str">
            <v>hdr4to011</v>
          </cell>
          <cell r="D1375" t="str">
            <v>东南亚</v>
          </cell>
        </row>
        <row r="1376">
          <cell r="A1376" t="str">
            <v>hdr4to012</v>
          </cell>
          <cell r="D1376" t="str">
            <v>当期产成品制造成本</v>
          </cell>
        </row>
        <row r="1377">
          <cell r="A1377" t="str">
            <v>hdr4to013</v>
          </cell>
          <cell r="D1377" t="str">
            <v>当期制造成本中MMK供给材料费</v>
          </cell>
        </row>
        <row r="1378">
          <cell r="A1378" t="str">
            <v>hdr4to014</v>
          </cell>
          <cell r="D1378" t="str">
            <v>本期发生</v>
          </cell>
        </row>
        <row r="1379">
          <cell r="A1379" t="str">
            <v>hdr4to015</v>
          </cell>
          <cell r="D1379" t="str">
            <v>本期折旧</v>
          </cell>
        </row>
        <row r="1380">
          <cell r="A1380" t="str">
            <v>hdr4to016</v>
          </cell>
          <cell r="D1380" t="str">
            <v>土地</v>
          </cell>
        </row>
        <row r="1381">
          <cell r="A1381" t="str">
            <v>hdr4to017</v>
          </cell>
          <cell r="D1381" t="str">
            <v>土地使用权</v>
          </cell>
        </row>
        <row r="1382">
          <cell r="A1382" t="str">
            <v>hdr4to018</v>
          </cell>
          <cell r="D1382" t="str">
            <v>投资有价证券-期末</v>
          </cell>
        </row>
        <row r="1383">
          <cell r="A1383" t="str">
            <v>hdr4to019</v>
          </cell>
          <cell r="D1383" t="str">
            <v>当期制造成本中TKM供给材料费</v>
          </cell>
        </row>
        <row r="1384">
          <cell r="A1384" t="str">
            <v>hdr4to020</v>
          </cell>
          <cell r="D1384" t="str">
            <v>当期制造成本中HKSEIKO供给材料费</v>
          </cell>
        </row>
        <row r="1385">
          <cell r="A1385" t="str">
            <v>hdr4to021</v>
          </cell>
          <cell r="D1385" t="str">
            <v>-</v>
          </cell>
        </row>
        <row r="1386">
          <cell r="A1386" t="str">
            <v>hdr4to022</v>
          </cell>
          <cell r="D1386" t="str">
            <v>当期支付融资租赁费</v>
          </cell>
        </row>
        <row r="1387">
          <cell r="A1387" t="str">
            <v>hdr4to023</v>
          </cell>
          <cell r="D1387" t="str">
            <v>当期制造成本中DGM供给材料费</v>
          </cell>
        </row>
        <row r="1388">
          <cell r="A1388" t="str">
            <v>hdr4to024</v>
          </cell>
          <cell r="D1388" t="str">
            <v>当期制造成本中LDM供给材料费</v>
          </cell>
        </row>
        <row r="1389">
          <cell r="A1389" t="str">
            <v>hdr4ty001</v>
          </cell>
          <cell r="D1389" t="str">
            <v>低值易耗品</v>
          </cell>
        </row>
        <row r="1390">
          <cell r="A1390" t="str">
            <v>hdr4ty002</v>
          </cell>
          <cell r="D1390" t="str">
            <v>调整金额</v>
          </cell>
        </row>
        <row r="1391">
          <cell r="A1391" t="str">
            <v>hdr4ty003</v>
          </cell>
          <cell r="D1391" t="str">
            <v>长期</v>
          </cell>
        </row>
        <row r="1392">
          <cell r="A1392" t="str">
            <v>hdr4ty004</v>
          </cell>
          <cell r="D1392" t="str">
            <v>长期贷款</v>
          </cell>
        </row>
        <row r="1393">
          <cell r="A1393" t="str">
            <v>hdr4ty005</v>
          </cell>
          <cell r="D1393" t="str">
            <v>长期借款</v>
          </cell>
        </row>
        <row r="1394">
          <cell r="A1394" t="str">
            <v>hdr4ty006</v>
          </cell>
          <cell r="D1394" t="str">
            <v>中途解约(Y:可 N:不可)</v>
          </cell>
        </row>
        <row r="1395">
          <cell r="A1395" t="str">
            <v>hdr4ty007</v>
          </cell>
          <cell r="D1395" t="str">
            <v>长期贷款-期末</v>
          </cell>
        </row>
        <row r="1396">
          <cell r="A1396" t="str">
            <v>hdr4ty008</v>
          </cell>
          <cell r="D1396" t="str">
            <v>长期借款-期末</v>
          </cell>
        </row>
        <row r="1397">
          <cell r="A1397" t="str">
            <v>hdr4ty009</v>
          </cell>
          <cell r="D1397" t="str">
            <v>长期贷款 - 集团内 - 期初</v>
          </cell>
        </row>
        <row r="1398">
          <cell r="A1398" t="str">
            <v>hdr4ty010</v>
          </cell>
          <cell r="D1398" t="str">
            <v>长期贷款-一般 - 期初</v>
          </cell>
        </row>
        <row r="1399">
          <cell r="A1399" t="str">
            <v>hdr4ty011</v>
          </cell>
          <cell r="D1399" t="str">
            <v>长期借款 - 集团内 - 期初</v>
          </cell>
        </row>
        <row r="1400">
          <cell r="A1400" t="str">
            <v>hdr4ty012</v>
          </cell>
          <cell r="D1400" t="str">
            <v>长期借款 - 一般 - 期初</v>
          </cell>
        </row>
        <row r="1401">
          <cell r="A1401" t="str">
            <v>hdr4ty013</v>
          </cell>
          <cell r="D1401" t="str">
            <v>定期存款</v>
          </cell>
        </row>
        <row r="1402">
          <cell r="A1402" t="str">
            <v>hdr4ty014</v>
          </cell>
          <cell r="D1402" t="str">
            <v>定期存款 - 期末</v>
          </cell>
        </row>
        <row r="1403">
          <cell r="A1403" t="str">
            <v>hdr4ty015</v>
          </cell>
          <cell r="D1403" t="str">
            <v>长期待摊费用</v>
          </cell>
        </row>
        <row r="1404">
          <cell r="A1404" t="str">
            <v>hdr4ty016</v>
          </cell>
          <cell r="D1404" t="str">
            <v>长期待摊费用- 期末</v>
          </cell>
        </row>
        <row r="1405">
          <cell r="A1405" t="str">
            <v>hdr4ty017</v>
          </cell>
          <cell r="D1405" t="str">
            <v>长期贷款 - 集团内</v>
          </cell>
        </row>
        <row r="1406">
          <cell r="A1406" t="str">
            <v>hdr4ty018</v>
          </cell>
          <cell r="D1406" t="str">
            <v>长期贷款-一般</v>
          </cell>
        </row>
        <row r="1407">
          <cell r="A1407" t="str">
            <v>hdr4ty019</v>
          </cell>
          <cell r="D1407" t="str">
            <v>长期借款 - 集团内</v>
          </cell>
        </row>
        <row r="1408">
          <cell r="A1408" t="str">
            <v>hdr4ty020</v>
          </cell>
          <cell r="D1408" t="str">
            <v>长期借款 - 一般</v>
          </cell>
        </row>
        <row r="1409">
          <cell r="A1409" t="str">
            <v>hdr4ty021</v>
          </cell>
          <cell r="D1409" t="str">
            <v>直接劳务费</v>
          </cell>
        </row>
        <row r="1410">
          <cell r="A1410" t="str">
            <v>hdr4ty022</v>
          </cell>
          <cell r="D1410" t="str">
            <v>(调整项目)</v>
          </cell>
        </row>
        <row r="1411">
          <cell r="A1411" t="str">
            <v>hdr4ty023</v>
          </cell>
          <cell r="D1411" t="str">
            <v>（中间决算）</v>
          </cell>
        </row>
        <row r="1412">
          <cell r="A1412" t="str">
            <v>hdr4ty024</v>
          </cell>
          <cell r="D1412" t="str">
            <v>(中间税金费用)</v>
          </cell>
        </row>
        <row r="1413">
          <cell r="A1413" t="str">
            <v>hdr4ty025</v>
          </cell>
          <cell r="D1413" t="str">
            <v>中间税金费用</v>
          </cell>
        </row>
        <row r="1414">
          <cell r="A1414" t="str">
            <v>hdr4ty026</v>
          </cell>
          <cell r="D1414" t="str">
            <v>中间</v>
          </cell>
        </row>
        <row r="1415">
          <cell r="A1415" t="str">
            <v>hdr4ty027</v>
          </cell>
          <cell r="D1415" t="str">
            <v>注记明细</v>
          </cell>
        </row>
        <row r="1416">
          <cell r="A1416" t="str">
            <v>hdr4ty028</v>
          </cell>
          <cell r="D1416" t="str">
            <v>帐面净值</v>
          </cell>
        </row>
        <row r="1417">
          <cell r="A1417" t="str">
            <v>hdr4uu001</v>
          </cell>
          <cell r="D1417" t="str">
            <v>股利收入明细(仅MMK/HKM/TWM/TKM/DLM)</v>
          </cell>
        </row>
        <row r="1418">
          <cell r="A1418" t="str">
            <v>hdr4uu002</v>
          </cell>
          <cell r="D1418" t="str">
            <v>应收款项余额</v>
          </cell>
        </row>
        <row r="1419">
          <cell r="A1419" t="str">
            <v>hdr4uu003</v>
          </cell>
          <cell r="D1419" t="str">
            <v>逾期应收款项明细</v>
          </cell>
        </row>
        <row r="1420">
          <cell r="A1420" t="str">
            <v>hdr4uu004</v>
          </cell>
          <cell r="D1420" t="str">
            <v>销售成本计算表(分科目·分部门)</v>
          </cell>
        </row>
        <row r="1421">
          <cell r="A1421" t="str">
            <v>hdr4uu005</v>
          </cell>
          <cell r="D1421" t="str">
            <v>销售成本明细</v>
          </cell>
        </row>
        <row r="1422">
          <cell r="A1422" t="str">
            <v>hdr4uu006</v>
          </cell>
          <cell r="D1422" t="str">
            <v>销售成本明细(分科目·分部门)</v>
          </cell>
        </row>
        <row r="1423">
          <cell r="A1423" t="str">
            <v>hdr4uu007</v>
          </cell>
          <cell r="D1423" t="str">
            <v>销售收入明细</v>
          </cell>
        </row>
        <row r="1424">
          <cell r="A1424" t="str">
            <v>hdr4uu008</v>
          </cell>
          <cell r="D1424" t="str">
            <v>销售收入明细(分科目·分部门)</v>
          </cell>
        </row>
        <row r="1425">
          <cell r="A1425" t="str">
            <v>hdr4uu009</v>
          </cell>
          <cell r="D1425" t="str">
            <v>客户/销售收入</v>
          </cell>
        </row>
        <row r="1426">
          <cell r="A1426" t="str">
            <v>hdr4uu010</v>
          </cell>
          <cell r="D1426" t="str">
            <v>客户/销售成本</v>
          </cell>
        </row>
        <row r="1427">
          <cell r="A1427" t="str">
            <v>hdr4uu011</v>
          </cell>
          <cell r="D1427" t="str">
            <v>佣金收入</v>
          </cell>
        </row>
        <row r="1428">
          <cell r="A1428" t="str">
            <v>hdr4uu012</v>
          </cell>
          <cell r="D1428" t="str">
            <v>技术援助收入</v>
          </cell>
        </row>
        <row r="1429">
          <cell r="A1429" t="str">
            <v>hdr4uu013</v>
          </cell>
          <cell r="D1429" t="str">
            <v>销售成本</v>
          </cell>
        </row>
        <row r="1430">
          <cell r="A1430" t="str">
            <v>hdr4uu014</v>
          </cell>
          <cell r="D1430" t="str">
            <v>销售收入</v>
          </cell>
        </row>
        <row r="1431">
          <cell r="A1431" t="str">
            <v>hdr4uu015</v>
          </cell>
          <cell r="D1431" t="str">
            <v>-</v>
          </cell>
        </row>
        <row r="1432">
          <cell r="A1432" t="str">
            <v>hdr4wa001</v>
          </cell>
          <cell r="D1432" t="str">
            <v>以折扣价购入的选择权</v>
          </cell>
        </row>
        <row r="1433">
          <cell r="A1433" t="str">
            <v>hdr4ya001</v>
          </cell>
          <cell r="D1433" t="str">
            <v>董事退职金提取额</v>
          </cell>
        </row>
        <row r="1434">
          <cell r="A1434" t="str">
            <v>hdr4ya002</v>
          </cell>
          <cell r="D1434" t="str">
            <v>董事退职金使用额</v>
          </cell>
        </row>
        <row r="1435">
          <cell r="A1435" t="str">
            <v>hdr4ya003</v>
          </cell>
          <cell r="D1435" t="str">
            <v>董事退职年金储备金</v>
          </cell>
        </row>
        <row r="1436">
          <cell r="A1436" t="str">
            <v>hdr4ya004</v>
          </cell>
          <cell r="D1436" t="str">
            <v>董事退职年金储备金 - 期末</v>
          </cell>
        </row>
        <row r="1437">
          <cell r="A1437" t="str">
            <v>hdr4ya005</v>
          </cell>
          <cell r="D1437" t="str">
            <v>董事保险金储备金</v>
          </cell>
        </row>
        <row r="1438">
          <cell r="A1438" t="str">
            <v>hdr4ya006</v>
          </cell>
          <cell r="D1438" t="str">
            <v>董事保险金储备金 - 期末</v>
          </cell>
        </row>
        <row r="1439">
          <cell r="A1439" t="str">
            <v>hdr4yo001</v>
          </cell>
          <cell r="D1439" t="str">
            <v>预算</v>
          </cell>
        </row>
        <row r="1440">
          <cell r="A1440" t="str">
            <v>hdr4yo002</v>
          </cell>
          <cell r="D1440" t="str">
            <v>与预算比较</v>
          </cell>
        </row>
        <row r="1441">
          <cell r="A1441" t="str">
            <v>hdr4yo003</v>
          </cell>
          <cell r="D1441" t="str">
            <v>银行存款 - 现金等价物 - 期初</v>
          </cell>
        </row>
        <row r="1442">
          <cell r="A1442" t="str">
            <v>hdr4yo004</v>
          </cell>
          <cell r="D1442" t="str">
            <v>银行存款 - 其他 - 期初</v>
          </cell>
        </row>
        <row r="1443">
          <cell r="A1443" t="str">
            <v>hdr4yo005</v>
          </cell>
          <cell r="D1443" t="str">
            <v>银行存款</v>
          </cell>
        </row>
        <row r="1444">
          <cell r="A1444" t="str">
            <v>hdr4yo006</v>
          </cell>
          <cell r="D1444" t="str">
            <v>银行存款 - 现金等价物</v>
          </cell>
        </row>
        <row r="1445">
          <cell r="A1445" t="str">
            <v>hdr4yo007</v>
          </cell>
          <cell r="D1445" t="str">
            <v>银行存款 - 其他</v>
          </cell>
        </row>
        <row r="1446">
          <cell r="A1446" t="str">
            <v>hdr4yo008</v>
          </cell>
          <cell r="D1446" t="str">
            <v>银行存款 - 期末</v>
          </cell>
        </row>
        <row r="1447">
          <cell r="A1447" t="str">
            <v>hdr4yo009</v>
          </cell>
          <cell r="D1447" t="str">
            <v>明期</v>
          </cell>
        </row>
        <row r="1448">
          <cell r="A1448" t="str">
            <v>hdr4yo010</v>
          </cell>
          <cell r="D1448" t="str">
            <v>预计年间税前当期纯利益</v>
          </cell>
        </row>
        <row r="1449">
          <cell r="A1449" t="str">
            <v>hdr4yo011</v>
          </cell>
          <cell r="D1449" t="str">
            <v>预计年间税额扣除额</v>
          </cell>
        </row>
        <row r="1450">
          <cell r="A1450" t="str">
            <v>hdr4yo012</v>
          </cell>
          <cell r="D1450" t="str">
            <v>预计年间其他税额</v>
          </cell>
        </row>
        <row r="1451">
          <cell r="A1451" t="str">
            <v>hdr4yo013</v>
          </cell>
          <cell r="D1451" t="str">
            <v>预计年间税金费用</v>
          </cell>
        </row>
        <row r="1452">
          <cell r="A1452" t="str">
            <v>hdr4yo014</v>
          </cell>
          <cell r="D1452" t="str">
            <v>主要分</v>
          </cell>
        </row>
        <row r="1453">
          <cell r="A1453" t="str">
            <v>hdr4yu001</v>
          </cell>
          <cell r="D1453" t="str">
            <v>有价证券报告书(接受订货余额)</v>
          </cell>
        </row>
        <row r="1454">
          <cell r="A1454" t="str">
            <v>hdr4yu002</v>
          </cell>
          <cell r="D1454" t="str">
            <v>有价证券报告书(生产计划)</v>
          </cell>
        </row>
        <row r="1455">
          <cell r="A1455" t="str">
            <v>hdr4yu003</v>
          </cell>
          <cell r="D1455" t="str">
            <v>固定资产</v>
          </cell>
        </row>
        <row r="1456">
          <cell r="A1456" t="str">
            <v>hdr4yu004</v>
          </cell>
          <cell r="D1456" t="str">
            <v>有价证券</v>
          </cell>
        </row>
        <row r="1457">
          <cell r="A1457" t="str">
            <v>hdr4yu005</v>
          </cell>
          <cell r="D1457" t="str">
            <v>有价证券-期末</v>
          </cell>
        </row>
        <row r="1458">
          <cell r="A1458" t="str">
            <v>hdr4yu006</v>
          </cell>
          <cell r="D1458" t="str">
            <v>有价证券 - 现金等价物 - 期初</v>
          </cell>
        </row>
        <row r="1459">
          <cell r="A1459" t="str">
            <v>hdr4yu007</v>
          </cell>
          <cell r="D1459" t="str">
            <v>有价证券 - 其他 - 期初</v>
          </cell>
        </row>
        <row r="1460">
          <cell r="A1460" t="str">
            <v>hdr4yu008</v>
          </cell>
          <cell r="D1460" t="str">
            <v>有价证券 - 现金等价物</v>
          </cell>
        </row>
        <row r="1461">
          <cell r="A1461" t="str">
            <v>hdr4yu009</v>
          </cell>
          <cell r="D1461" t="str">
            <v>有价证券 - 其他</v>
          </cell>
        </row>
        <row r="1462">
          <cell r="A1462" t="str">
            <v>hdr4yu010</v>
          </cell>
          <cell r="D1462" t="str">
            <v>－</v>
          </cell>
        </row>
        <row r="1463">
          <cell r="A1463" t="str">
            <v>hdr4yu011</v>
          </cell>
          <cell r="D1463" t="str">
            <v>－</v>
          </cell>
        </row>
        <row r="1464">
          <cell r="A1464" t="str">
            <v>hdr4yu012</v>
          </cell>
          <cell r="D1464" t="str">
            <v>－</v>
          </cell>
        </row>
        <row r="1465">
          <cell r="A1465" t="str">
            <v>hdr4za001</v>
          </cell>
          <cell r="D1465" t="str">
            <v>材料</v>
          </cell>
        </row>
        <row r="1466">
          <cell r="A1466" t="str">
            <v>hdr4za002</v>
          </cell>
          <cell r="D1466" t="str">
            <v>财务报表输入表</v>
          </cell>
        </row>
        <row r="1467">
          <cell r="A1467" t="str">
            <v>hdr4za003</v>
          </cell>
          <cell r="D1467" t="str">
            <v>材料销售收入</v>
          </cell>
        </row>
        <row r="1468">
          <cell r="A1468" t="str">
            <v>hdr4za004</v>
          </cell>
          <cell r="D1468" t="str">
            <v>材料-期初</v>
          </cell>
        </row>
        <row r="1469">
          <cell r="A1469" t="str">
            <v>hdr4za005</v>
          </cell>
          <cell r="D1469" t="str">
            <v>残存价格</v>
          </cell>
        </row>
        <row r="1470">
          <cell r="A1470" t="str">
            <v>hdr4za006</v>
          </cell>
          <cell r="D1470" t="str">
            <v>残存价格(%)</v>
          </cell>
        </row>
        <row r="1471">
          <cell r="A1471" t="str">
            <v>hdr4za007</v>
          </cell>
          <cell r="D1471" t="str">
            <v>材料费</v>
          </cell>
        </row>
        <row r="1472">
          <cell r="A1472" t="str">
            <v>hdr4ze001</v>
          </cell>
          <cell r="D1472" t="str">
            <v>税金影响明细</v>
          </cell>
        </row>
        <row r="1473">
          <cell r="A1473" t="str">
            <v>hdr4ze002</v>
          </cell>
          <cell r="D1473" t="str">
            <v>前期</v>
          </cell>
        </row>
        <row r="1474">
          <cell r="A1474" t="str">
            <v>hdr4ze003</v>
          </cell>
          <cell r="D1474" t="str">
            <v>与前期对比</v>
          </cell>
        </row>
        <row r="1475">
          <cell r="A1475" t="str">
            <v>hdr4ze004</v>
          </cell>
          <cell r="D1475" t="str">
            <v>前期末</v>
          </cell>
        </row>
        <row r="1476">
          <cell r="A1476" t="str">
            <v>hdr4ze005</v>
          </cell>
          <cell r="D1476" t="str">
            <v>当期税前净利润</v>
          </cell>
        </row>
        <row r="1477">
          <cell r="A1477" t="str">
            <v>hdr4ze006</v>
          </cell>
          <cell r="D1477" t="str">
            <v>税务计算用的数值</v>
          </cell>
        </row>
        <row r="1478">
          <cell r="A1478" t="str">
            <v>hdr4ze007</v>
          </cell>
          <cell r="D1478" t="str">
            <v>税率</v>
          </cell>
        </row>
        <row r="1479">
          <cell r="A1479" t="str">
            <v>hdr4ze008</v>
          </cell>
          <cell r="D1479" t="str">
            <v>税额</v>
          </cell>
        </row>
        <row r="1480">
          <cell r="A1480" t="str">
            <v>hdr4ze009</v>
          </cell>
          <cell r="D1480" t="str">
            <v>(税金计算后)</v>
          </cell>
        </row>
        <row r="1481">
          <cell r="A1481" t="str">
            <v>hdr4ze010</v>
          </cell>
          <cell r="D1481" t="str">
            <v>(税金费用差异分析)</v>
          </cell>
        </row>
        <row r="1482">
          <cell r="A1482" t="str">
            <v>hdr4ze011</v>
          </cell>
          <cell r="D1482" t="str">
            <v>(税金调整)</v>
          </cell>
        </row>
        <row r="1483">
          <cell r="A1483" t="str">
            <v>hdr4ze012</v>
          </cell>
          <cell r="D1483" t="str">
            <v>税前中间净利润</v>
          </cell>
        </row>
        <row r="1484">
          <cell r="A1484" t="str">
            <v>hdr4zo001</v>
          </cell>
          <cell r="D1484" t="str">
            <v>增减率</v>
          </cell>
        </row>
        <row r="1485">
          <cell r="A1485" t="str">
            <v>hdr4zo002</v>
          </cell>
          <cell r="D1485" t="str">
            <v>增加</v>
          </cell>
        </row>
        <row r="1486">
          <cell r="A1486" t="str">
            <v>hdr4zo003</v>
          </cell>
          <cell r="D1486" t="str">
            <v>增减分析</v>
          </cell>
        </row>
        <row r="1487">
          <cell r="A1487" t="str">
            <v>hdr4zo004</v>
          </cell>
          <cell r="D1487" t="str">
            <v>产成品销售成本／增値税</v>
          </cell>
        </row>
        <row r="1488">
          <cell r="A1488" t="str">
            <v>hkm</v>
          </cell>
          <cell r="D1488" t="str">
            <v>HKM</v>
          </cell>
        </row>
        <row r="1489">
          <cell r="A1489" t="str">
            <v>HKM</v>
          </cell>
          <cell r="D1489" t="str">
            <v>HKM</v>
          </cell>
        </row>
        <row r="1490">
          <cell r="A1490" t="str">
            <v>hkseiko</v>
          </cell>
          <cell r="D1490" t="str">
            <v>HKSEIKO</v>
          </cell>
        </row>
        <row r="1491">
          <cell r="A1491" t="str">
            <v>HKSEIKO</v>
          </cell>
          <cell r="D1491" t="str">
            <v>HKSEIKO</v>
          </cell>
        </row>
        <row r="1492">
          <cell r="A1492" t="str">
            <v>jsm</v>
          </cell>
          <cell r="D1492" t="str">
            <v>JSM</v>
          </cell>
        </row>
        <row r="1493">
          <cell r="A1493" t="str">
            <v>JSM</v>
          </cell>
          <cell r="D1493" t="str">
            <v>JSM</v>
          </cell>
        </row>
        <row r="1494">
          <cell r="A1494" t="str">
            <v>mlm</v>
          </cell>
          <cell r="D1494" t="str">
            <v>MLM</v>
          </cell>
        </row>
        <row r="1495">
          <cell r="A1495" t="str">
            <v>MLM</v>
          </cell>
          <cell r="D1495" t="str">
            <v>MLM</v>
          </cell>
        </row>
        <row r="1496">
          <cell r="A1496" t="str">
            <v>mmk</v>
          </cell>
          <cell r="D1496" t="str">
            <v>MMK</v>
          </cell>
        </row>
        <row r="1497">
          <cell r="A1497" t="str">
            <v>MMK</v>
          </cell>
          <cell r="D1497" t="str">
            <v>MMK</v>
          </cell>
        </row>
        <row r="1498">
          <cell r="A1498" t="str">
            <v>nyo</v>
          </cell>
          <cell r="D1498" t="str">
            <v>NYO</v>
          </cell>
        </row>
        <row r="1499">
          <cell r="A1499" t="str">
            <v>NYO</v>
          </cell>
          <cell r="D1499" t="str">
            <v>NYO</v>
          </cell>
        </row>
        <row r="1500">
          <cell r="A1500" t="str">
            <v>seiko</v>
          </cell>
          <cell r="D1500" t="str">
            <v>SEIKO</v>
          </cell>
        </row>
        <row r="1501">
          <cell r="A1501" t="str">
            <v>SEIKO</v>
          </cell>
          <cell r="D1501" t="str">
            <v>SEIKO</v>
          </cell>
        </row>
        <row r="1502">
          <cell r="A1502" t="str">
            <v>spo</v>
          </cell>
          <cell r="D1502" t="str">
            <v>SPO</v>
          </cell>
        </row>
        <row r="1503">
          <cell r="A1503" t="str">
            <v>SPO</v>
          </cell>
          <cell r="D1503" t="str">
            <v>SPO</v>
          </cell>
        </row>
        <row r="1504">
          <cell r="A1504" t="str">
            <v>tkm</v>
          </cell>
          <cell r="D1504" t="str">
            <v>TKM</v>
          </cell>
        </row>
        <row r="1505">
          <cell r="A1505" t="str">
            <v>TKM</v>
          </cell>
          <cell r="D1505" t="str">
            <v>TKM</v>
          </cell>
        </row>
        <row r="1506">
          <cell r="A1506" t="str">
            <v>twm</v>
          </cell>
          <cell r="D1506" t="str">
            <v>TWM</v>
          </cell>
        </row>
        <row r="1507">
          <cell r="A1507" t="str">
            <v>TWM</v>
          </cell>
          <cell r="D1507" t="str">
            <v>TWM</v>
          </cell>
        </row>
        <row r="1508">
          <cell r="A1508" t="str">
            <v>twmhk</v>
          </cell>
          <cell r="D1508" t="str">
            <v>TWMHK</v>
          </cell>
        </row>
        <row r="1509">
          <cell r="A1509" t="str">
            <v>TWMHK</v>
          </cell>
          <cell r="D1509" t="str">
            <v>TWMHK</v>
          </cell>
        </row>
        <row r="1510">
          <cell r="A1510" t="str">
            <v>upo</v>
          </cell>
          <cell r="D1510" t="str">
            <v>UPO</v>
          </cell>
        </row>
        <row r="1511">
          <cell r="A1511" t="str">
            <v>UPO</v>
          </cell>
          <cell r="D1511" t="str">
            <v>UPO</v>
          </cell>
        </row>
        <row r="1512">
          <cell r="A1512" t="str">
            <v>vnm</v>
          </cell>
          <cell r="D1512" t="str">
            <v>VNM</v>
          </cell>
        </row>
        <row r="1513">
          <cell r="A1513" t="str">
            <v>VNM</v>
          </cell>
          <cell r="D1513" t="str">
            <v>VNM</v>
          </cell>
        </row>
        <row r="1514">
          <cell r="D1514" t="str">
            <v>权益合计</v>
          </cell>
        </row>
        <row r="1515">
          <cell r="D1515" t="str">
            <v>负债及权益合计</v>
          </cell>
        </row>
        <row r="1516">
          <cell r="D1516" t="str">
            <v>资本金‐期末</v>
          </cell>
        </row>
        <row r="1517">
          <cell r="D1517" t="str">
            <v>资本公积-期末</v>
          </cell>
        </row>
        <row r="1518">
          <cell r="D1518" t="str">
            <v>其他资本公积-期末</v>
          </cell>
        </row>
        <row r="1519">
          <cell r="D1519" t="str">
            <v>盈余公积-期末</v>
          </cell>
        </row>
        <row r="1520">
          <cell r="D1520" t="str">
            <v>其他有价证券估价差额-期末</v>
          </cell>
        </row>
        <row r="1521">
          <cell r="D1521" t="str">
            <v>银行存款 - 期初</v>
          </cell>
        </row>
        <row r="1522">
          <cell r="D1522" t="str">
            <v>银行存款 - 结转</v>
          </cell>
        </row>
        <row r="1523">
          <cell r="D1523" t="str">
            <v>银行存款 - 解除合同</v>
          </cell>
        </row>
        <row r="1524">
          <cell r="D1524" t="str">
            <v>银行存款 - 期末</v>
          </cell>
        </row>
        <row r="1525">
          <cell r="D1525" t="str">
            <v>有价证券-期初</v>
          </cell>
        </row>
        <row r="1526">
          <cell r="D1526" t="str">
            <v>有价证券-评价益</v>
          </cell>
        </row>
        <row r="1527">
          <cell r="D1527" t="str">
            <v>有价证券-结转</v>
          </cell>
        </row>
        <row r="1528">
          <cell r="D1528" t="str">
            <v>有价证券-出售</v>
          </cell>
        </row>
        <row r="1529">
          <cell r="D1529" t="str">
            <v>有价证券-评价损</v>
          </cell>
        </row>
        <row r="1530">
          <cell r="D1530" t="str">
            <v>有价证券-估价差额</v>
          </cell>
        </row>
        <row r="1531">
          <cell r="D1531" t="str">
            <v>有价证券 - 期末汇率调整损益</v>
          </cell>
        </row>
        <row r="1532">
          <cell r="D1532" t="str">
            <v>有价证券-期末</v>
          </cell>
        </row>
        <row r="1533">
          <cell r="A1533" t="str">
            <v>*******</v>
          </cell>
          <cell r="D1533" t="str">
            <v>****</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Matching"/>
      <sheetName val="BEG"/>
      <sheetName val="INPUT"/>
      <sheetName val="M1"/>
      <sheetName val="M2"/>
      <sheetName val="M3"/>
      <sheetName val="M4"/>
      <sheetName val="M5"/>
      <sheetName val="M6"/>
      <sheetName val="M7"/>
      <sheetName val="M8"/>
      <sheetName val="M9"/>
      <sheetName val="S1"/>
      <sheetName val="S2"/>
      <sheetName val="S3"/>
      <sheetName val="S4"/>
      <sheetName val="S5"/>
      <sheetName val="S6-1"/>
      <sheetName val="S6-2"/>
      <sheetName val="S7"/>
      <sheetName val="S8"/>
      <sheetName val="S9"/>
      <sheetName val="S10"/>
      <sheetName val="C1"/>
      <sheetName val="C2"/>
      <sheetName val="C3"/>
      <sheetName val="C4-1"/>
      <sheetName val="C4-2"/>
      <sheetName val="C5"/>
      <sheetName val="C6-1"/>
      <sheetName val="C6-2"/>
      <sheetName val="C7-1"/>
      <sheetName val="C7-2"/>
      <sheetName val="C8"/>
      <sheetName val="C9"/>
      <sheetName val="T1"/>
      <sheetName val="T2"/>
      <sheetName val="T3"/>
      <sheetName val="T4"/>
      <sheetName val="T5"/>
      <sheetName val="P1-1"/>
      <sheetName val="P1-2"/>
      <sheetName val="P1-3"/>
      <sheetName val="P2"/>
      <sheetName val="P2-2"/>
      <sheetName val="P2-3"/>
      <sheetName val="P3-1"/>
      <sheetName val="P3-2"/>
      <sheetName val="P4"/>
      <sheetName val="P5-1"/>
      <sheetName val="P5-2"/>
      <sheetName val="P6"/>
      <sheetName val="DEF"/>
      <sheetName val="TABLE"/>
      <sheetName val="日本語"/>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ow r="2">
          <cell r="A2" t="str">
            <v>100100</v>
          </cell>
          <cell r="C2">
            <v>41394</v>
          </cell>
          <cell r="D2" t="str">
            <v>現金</v>
          </cell>
        </row>
        <row r="3">
          <cell r="A3" t="str">
            <v>100200</v>
          </cell>
          <cell r="D3" t="str">
            <v>預金</v>
          </cell>
        </row>
        <row r="4">
          <cell r="A4" t="str">
            <v>100300</v>
          </cell>
          <cell r="B4" t="str">
            <v>MMK</v>
          </cell>
          <cell r="C4" t="str">
            <v>MABUCHI MOTOR CO., LTD.</v>
          </cell>
          <cell r="D4" t="str">
            <v>受取手形</v>
          </cell>
        </row>
        <row r="5">
          <cell r="A5" t="str">
            <v>100400</v>
          </cell>
          <cell r="B5" t="str">
            <v>JPY</v>
          </cell>
          <cell r="D5" t="str">
            <v>不渡手形</v>
          </cell>
        </row>
        <row r="6">
          <cell r="A6" t="str">
            <v>100500</v>
          </cell>
          <cell r="D6" t="str">
            <v>売掛金</v>
          </cell>
        </row>
        <row r="7">
          <cell r="A7" t="str">
            <v>100600</v>
          </cell>
          <cell r="D7" t="str">
            <v>有価証券</v>
          </cell>
        </row>
        <row r="8">
          <cell r="A8" t="str">
            <v>100700</v>
          </cell>
          <cell r="D8" t="str">
            <v>自己株式</v>
          </cell>
        </row>
        <row r="9">
          <cell r="A9" t="str">
            <v>100800</v>
          </cell>
          <cell r="D9" t="str">
            <v>商品</v>
          </cell>
        </row>
        <row r="10">
          <cell r="A10" t="str">
            <v>100810</v>
          </cell>
          <cell r="D10" t="str">
            <v>商品モーター</v>
          </cell>
        </row>
        <row r="11">
          <cell r="B11" t="str">
            <v>11</v>
          </cell>
          <cell r="C11" t="str">
            <v>13</v>
          </cell>
          <cell r="D11" t="str">
            <v>調整額</v>
          </cell>
        </row>
        <row r="12">
          <cell r="A12" t="str">
            <v>100820</v>
          </cell>
          <cell r="B12" t="str">
            <v>5</v>
          </cell>
          <cell r="C12" t="str">
            <v>10</v>
          </cell>
          <cell r="D12" t="str">
            <v>商品生産機器</v>
          </cell>
        </row>
        <row r="13">
          <cell r="A13" t="str">
            <v>100830</v>
          </cell>
          <cell r="D13" t="str">
            <v>商品モーター部品</v>
          </cell>
        </row>
        <row r="14">
          <cell r="A14" t="str">
            <v>100900</v>
          </cell>
          <cell r="D14" t="str">
            <v>製品</v>
          </cell>
        </row>
        <row r="15">
          <cell r="A15" t="str">
            <v>100910</v>
          </cell>
          <cell r="D15" t="str">
            <v>製品モーター</v>
          </cell>
        </row>
        <row r="16">
          <cell r="A16" t="str">
            <v>100920</v>
          </cell>
          <cell r="D16" t="str">
            <v>製品モーター部品</v>
          </cell>
        </row>
        <row r="17">
          <cell r="A17" t="str">
            <v>100930</v>
          </cell>
          <cell r="D17" t="str">
            <v>製品生産機器</v>
          </cell>
        </row>
        <row r="18">
          <cell r="A18" t="str">
            <v>101000</v>
          </cell>
          <cell r="D18" t="str">
            <v>半製品</v>
          </cell>
        </row>
        <row r="19">
          <cell r="A19" t="str">
            <v>101010</v>
          </cell>
          <cell r="D19" t="str">
            <v>半製品モーター部品</v>
          </cell>
        </row>
        <row r="20">
          <cell r="A20" t="str">
            <v>101100</v>
          </cell>
          <cell r="D20" t="str">
            <v>材料</v>
          </cell>
        </row>
        <row r="21">
          <cell r="A21" t="str">
            <v>101110</v>
          </cell>
          <cell r="D21" t="str">
            <v>材料モーター部品</v>
          </cell>
        </row>
        <row r="22">
          <cell r="A22" t="str">
            <v>101120</v>
          </cell>
          <cell r="D22" t="str">
            <v>材料生産機器</v>
          </cell>
        </row>
        <row r="23">
          <cell r="A23" t="str">
            <v>101200</v>
          </cell>
          <cell r="D23" t="str">
            <v>仕掛品</v>
          </cell>
        </row>
        <row r="24">
          <cell r="A24" t="str">
            <v>101210</v>
          </cell>
          <cell r="D24" t="str">
            <v>仕掛品モーター</v>
          </cell>
        </row>
        <row r="25">
          <cell r="A25" t="str">
            <v>101220</v>
          </cell>
          <cell r="D25" t="str">
            <v>仕掛品生産機器</v>
          </cell>
        </row>
        <row r="26">
          <cell r="A26" t="str">
            <v>101300</v>
          </cell>
          <cell r="D26" t="str">
            <v>未着品</v>
          </cell>
        </row>
        <row r="27">
          <cell r="A27" t="str">
            <v>101310</v>
          </cell>
          <cell r="D27" t="str">
            <v>未着品モーター</v>
          </cell>
        </row>
        <row r="28">
          <cell r="A28" t="str">
            <v>101320</v>
          </cell>
          <cell r="D28" t="str">
            <v>未着品モーター部品</v>
          </cell>
        </row>
        <row r="29">
          <cell r="A29" t="str">
            <v>101330</v>
          </cell>
          <cell r="D29" t="str">
            <v>未着品生産機器</v>
          </cell>
        </row>
        <row r="30">
          <cell r="A30" t="str">
            <v>101400</v>
          </cell>
          <cell r="D30" t="str">
            <v>貯蔵品</v>
          </cell>
        </row>
        <row r="31">
          <cell r="A31" t="str">
            <v>101500</v>
          </cell>
          <cell r="D31" t="str">
            <v>棚卸原価差額調整金</v>
          </cell>
        </row>
        <row r="32">
          <cell r="A32" t="str">
            <v>101600</v>
          </cell>
          <cell r="D32" t="str">
            <v>為替差額調整金</v>
          </cell>
        </row>
        <row r="33">
          <cell r="A33" t="str">
            <v>101700</v>
          </cell>
          <cell r="D33" t="str">
            <v>前渡金</v>
          </cell>
        </row>
        <row r="34">
          <cell r="A34" t="str">
            <v>101800</v>
          </cell>
          <cell r="D34" t="str">
            <v>短期貸付金</v>
          </cell>
        </row>
        <row r="35">
          <cell r="A35" t="str">
            <v>101900</v>
          </cell>
          <cell r="D35" t="str">
            <v>未収入金</v>
          </cell>
        </row>
        <row r="36">
          <cell r="A36" t="str">
            <v>101950</v>
          </cell>
          <cell r="D36" t="str">
            <v>未収利息</v>
          </cell>
        </row>
        <row r="37">
          <cell r="A37" t="str">
            <v>102000</v>
          </cell>
          <cell r="D37" t="str">
            <v>関係会社勘定</v>
          </cell>
        </row>
        <row r="38">
          <cell r="A38" t="str">
            <v>102100</v>
          </cell>
          <cell r="D38" t="str">
            <v>立替金</v>
          </cell>
        </row>
        <row r="39">
          <cell r="A39" t="str">
            <v>102200</v>
          </cell>
          <cell r="D39" t="str">
            <v>仮払金</v>
          </cell>
        </row>
        <row r="40">
          <cell r="A40" t="str">
            <v>102300</v>
          </cell>
          <cell r="D40" t="str">
            <v>仮払法人税</v>
          </cell>
        </row>
        <row r="41">
          <cell r="A41" t="str">
            <v>102400</v>
          </cell>
          <cell r="D41" t="str">
            <v>前払費用</v>
          </cell>
        </row>
        <row r="42">
          <cell r="A42" t="str">
            <v>102500</v>
          </cell>
          <cell r="D42" t="str">
            <v>仮払消費税</v>
          </cell>
        </row>
        <row r="43">
          <cell r="A43" t="str">
            <v>102600</v>
          </cell>
          <cell r="D43" t="str">
            <v>未収消費税</v>
          </cell>
        </row>
        <row r="44">
          <cell r="A44" t="str">
            <v>102700</v>
          </cell>
          <cell r="D44" t="str">
            <v>その他の流動資産</v>
          </cell>
        </row>
        <row r="45">
          <cell r="A45" t="str">
            <v>102800</v>
          </cell>
          <cell r="D45" t="str">
            <v>繰延税金</v>
          </cell>
        </row>
        <row r="46">
          <cell r="A46" t="str">
            <v>102900</v>
          </cell>
          <cell r="D46" t="str">
            <v>貸倒引当金（短期）</v>
          </cell>
        </row>
        <row r="47">
          <cell r="A47" t="str">
            <v>102910</v>
          </cell>
          <cell r="D47" t="str">
            <v>デリバティブ債権</v>
          </cell>
        </row>
        <row r="48">
          <cell r="A48" t="str">
            <v>102920</v>
          </cell>
          <cell r="D48" t="str">
            <v>繰延ヘッジ損失</v>
          </cell>
        </row>
        <row r="49">
          <cell r="A49" t="str">
            <v>102930</v>
          </cell>
          <cell r="D49" t="str">
            <v>棚卸資産評価損失引当金</v>
          </cell>
        </row>
        <row r="50">
          <cell r="A50" t="str">
            <v>102990</v>
          </cell>
          <cell r="D50" t="str">
            <v>流動資産合計</v>
          </cell>
        </row>
        <row r="51">
          <cell r="A51" t="str">
            <v>103100</v>
          </cell>
          <cell r="D51" t="str">
            <v>建物</v>
          </cell>
        </row>
        <row r="52">
          <cell r="A52" t="str">
            <v>103200</v>
          </cell>
          <cell r="D52" t="str">
            <v>建物－減価償却累計額</v>
          </cell>
        </row>
        <row r="53">
          <cell r="A53" t="str">
            <v>103300</v>
          </cell>
          <cell r="D53" t="str">
            <v>構築物</v>
          </cell>
        </row>
        <row r="54">
          <cell r="A54" t="str">
            <v>103400</v>
          </cell>
          <cell r="D54" t="str">
            <v>構築物－減価償却累計額</v>
          </cell>
        </row>
        <row r="55">
          <cell r="A55" t="str">
            <v>103500</v>
          </cell>
          <cell r="D55" t="str">
            <v>機械び装置</v>
          </cell>
        </row>
        <row r="56">
          <cell r="A56" t="str">
            <v>103600</v>
          </cell>
          <cell r="D56" t="str">
            <v>機械及び装置－減価償却累計額</v>
          </cell>
        </row>
        <row r="57">
          <cell r="A57" t="str">
            <v>103700</v>
          </cell>
          <cell r="D57" t="str">
            <v>車両運搬具</v>
          </cell>
        </row>
        <row r="58">
          <cell r="A58" t="str">
            <v>103800</v>
          </cell>
          <cell r="D58" t="str">
            <v>車両運搬具－減価償却累計額</v>
          </cell>
        </row>
        <row r="59">
          <cell r="A59" t="str">
            <v>103900</v>
          </cell>
          <cell r="D59" t="str">
            <v>工具・器具備品</v>
          </cell>
        </row>
        <row r="60">
          <cell r="A60" t="str">
            <v>103990</v>
          </cell>
          <cell r="D60" t="str">
            <v>工具・器具備品うち小額固定資産</v>
          </cell>
        </row>
        <row r="61">
          <cell r="A61" t="str">
            <v>104000</v>
          </cell>
          <cell r="D61" t="str">
            <v>工具・器具備品－減価償却累計額</v>
          </cell>
        </row>
        <row r="62">
          <cell r="A62" t="str">
            <v>104100</v>
          </cell>
          <cell r="D62" t="str">
            <v>土地</v>
          </cell>
        </row>
        <row r="63">
          <cell r="A63" t="str">
            <v>104200</v>
          </cell>
          <cell r="D63" t="str">
            <v>建設仮勘定</v>
          </cell>
        </row>
        <row r="64">
          <cell r="A64" t="str">
            <v>104300</v>
          </cell>
          <cell r="D64" t="str">
            <v>固定資産評価損失引当金</v>
          </cell>
        </row>
        <row r="65">
          <cell r="A65" t="str">
            <v>104990</v>
          </cell>
          <cell r="D65" t="str">
            <v>有形固定資産合計</v>
          </cell>
        </row>
        <row r="66">
          <cell r="A66" t="str">
            <v>105100</v>
          </cell>
          <cell r="D66" t="str">
            <v>電話加入権</v>
          </cell>
        </row>
        <row r="67">
          <cell r="A67" t="str">
            <v>105110</v>
          </cell>
          <cell r="D67" t="str">
            <v>電話加入権－減価償却累計額</v>
          </cell>
        </row>
        <row r="68">
          <cell r="A68" t="str">
            <v>105200</v>
          </cell>
          <cell r="D68" t="str">
            <v>施設利用権</v>
          </cell>
        </row>
        <row r="69">
          <cell r="A69" t="str">
            <v>105300</v>
          </cell>
          <cell r="D69" t="str">
            <v>施設利用権－減価償却累計額</v>
          </cell>
        </row>
        <row r="70">
          <cell r="A70" t="str">
            <v>105400</v>
          </cell>
          <cell r="D70" t="str">
            <v>土地使用権</v>
          </cell>
        </row>
        <row r="71">
          <cell r="A71" t="str">
            <v>105500</v>
          </cell>
          <cell r="D71" t="str">
            <v>その他無形固定資産</v>
          </cell>
        </row>
        <row r="72">
          <cell r="A72" t="str">
            <v>105700</v>
          </cell>
          <cell r="D72" t="str">
            <v>土地使用権－減価償却累計額</v>
          </cell>
        </row>
        <row r="73">
          <cell r="A73" t="str">
            <v>105800</v>
          </cell>
          <cell r="D73" t="str">
            <v>その他無形固定資産－減価償却累計額</v>
          </cell>
        </row>
        <row r="74">
          <cell r="A74" t="str">
            <v>105900</v>
          </cell>
          <cell r="D74" t="str">
            <v>無形固定資産評価損失引当金</v>
          </cell>
        </row>
        <row r="75">
          <cell r="A75" t="str">
            <v>105990</v>
          </cell>
          <cell r="D75" t="str">
            <v>無形固定資産合計</v>
          </cell>
        </row>
        <row r="76">
          <cell r="A76" t="str">
            <v>106100</v>
          </cell>
          <cell r="D76" t="str">
            <v>投資有価証券</v>
          </cell>
        </row>
        <row r="77">
          <cell r="A77" t="str">
            <v>106200</v>
          </cell>
          <cell r="D77" t="str">
            <v>出資金</v>
          </cell>
        </row>
        <row r="78">
          <cell r="A78" t="str">
            <v>106300</v>
          </cell>
          <cell r="D78" t="str">
            <v>長期貸付金</v>
          </cell>
        </row>
        <row r="79">
          <cell r="A79" t="str">
            <v>106400</v>
          </cell>
          <cell r="D79" t="str">
            <v>長期前払費用</v>
          </cell>
        </row>
        <row r="80">
          <cell r="A80" t="str">
            <v>106500</v>
          </cell>
          <cell r="D80" t="str">
            <v>長期定期預金</v>
          </cell>
        </row>
        <row r="81">
          <cell r="A81" t="str">
            <v>106600</v>
          </cell>
          <cell r="D81" t="str">
            <v>役員退職年金積立基金</v>
          </cell>
        </row>
        <row r="82">
          <cell r="A82" t="str">
            <v>106700</v>
          </cell>
          <cell r="D82" t="str">
            <v>役員保険積金</v>
          </cell>
        </row>
        <row r="83">
          <cell r="A83" t="str">
            <v>106800</v>
          </cell>
          <cell r="D83" t="str">
            <v>長期差入保証金</v>
          </cell>
        </row>
        <row r="84">
          <cell r="A84" t="str">
            <v>106900</v>
          </cell>
          <cell r="D84" t="str">
            <v>その他の投資</v>
          </cell>
        </row>
        <row r="85">
          <cell r="A85" t="str">
            <v>107000</v>
          </cell>
          <cell r="D85" t="str">
            <v>繰延税金</v>
          </cell>
        </row>
        <row r="86">
          <cell r="A86" t="str">
            <v>107100</v>
          </cell>
          <cell r="D86" t="str">
            <v>貸倒引当金（長期）</v>
          </cell>
        </row>
        <row r="87">
          <cell r="A87" t="str">
            <v>107990</v>
          </cell>
          <cell r="D87" t="str">
            <v>投資等合計</v>
          </cell>
        </row>
        <row r="88">
          <cell r="A88" t="str">
            <v>108990</v>
          </cell>
          <cell r="D88" t="str">
            <v>固定資産合計</v>
          </cell>
        </row>
        <row r="89">
          <cell r="A89" t="str">
            <v>109100</v>
          </cell>
          <cell r="D89" t="str">
            <v>開業費</v>
          </cell>
        </row>
        <row r="90">
          <cell r="A90" t="str">
            <v>109990</v>
          </cell>
          <cell r="D90" t="str">
            <v>繰延資産合計</v>
          </cell>
        </row>
        <row r="91">
          <cell r="A91" t="str">
            <v>119990</v>
          </cell>
          <cell r="D91" t="str">
            <v>資産合計</v>
          </cell>
        </row>
        <row r="92">
          <cell r="A92" t="str">
            <v>120100</v>
          </cell>
          <cell r="D92" t="str">
            <v>支払手形</v>
          </cell>
        </row>
        <row r="93">
          <cell r="A93" t="str">
            <v>120200</v>
          </cell>
          <cell r="D93" t="str">
            <v>買掛金</v>
          </cell>
        </row>
        <row r="94">
          <cell r="A94" t="str">
            <v>120300</v>
          </cell>
          <cell r="D94" t="str">
            <v>１年内償還の転換社債</v>
          </cell>
        </row>
        <row r="95">
          <cell r="A95" t="str">
            <v>120400</v>
          </cell>
          <cell r="D95" t="str">
            <v>短期借入金</v>
          </cell>
        </row>
        <row r="96">
          <cell r="A96" t="str">
            <v>120500</v>
          </cell>
          <cell r="D96" t="str">
            <v>未払金</v>
          </cell>
        </row>
        <row r="97">
          <cell r="A97" t="str">
            <v>120600</v>
          </cell>
          <cell r="D97" t="str">
            <v>未払配当金</v>
          </cell>
        </row>
        <row r="98">
          <cell r="A98" t="str">
            <v>120700</v>
          </cell>
          <cell r="D98" t="str">
            <v>関係会社勘定</v>
          </cell>
        </row>
        <row r="99">
          <cell r="A99" t="str">
            <v>120800</v>
          </cell>
          <cell r="D99" t="str">
            <v>未払事業税等</v>
          </cell>
        </row>
        <row r="100">
          <cell r="A100" t="str">
            <v>120900</v>
          </cell>
          <cell r="D100" t="str">
            <v>未払法人税等</v>
          </cell>
        </row>
        <row r="101">
          <cell r="A101" t="str">
            <v>121000</v>
          </cell>
          <cell r="D101" t="str">
            <v>未払費用</v>
          </cell>
        </row>
        <row r="102">
          <cell r="A102" t="str">
            <v>121050</v>
          </cell>
          <cell r="D102" t="str">
            <v>未払利息</v>
          </cell>
        </row>
        <row r="103">
          <cell r="A103" t="str">
            <v>121100</v>
          </cell>
          <cell r="D103" t="str">
            <v>前受金</v>
          </cell>
        </row>
        <row r="104">
          <cell r="A104" t="str">
            <v>121200</v>
          </cell>
          <cell r="D104" t="str">
            <v>預り金</v>
          </cell>
        </row>
        <row r="105">
          <cell r="A105" t="str">
            <v>121300</v>
          </cell>
          <cell r="D105" t="str">
            <v>前受収益</v>
          </cell>
        </row>
        <row r="106">
          <cell r="A106" t="str">
            <v>121400</v>
          </cell>
          <cell r="D106" t="str">
            <v>賞与引当金</v>
          </cell>
        </row>
        <row r="107">
          <cell r="A107" t="str">
            <v>121500</v>
          </cell>
          <cell r="D107" t="str">
            <v>仮受金</v>
          </cell>
        </row>
        <row r="108">
          <cell r="A108" t="str">
            <v>121600</v>
          </cell>
          <cell r="D108" t="str">
            <v>預り消費税</v>
          </cell>
        </row>
        <row r="109">
          <cell r="A109" t="str">
            <v>121700</v>
          </cell>
          <cell r="D109" t="str">
            <v>未払消費税</v>
          </cell>
        </row>
        <row r="110">
          <cell r="A110" t="str">
            <v>121800</v>
          </cell>
          <cell r="D110" t="str">
            <v>その他の流動負債</v>
          </cell>
        </row>
        <row r="111">
          <cell r="A111" t="str">
            <v>121900</v>
          </cell>
          <cell r="D111" t="str">
            <v>繰延税金</v>
          </cell>
        </row>
        <row r="112">
          <cell r="A112" t="str">
            <v>122100</v>
          </cell>
          <cell r="D112" t="str">
            <v>デリバティブ債務</v>
          </cell>
        </row>
        <row r="113">
          <cell r="A113" t="str">
            <v>122200</v>
          </cell>
          <cell r="D113" t="str">
            <v>資産除去債務（流動負債）</v>
          </cell>
        </row>
        <row r="114">
          <cell r="A114" t="str">
            <v>122990</v>
          </cell>
          <cell r="D114" t="str">
            <v>流動負債合計</v>
          </cell>
        </row>
        <row r="115">
          <cell r="A115" t="str">
            <v>123100</v>
          </cell>
          <cell r="D115" t="str">
            <v>資産除去債務（固定負債）</v>
          </cell>
        </row>
        <row r="116">
          <cell r="A116" t="str">
            <v>123200</v>
          </cell>
          <cell r="D116" t="str">
            <v>長期借入金</v>
          </cell>
        </row>
        <row r="117">
          <cell r="A117" t="str">
            <v>123300</v>
          </cell>
          <cell r="D117" t="str">
            <v>長期前受収益</v>
          </cell>
        </row>
        <row r="118">
          <cell r="A118" t="str">
            <v>123400</v>
          </cell>
          <cell r="D118" t="str">
            <v>退職給与引当金</v>
          </cell>
        </row>
        <row r="119">
          <cell r="A119" t="str">
            <v>123450</v>
          </cell>
          <cell r="D119" t="str">
            <v>退職給付引当金</v>
          </cell>
        </row>
        <row r="120">
          <cell r="A120" t="str">
            <v>123500</v>
          </cell>
          <cell r="D120" t="str">
            <v>役員退職給与引当金</v>
          </cell>
        </row>
        <row r="121">
          <cell r="A121" t="str">
            <v>123600</v>
          </cell>
          <cell r="D121" t="str">
            <v>預り保証金</v>
          </cell>
        </row>
        <row r="122">
          <cell r="A122" t="str">
            <v>123700</v>
          </cell>
          <cell r="D122" t="str">
            <v>その他の固定負債</v>
          </cell>
        </row>
        <row r="123">
          <cell r="A123" t="str">
            <v>123800</v>
          </cell>
          <cell r="D123" t="str">
            <v>繰延税金</v>
          </cell>
        </row>
        <row r="124">
          <cell r="A124" t="str">
            <v>123990</v>
          </cell>
          <cell r="D124" t="str">
            <v>固定負債合計</v>
          </cell>
        </row>
        <row r="125">
          <cell r="A125" t="str">
            <v>129990</v>
          </cell>
          <cell r="D125" t="str">
            <v>負債合計</v>
          </cell>
        </row>
        <row r="126">
          <cell r="A126" t="str">
            <v>131100</v>
          </cell>
          <cell r="D126" t="str">
            <v>資本金</v>
          </cell>
        </row>
        <row r="127">
          <cell r="A127" t="str">
            <v>131100</v>
          </cell>
          <cell r="D127" t="str">
            <v>資本金</v>
          </cell>
        </row>
        <row r="128">
          <cell r="A128" t="str">
            <v>131200</v>
          </cell>
          <cell r="D128" t="str">
            <v>資本剰余金</v>
          </cell>
        </row>
        <row r="129">
          <cell r="A129" t="str">
            <v>131210</v>
          </cell>
          <cell r="D129" t="str">
            <v>資本準備金</v>
          </cell>
        </row>
        <row r="130">
          <cell r="A130" t="str">
            <v>131210</v>
          </cell>
          <cell r="D130" t="str">
            <v>資本準備金</v>
          </cell>
        </row>
        <row r="131">
          <cell r="A131" t="str">
            <v>131220</v>
          </cell>
          <cell r="D131" t="str">
            <v>その他資本剰余金</v>
          </cell>
        </row>
        <row r="132">
          <cell r="A132" t="str">
            <v>131230</v>
          </cell>
          <cell r="D132" t="str">
            <v>自己株式処分差損益</v>
          </cell>
        </row>
        <row r="133">
          <cell r="A133" t="str">
            <v>131300</v>
          </cell>
          <cell r="D133" t="str">
            <v>利益剰余金</v>
          </cell>
        </row>
        <row r="134">
          <cell r="A134" t="str">
            <v>131310</v>
          </cell>
          <cell r="D134" t="str">
            <v>利益準備金</v>
          </cell>
        </row>
        <row r="135">
          <cell r="A135" t="str">
            <v>131310</v>
          </cell>
          <cell r="D135" t="str">
            <v>利益準備金</v>
          </cell>
        </row>
        <row r="136">
          <cell r="A136" t="str">
            <v>131319</v>
          </cell>
          <cell r="D136" t="str">
            <v>うち固定資産圧縮記帳積立金</v>
          </cell>
        </row>
        <row r="137">
          <cell r="A137" t="str">
            <v>131320</v>
          </cell>
          <cell r="D137" t="str">
            <v>その他の剰余金</v>
          </cell>
        </row>
        <row r="138">
          <cell r="A138" t="str">
            <v>131329</v>
          </cell>
          <cell r="D138" t="str">
            <v>うち海外投資等損失準備金</v>
          </cell>
        </row>
        <row r="139">
          <cell r="A139" t="str">
            <v>131339</v>
          </cell>
          <cell r="D139" t="str">
            <v>うち別途積立金</v>
          </cell>
        </row>
        <row r="140">
          <cell r="A140" t="str">
            <v>131349</v>
          </cell>
          <cell r="D140" t="str">
            <v>うちその他積立金</v>
          </cell>
        </row>
        <row r="141">
          <cell r="A141" t="str">
            <v>131359</v>
          </cell>
          <cell r="D141" t="str">
            <v>うち繰越利益</v>
          </cell>
        </row>
        <row r="142">
          <cell r="A142" t="str">
            <v>131369</v>
          </cell>
          <cell r="D142" t="str">
            <v>うち当期利益</v>
          </cell>
        </row>
        <row r="143">
          <cell r="A143" t="str">
            <v>131400</v>
          </cell>
          <cell r="D143" t="str">
            <v>自己株式</v>
          </cell>
        </row>
        <row r="144">
          <cell r="A144" t="str">
            <v>131990</v>
          </cell>
          <cell r="D144" t="str">
            <v>株主資本合計</v>
          </cell>
        </row>
        <row r="145">
          <cell r="A145" t="str">
            <v>132100</v>
          </cell>
          <cell r="D145" t="str">
            <v>その他有価証券評価差額</v>
          </cell>
        </row>
        <row r="146">
          <cell r="A146" t="str">
            <v>132200</v>
          </cell>
          <cell r="D146" t="str">
            <v>為替差額</v>
          </cell>
        </row>
        <row r="147">
          <cell r="A147" t="str">
            <v>132300</v>
          </cell>
          <cell r="D147" t="str">
            <v>繰延ヘッジ損益</v>
          </cell>
        </row>
        <row r="148">
          <cell r="A148" t="str">
            <v>132400</v>
          </cell>
          <cell r="D148" t="str">
            <v>新株予約権</v>
          </cell>
        </row>
        <row r="149">
          <cell r="A149" t="str">
            <v>132990</v>
          </cell>
          <cell r="D149" t="str">
            <v>評価・換算差額合計</v>
          </cell>
        </row>
        <row r="150">
          <cell r="A150" t="str">
            <v>135000</v>
          </cell>
          <cell r="D150" t="str">
            <v>少数株主持分</v>
          </cell>
        </row>
        <row r="151">
          <cell r="A151" t="str">
            <v>139990</v>
          </cell>
          <cell r="D151" t="str">
            <v>純資産合計</v>
          </cell>
        </row>
        <row r="152">
          <cell r="A152" t="str">
            <v>149990</v>
          </cell>
          <cell r="D152" t="str">
            <v>資本・純資産合計</v>
          </cell>
        </row>
        <row r="153">
          <cell r="A153" t="str">
            <v>200000</v>
          </cell>
          <cell r="D153" t="str">
            <v>売上高</v>
          </cell>
        </row>
        <row r="154">
          <cell r="A154" t="str">
            <v>201000</v>
          </cell>
          <cell r="D154" t="str">
            <v>製品売上高</v>
          </cell>
        </row>
        <row r="155">
          <cell r="A155" t="str">
            <v>203000</v>
          </cell>
          <cell r="D155" t="str">
            <v>商品売上高</v>
          </cell>
        </row>
        <row r="156">
          <cell r="A156" t="str">
            <v>206000</v>
          </cell>
          <cell r="D156" t="str">
            <v>半製品売上高</v>
          </cell>
        </row>
        <row r="157">
          <cell r="A157" t="str">
            <v>207000</v>
          </cell>
          <cell r="D157" t="str">
            <v>材料売上高</v>
          </cell>
        </row>
        <row r="158">
          <cell r="A158" t="str">
            <v>208000</v>
          </cell>
          <cell r="D158" t="str">
            <v>受取手数料</v>
          </cell>
        </row>
        <row r="159">
          <cell r="A159" t="str">
            <v>209000</v>
          </cell>
          <cell r="D159" t="str">
            <v>受取技術援助料</v>
          </cell>
        </row>
        <row r="160">
          <cell r="A160" t="str">
            <v>210000</v>
          </cell>
          <cell r="D160" t="str">
            <v>支援/加工収入</v>
          </cell>
        </row>
        <row r="161">
          <cell r="A161" t="str">
            <v>211000</v>
          </cell>
          <cell r="D161" t="str">
            <v>加工収入(DWMのみ)</v>
          </cell>
        </row>
        <row r="162">
          <cell r="A162" t="str">
            <v>220000</v>
          </cell>
          <cell r="D162" t="str">
            <v>売上原価</v>
          </cell>
        </row>
        <row r="163">
          <cell r="A163" t="str">
            <v>229990</v>
          </cell>
          <cell r="D163" t="str">
            <v>売上総利益A</v>
          </cell>
        </row>
        <row r="164">
          <cell r="A164" t="str">
            <v>230990</v>
          </cell>
          <cell r="D164" t="str">
            <v>原価差額等</v>
          </cell>
        </row>
        <row r="165">
          <cell r="A165" t="str">
            <v>231100</v>
          </cell>
          <cell r="D165" t="str">
            <v>原価差額</v>
          </cell>
        </row>
        <row r="166">
          <cell r="A166" t="str">
            <v>231200</v>
          </cell>
          <cell r="D166" t="str">
            <v>輸入諸掛</v>
          </cell>
        </row>
        <row r="167">
          <cell r="A167" t="str">
            <v>231300</v>
          </cell>
          <cell r="D167" t="str">
            <v>購入差益</v>
          </cell>
        </row>
        <row r="168">
          <cell r="A168" t="str">
            <v>231400</v>
          </cell>
          <cell r="D168" t="str">
            <v>材料払出差異</v>
          </cell>
        </row>
        <row r="169">
          <cell r="A169" t="str">
            <v>231500</v>
          </cell>
          <cell r="D169" t="str">
            <v>その他差額</v>
          </cell>
        </row>
        <row r="170">
          <cell r="A170" t="str">
            <v>239990</v>
          </cell>
          <cell r="D170" t="str">
            <v>売上総利益B</v>
          </cell>
        </row>
        <row r="171">
          <cell r="A171" t="str">
            <v>240000</v>
          </cell>
          <cell r="D171" t="str">
            <v>販売費及び一般管理費</v>
          </cell>
        </row>
        <row r="172">
          <cell r="A172" t="str">
            <v>249990</v>
          </cell>
          <cell r="D172" t="str">
            <v>営業利益</v>
          </cell>
        </row>
        <row r="173">
          <cell r="A173" t="str">
            <v>250000</v>
          </cell>
          <cell r="D173" t="str">
            <v>営業外収益</v>
          </cell>
        </row>
        <row r="174">
          <cell r="A174" t="str">
            <v>250100</v>
          </cell>
          <cell r="D174" t="str">
            <v>受取利息及び割引料</v>
          </cell>
        </row>
        <row r="175">
          <cell r="A175" t="str">
            <v>250200</v>
          </cell>
          <cell r="D175" t="str">
            <v>有価証券利息</v>
          </cell>
        </row>
        <row r="176">
          <cell r="A176" t="str">
            <v>250300</v>
          </cell>
          <cell r="D176" t="str">
            <v>有価証券売却益</v>
          </cell>
        </row>
        <row r="177">
          <cell r="A177" t="str">
            <v>250400</v>
          </cell>
          <cell r="D177" t="str">
            <v>受取配当金</v>
          </cell>
        </row>
        <row r="178">
          <cell r="A178" t="str">
            <v>250500</v>
          </cell>
          <cell r="D178" t="str">
            <v>賃貸収入</v>
          </cell>
        </row>
        <row r="179">
          <cell r="A179" t="str">
            <v>250600</v>
          </cell>
          <cell r="D179" t="str">
            <v>リース収入</v>
          </cell>
        </row>
        <row r="180">
          <cell r="A180" t="str">
            <v>250700</v>
          </cell>
          <cell r="D180" t="str">
            <v>受取賠償金</v>
          </cell>
        </row>
        <row r="181">
          <cell r="A181" t="str">
            <v>250800</v>
          </cell>
          <cell r="D181" t="str">
            <v>為替差益</v>
          </cell>
        </row>
        <row r="182">
          <cell r="A182" t="str">
            <v>251000</v>
          </cell>
          <cell r="D182" t="str">
            <v>翻訳収入</v>
          </cell>
        </row>
        <row r="183">
          <cell r="A183" t="str">
            <v>251100</v>
          </cell>
          <cell r="D183" t="str">
            <v>その他業務収入</v>
          </cell>
        </row>
        <row r="184">
          <cell r="A184" t="str">
            <v>251200</v>
          </cell>
          <cell r="D184" t="str">
            <v>雑収入</v>
          </cell>
        </row>
        <row r="185">
          <cell r="A185" t="str">
            <v>251600</v>
          </cell>
          <cell r="D185" t="str">
            <v>有価証券評価益</v>
          </cell>
        </row>
        <row r="186">
          <cell r="A186" t="str">
            <v>251700</v>
          </cell>
          <cell r="D186" t="str">
            <v>投資有価証券評価益</v>
          </cell>
        </row>
        <row r="187">
          <cell r="A187" t="str">
            <v>260000</v>
          </cell>
          <cell r="D187" t="str">
            <v>営業外費用</v>
          </cell>
        </row>
        <row r="188">
          <cell r="A188" t="str">
            <v>260100</v>
          </cell>
          <cell r="D188" t="str">
            <v>支払利息及び割引料</v>
          </cell>
        </row>
        <row r="189">
          <cell r="A189" t="str">
            <v>260200</v>
          </cell>
          <cell r="D189" t="str">
            <v>社債利息</v>
          </cell>
        </row>
        <row r="190">
          <cell r="A190" t="str">
            <v>260300</v>
          </cell>
          <cell r="D190" t="str">
            <v>社債費用</v>
          </cell>
        </row>
        <row r="191">
          <cell r="A191" t="str">
            <v>260400</v>
          </cell>
          <cell r="D191" t="str">
            <v>有価証券売却損</v>
          </cell>
        </row>
        <row r="192">
          <cell r="A192" t="str">
            <v>260500</v>
          </cell>
          <cell r="D192" t="str">
            <v>有価証券評価損</v>
          </cell>
        </row>
        <row r="193">
          <cell r="A193" t="str">
            <v>260600</v>
          </cell>
          <cell r="D193" t="str">
            <v>為替差損</v>
          </cell>
        </row>
        <row r="194">
          <cell r="A194" t="str">
            <v>260700</v>
          </cell>
          <cell r="D194" t="str">
            <v>棚卸資産廃棄損</v>
          </cell>
        </row>
        <row r="195">
          <cell r="A195" t="str">
            <v>260800</v>
          </cell>
          <cell r="D195" t="str">
            <v>棚卸資産評価損</v>
          </cell>
        </row>
        <row r="196">
          <cell r="A196" t="str">
            <v>260900</v>
          </cell>
          <cell r="D196" t="str">
            <v>株式関係費</v>
          </cell>
        </row>
        <row r="197">
          <cell r="A197" t="str">
            <v>261000</v>
          </cell>
          <cell r="D197" t="str">
            <v>その他業務支出</v>
          </cell>
        </row>
        <row r="198">
          <cell r="A198" t="str">
            <v>261100</v>
          </cell>
          <cell r="D198" t="str">
            <v>債権償却特別勘定繰入</v>
          </cell>
        </row>
        <row r="199">
          <cell r="A199" t="str">
            <v>261200</v>
          </cell>
          <cell r="D199" t="str">
            <v>雑支出</v>
          </cell>
        </row>
        <row r="200">
          <cell r="A200" t="str">
            <v>261400</v>
          </cell>
          <cell r="D200" t="str">
            <v>投資有価証券評価損</v>
          </cell>
        </row>
        <row r="201">
          <cell r="A201" t="str">
            <v>261500</v>
          </cell>
          <cell r="D201" t="str">
            <v>貸倒引当金繰入額</v>
          </cell>
        </row>
        <row r="202">
          <cell r="A202" t="str">
            <v>269990</v>
          </cell>
          <cell r="D202" t="str">
            <v>経常利益</v>
          </cell>
        </row>
        <row r="203">
          <cell r="A203" t="str">
            <v>270000</v>
          </cell>
          <cell r="D203" t="str">
            <v>特別利益</v>
          </cell>
        </row>
        <row r="204">
          <cell r="A204" t="str">
            <v>270100</v>
          </cell>
          <cell r="D204" t="str">
            <v>固定資産売却益</v>
          </cell>
        </row>
        <row r="205">
          <cell r="A205" t="str">
            <v>270200</v>
          </cell>
          <cell r="D205" t="str">
            <v>投資有価証券売却益</v>
          </cell>
        </row>
        <row r="206">
          <cell r="A206" t="str">
            <v>270300</v>
          </cell>
          <cell r="D206" t="str">
            <v>退職給与引当金戻入益</v>
          </cell>
        </row>
        <row r="207">
          <cell r="A207" t="str">
            <v>270400</v>
          </cell>
          <cell r="D207" t="str">
            <v>貸倒引当金戻入額</v>
          </cell>
        </row>
        <row r="208">
          <cell r="A208" t="str">
            <v>270500</v>
          </cell>
          <cell r="D208" t="str">
            <v>前期損益修正益</v>
          </cell>
        </row>
        <row r="209">
          <cell r="A209" t="str">
            <v>270600</v>
          </cell>
          <cell r="D209" t="str">
            <v>その他特別利益</v>
          </cell>
        </row>
        <row r="210">
          <cell r="A210" t="str">
            <v>280000</v>
          </cell>
          <cell r="D210" t="str">
            <v>特別損失</v>
          </cell>
        </row>
        <row r="211">
          <cell r="A211" t="str">
            <v>280100</v>
          </cell>
          <cell r="D211" t="str">
            <v>固定資産売却損</v>
          </cell>
        </row>
        <row r="212">
          <cell r="A212" t="str">
            <v>280200</v>
          </cell>
          <cell r="D212" t="str">
            <v>固定資産除却損</v>
          </cell>
        </row>
        <row r="213">
          <cell r="A213" t="str">
            <v>280300</v>
          </cell>
          <cell r="D213" t="str">
            <v>投資有価証券売却損</v>
          </cell>
        </row>
        <row r="214">
          <cell r="A214" t="str">
            <v>280400</v>
          </cell>
          <cell r="D214" t="str">
            <v>臨時退職金</v>
          </cell>
        </row>
        <row r="215">
          <cell r="A215" t="str">
            <v>280500</v>
          </cell>
          <cell r="D215" t="str">
            <v>適格年金過去勤務掛金</v>
          </cell>
        </row>
        <row r="216">
          <cell r="A216" t="str">
            <v>280600</v>
          </cell>
          <cell r="D216" t="str">
            <v>前期損益修正損</v>
          </cell>
        </row>
        <row r="217">
          <cell r="A217" t="str">
            <v>280700</v>
          </cell>
          <cell r="D217" t="str">
            <v>その他特別損失</v>
          </cell>
        </row>
        <row r="218">
          <cell r="A218" t="str">
            <v>280800</v>
          </cell>
          <cell r="D218" t="str">
            <v>投資有価証券評価損</v>
          </cell>
        </row>
        <row r="219">
          <cell r="A219" t="str">
            <v>280900</v>
          </cell>
          <cell r="D219" t="str">
            <v>固定資産評価損失引当金繰入額</v>
          </cell>
        </row>
        <row r="220">
          <cell r="A220" t="str">
            <v>289990</v>
          </cell>
          <cell r="D220" t="str">
            <v>税金等調整前当期純利益</v>
          </cell>
        </row>
        <row r="221">
          <cell r="A221" t="str">
            <v>290100</v>
          </cell>
          <cell r="D221" t="str">
            <v>法人税及び住民税</v>
          </cell>
        </row>
        <row r="222">
          <cell r="A222" t="str">
            <v>290200</v>
          </cell>
          <cell r="D222" t="str">
            <v>法人税等調整額</v>
          </cell>
        </row>
        <row r="223">
          <cell r="A223" t="str">
            <v>290300</v>
          </cell>
          <cell r="D223" t="str">
            <v>事業税</v>
          </cell>
        </row>
        <row r="224">
          <cell r="A224" t="str">
            <v>299990</v>
          </cell>
          <cell r="D224" t="str">
            <v>当期純利益</v>
          </cell>
        </row>
        <row r="225">
          <cell r="A225" t="str">
            <v>200100</v>
          </cell>
          <cell r="D225" t="str">
            <v>期首</v>
          </cell>
        </row>
        <row r="226">
          <cell r="A226" t="str">
            <v>200200</v>
          </cell>
          <cell r="D226" t="str">
            <v>取得原価－取得</v>
          </cell>
        </row>
        <row r="227">
          <cell r="A227" t="str">
            <v>200221</v>
          </cell>
          <cell r="D227" t="str">
            <v>購入･製作</v>
          </cell>
        </row>
        <row r="228">
          <cell r="A228" t="str">
            <v>200222</v>
          </cell>
          <cell r="D228" t="str">
            <v>建設仮勘定の振替</v>
          </cell>
        </row>
        <row r="229">
          <cell r="A229" t="str">
            <v>200224</v>
          </cell>
          <cell r="D229" t="str">
            <v>その他（科目振替）</v>
          </cell>
        </row>
        <row r="230">
          <cell r="A230" t="str">
            <v>200239</v>
          </cell>
          <cell r="D230" t="str">
            <v>ｸﾞﾙｰﾌﾟ間中古固定資産(DLM/DWM用)</v>
          </cell>
        </row>
        <row r="231">
          <cell r="A231" t="str">
            <v>200300</v>
          </cell>
          <cell r="D231" t="str">
            <v>建物－取得原価－減少</v>
          </cell>
        </row>
        <row r="232">
          <cell r="A232" t="str">
            <v>200340</v>
          </cell>
          <cell r="D232" t="str">
            <v>売却(ｸﾞﾙｰﾌﾟ内)</v>
          </cell>
        </row>
        <row r="233">
          <cell r="A233" t="str">
            <v>200341</v>
          </cell>
          <cell r="D233" t="str">
            <v>売却(一般)</v>
          </cell>
        </row>
        <row r="234">
          <cell r="A234" t="str">
            <v>200342</v>
          </cell>
          <cell r="D234" t="str">
            <v>商品へ振替(MMKのみ)</v>
          </cell>
        </row>
        <row r="235">
          <cell r="A235" t="str">
            <v>200352</v>
          </cell>
          <cell r="D235" t="str">
            <v>除却</v>
          </cell>
        </row>
        <row r="236">
          <cell r="A236" t="str">
            <v>200353</v>
          </cell>
          <cell r="D236" t="str">
            <v>固定資産へ振替</v>
          </cell>
        </row>
        <row r="237">
          <cell r="A237" t="str">
            <v>200354</v>
          </cell>
          <cell r="D237" t="str">
            <v>その他（科目振替）</v>
          </cell>
        </row>
        <row r="238">
          <cell r="A238" t="str">
            <v>200355</v>
          </cell>
          <cell r="D238" t="str">
            <v>減損</v>
          </cell>
        </row>
        <row r="239">
          <cell r="A239" t="str">
            <v>200365</v>
          </cell>
          <cell r="D239" t="str">
            <v>経費へ振替</v>
          </cell>
        </row>
        <row r="240">
          <cell r="A240" t="str">
            <v>200500</v>
          </cell>
          <cell r="D240" t="str">
            <v>期末</v>
          </cell>
        </row>
        <row r="241">
          <cell r="A241" t="str">
            <v>210100</v>
          </cell>
          <cell r="D241" t="str">
            <v>期首</v>
          </cell>
        </row>
        <row r="242">
          <cell r="A242" t="str">
            <v>210200</v>
          </cell>
          <cell r="D242" t="str">
            <v>建物－減価償却累計額－増加</v>
          </cell>
        </row>
        <row r="243">
          <cell r="A243" t="str">
            <v>210223</v>
          </cell>
          <cell r="D243" t="str">
            <v>当期減価償却費</v>
          </cell>
        </row>
        <row r="244">
          <cell r="A244" t="str">
            <v>210224</v>
          </cell>
          <cell r="D244" t="str">
            <v>その他（科目振替）</v>
          </cell>
        </row>
        <row r="245">
          <cell r="A245" t="str">
            <v>210239</v>
          </cell>
          <cell r="D245" t="str">
            <v>ｸﾞﾙｰﾌﾟ間中古固定資産(DLM/DWM用)</v>
          </cell>
        </row>
        <row r="246">
          <cell r="A246" t="str">
            <v>210300</v>
          </cell>
          <cell r="D246" t="str">
            <v>建物－減価償却累計額－減少</v>
          </cell>
        </row>
        <row r="247">
          <cell r="A247" t="str">
            <v>210340</v>
          </cell>
          <cell r="D247" t="str">
            <v>売却(ｸﾞﾙｰﾌﾟ内)</v>
          </cell>
        </row>
        <row r="248">
          <cell r="A248" t="str">
            <v>210341</v>
          </cell>
          <cell r="D248" t="str">
            <v>売却(一般)</v>
          </cell>
        </row>
        <row r="249">
          <cell r="A249" t="str">
            <v>210342</v>
          </cell>
          <cell r="D249" t="str">
            <v>商品へ振替(MMKのみ)</v>
          </cell>
        </row>
        <row r="250">
          <cell r="A250" t="str">
            <v>210351</v>
          </cell>
          <cell r="D250" t="str">
            <v>売却</v>
          </cell>
        </row>
        <row r="251">
          <cell r="A251" t="str">
            <v>210352</v>
          </cell>
          <cell r="D251" t="str">
            <v>除却</v>
          </cell>
        </row>
        <row r="252">
          <cell r="A252" t="str">
            <v>210354</v>
          </cell>
          <cell r="D252" t="str">
            <v>その他（科目振替）</v>
          </cell>
        </row>
        <row r="253">
          <cell r="A253" t="str">
            <v>210355</v>
          </cell>
          <cell r="D253" t="str">
            <v>減損</v>
          </cell>
        </row>
        <row r="254">
          <cell r="A254" t="str">
            <v>210500</v>
          </cell>
          <cell r="D254" t="str">
            <v>期末</v>
          </cell>
        </row>
        <row r="255">
          <cell r="A255" t="str">
            <v>220100</v>
          </cell>
          <cell r="D255" t="str">
            <v>期首</v>
          </cell>
        </row>
        <row r="256">
          <cell r="A256" t="str">
            <v>220200</v>
          </cell>
          <cell r="D256" t="str">
            <v>増加</v>
          </cell>
        </row>
        <row r="257">
          <cell r="A257" t="str">
            <v>220300</v>
          </cell>
          <cell r="D257" t="str">
            <v>取得原価－減少</v>
          </cell>
        </row>
        <row r="258">
          <cell r="A258" t="str">
            <v>220351</v>
          </cell>
          <cell r="D258" t="str">
            <v>売却</v>
          </cell>
        </row>
        <row r="259">
          <cell r="A259" t="str">
            <v>220352</v>
          </cell>
          <cell r="D259" t="str">
            <v>除却</v>
          </cell>
        </row>
        <row r="260">
          <cell r="A260" t="str">
            <v>220354</v>
          </cell>
          <cell r="D260" t="str">
            <v>その他（科目振替）</v>
          </cell>
        </row>
        <row r="261">
          <cell r="A261" t="str">
            <v>220500</v>
          </cell>
          <cell r="D261" t="str">
            <v>期末</v>
          </cell>
        </row>
        <row r="262">
          <cell r="A262" t="str">
            <v>230100</v>
          </cell>
          <cell r="D262" t="str">
            <v>減価償却累計額－期首</v>
          </cell>
        </row>
        <row r="263">
          <cell r="A263" t="str">
            <v>230200</v>
          </cell>
          <cell r="D263" t="str">
            <v>減価償却累計額－増加</v>
          </cell>
        </row>
        <row r="264">
          <cell r="A264" t="str">
            <v>230221</v>
          </cell>
          <cell r="D264" t="str">
            <v>当期減価償却費</v>
          </cell>
        </row>
        <row r="265">
          <cell r="A265" t="str">
            <v>230222</v>
          </cell>
          <cell r="D265" t="str">
            <v>その他（科目振替）</v>
          </cell>
        </row>
        <row r="266">
          <cell r="A266" t="str">
            <v>230300</v>
          </cell>
          <cell r="D266" t="str">
            <v>減価償却累計額－減少</v>
          </cell>
        </row>
        <row r="267">
          <cell r="A267" t="str">
            <v>230351</v>
          </cell>
          <cell r="D267" t="str">
            <v>売却</v>
          </cell>
        </row>
        <row r="268">
          <cell r="A268" t="str">
            <v>230352</v>
          </cell>
          <cell r="D268" t="str">
            <v>除却</v>
          </cell>
        </row>
        <row r="269">
          <cell r="A269" t="str">
            <v>230354</v>
          </cell>
          <cell r="D269" t="str">
            <v>その他（科目振替）</v>
          </cell>
        </row>
        <row r="270">
          <cell r="A270" t="str">
            <v>230500</v>
          </cell>
          <cell r="D270" t="str">
            <v>期末</v>
          </cell>
        </row>
        <row r="271">
          <cell r="A271" t="str">
            <v>13010020</v>
          </cell>
          <cell r="C271" t="str">
            <v>20</v>
          </cell>
          <cell r="D271" t="str">
            <v>短期貸付金－期首</v>
          </cell>
        </row>
        <row r="272">
          <cell r="A272" t="str">
            <v>13022035</v>
          </cell>
          <cell r="C272" t="str">
            <v>35</v>
          </cell>
          <cell r="D272" t="str">
            <v>短期貸付金－貸付</v>
          </cell>
        </row>
        <row r="273">
          <cell r="A273" t="str">
            <v>13023548</v>
          </cell>
          <cell r="C273" t="str">
            <v>48</v>
          </cell>
          <cell r="D273" t="str">
            <v>短期貸付金－振替</v>
          </cell>
        </row>
        <row r="274">
          <cell r="A274" t="str">
            <v>13031060</v>
          </cell>
          <cell r="C274" t="str">
            <v>60</v>
          </cell>
          <cell r="D274" t="str">
            <v>短期貸付金－回収</v>
          </cell>
        </row>
        <row r="275">
          <cell r="A275" t="str">
            <v>13026767</v>
          </cell>
          <cell r="C275" t="str">
            <v>67</v>
          </cell>
          <cell r="D275" t="str">
            <v>短期貸付金－期末換算差損益</v>
          </cell>
        </row>
        <row r="276">
          <cell r="A276" t="str">
            <v>13010010</v>
          </cell>
          <cell r="C276" t="str">
            <v>10</v>
          </cell>
          <cell r="D276" t="str">
            <v>長期貸付金－期首</v>
          </cell>
        </row>
        <row r="277">
          <cell r="A277" t="str">
            <v>13022010</v>
          </cell>
          <cell r="C277" t="str">
            <v>10</v>
          </cell>
          <cell r="D277" t="str">
            <v>長期貸付金－貸付</v>
          </cell>
        </row>
        <row r="278">
          <cell r="A278" t="str">
            <v>13023510</v>
          </cell>
          <cell r="C278" t="str">
            <v>10</v>
          </cell>
          <cell r="D278" t="str">
            <v>長期貸付金－振替</v>
          </cell>
        </row>
        <row r="279">
          <cell r="A279" t="str">
            <v>13031010</v>
          </cell>
          <cell r="C279" t="str">
            <v>10</v>
          </cell>
          <cell r="D279" t="str">
            <v>長期貸付金－回収</v>
          </cell>
        </row>
        <row r="280">
          <cell r="A280" t="str">
            <v>13026710</v>
          </cell>
          <cell r="C280" t="str">
            <v>10</v>
          </cell>
          <cell r="D280" t="str">
            <v>長期貸付金－期末換算差損益</v>
          </cell>
        </row>
        <row r="281">
          <cell r="A281" t="str">
            <v>24010020</v>
          </cell>
          <cell r="C281" t="str">
            <v>20</v>
          </cell>
          <cell r="D281" t="str">
            <v>長期定期預金－期首</v>
          </cell>
        </row>
        <row r="282">
          <cell r="A282" t="str">
            <v>24023434</v>
          </cell>
          <cell r="C282" t="str">
            <v>34</v>
          </cell>
          <cell r="D282" t="str">
            <v>長期定期預金－取得</v>
          </cell>
        </row>
        <row r="283">
          <cell r="A283" t="str">
            <v>24024848</v>
          </cell>
          <cell r="C283" t="str">
            <v>48</v>
          </cell>
          <cell r="D283" t="str">
            <v>長期定期預金－振替</v>
          </cell>
        </row>
        <row r="284">
          <cell r="A284" t="str">
            <v>24026767</v>
          </cell>
          <cell r="C284" t="str">
            <v>67</v>
          </cell>
          <cell r="D284" t="str">
            <v>長期定期預金－期末換算差損益</v>
          </cell>
        </row>
        <row r="285">
          <cell r="A285" t="str">
            <v>24031064</v>
          </cell>
          <cell r="C285" t="str">
            <v>64</v>
          </cell>
          <cell r="D285" t="str">
            <v>長期定期預金－解約</v>
          </cell>
        </row>
        <row r="286">
          <cell r="A286" t="str">
            <v>25010020</v>
          </cell>
          <cell r="C286" t="str">
            <v>20</v>
          </cell>
          <cell r="D286" t="str">
            <v>有価証券－期首</v>
          </cell>
        </row>
        <row r="287">
          <cell r="A287" t="str">
            <v>25023434</v>
          </cell>
          <cell r="C287" t="str">
            <v>34</v>
          </cell>
          <cell r="D287" t="str">
            <v>有価証券－取得</v>
          </cell>
        </row>
        <row r="288">
          <cell r="A288" t="str">
            <v>25024444</v>
          </cell>
          <cell r="C288" t="str">
            <v>44</v>
          </cell>
          <cell r="D288" t="str">
            <v>有価証券－評価益</v>
          </cell>
        </row>
        <row r="289">
          <cell r="A289" t="str">
            <v>25024848</v>
          </cell>
          <cell r="C289" t="str">
            <v>48</v>
          </cell>
          <cell r="D289" t="str">
            <v>有価証券－振替</v>
          </cell>
        </row>
        <row r="290">
          <cell r="A290" t="str">
            <v>25026666</v>
          </cell>
          <cell r="C290" t="str">
            <v>66</v>
          </cell>
          <cell r="D290" t="str">
            <v>有価証券－評価差額</v>
          </cell>
        </row>
        <row r="291">
          <cell r="A291" t="str">
            <v>25026767</v>
          </cell>
          <cell r="C291" t="str">
            <v>67</v>
          </cell>
          <cell r="D291" t="str">
            <v>有価証券－期末換算差損益</v>
          </cell>
        </row>
        <row r="292">
          <cell r="A292" t="str">
            <v>25029934</v>
          </cell>
          <cell r="C292" t="str">
            <v>34</v>
          </cell>
          <cell r="D292" t="str">
            <v>有価証券－その他増減</v>
          </cell>
        </row>
        <row r="293">
          <cell r="A293" t="str">
            <v>25035151</v>
          </cell>
          <cell r="C293" t="str">
            <v>51</v>
          </cell>
          <cell r="D293" t="str">
            <v>有価証券－売却</v>
          </cell>
        </row>
        <row r="294">
          <cell r="A294" t="str">
            <v>25036161</v>
          </cell>
          <cell r="C294" t="str">
            <v>61</v>
          </cell>
          <cell r="D294" t="str">
            <v>有価証券－評価損</v>
          </cell>
        </row>
        <row r="295">
          <cell r="A295" t="str">
            <v>25099999</v>
          </cell>
          <cell r="C295" t="str">
            <v>99</v>
          </cell>
          <cell r="D295" t="str">
            <v>有価証券－同等物－その他増減</v>
          </cell>
        </row>
        <row r="296">
          <cell r="A296" t="str">
            <v>26010020</v>
          </cell>
          <cell r="C296" t="str">
            <v>20</v>
          </cell>
          <cell r="D296" t="str">
            <v>預金－期首</v>
          </cell>
        </row>
        <row r="297">
          <cell r="A297" t="str">
            <v>26023434</v>
          </cell>
          <cell r="C297" t="str">
            <v>34</v>
          </cell>
          <cell r="D297" t="str">
            <v>預金－取得</v>
          </cell>
        </row>
        <row r="298">
          <cell r="A298" t="str">
            <v>26024848</v>
          </cell>
          <cell r="C298" t="str">
            <v>48</v>
          </cell>
          <cell r="D298" t="str">
            <v>預金－振替</v>
          </cell>
        </row>
        <row r="299">
          <cell r="A299" t="str">
            <v>26026767</v>
          </cell>
          <cell r="C299" t="str">
            <v>67</v>
          </cell>
          <cell r="D299" t="str">
            <v>預金－期末換算差損益</v>
          </cell>
        </row>
        <row r="300">
          <cell r="A300" t="str">
            <v>26029934</v>
          </cell>
          <cell r="C300" t="str">
            <v>34</v>
          </cell>
          <cell r="D300" t="str">
            <v>預金－その他増減</v>
          </cell>
        </row>
        <row r="301">
          <cell r="A301" t="str">
            <v>26031064</v>
          </cell>
          <cell r="C301" t="str">
            <v>64</v>
          </cell>
          <cell r="D301" t="str">
            <v>預金－解約</v>
          </cell>
        </row>
        <row r="302">
          <cell r="A302" t="str">
            <v>26061067</v>
          </cell>
          <cell r="C302" t="str">
            <v>67</v>
          </cell>
          <cell r="D302" t="str">
            <v>預金－期末換算差損益</v>
          </cell>
        </row>
        <row r="303">
          <cell r="A303" t="str">
            <v>26099999</v>
          </cell>
          <cell r="C303" t="str">
            <v>99</v>
          </cell>
          <cell r="D303" t="str">
            <v>預金－現金同等物－その他増減</v>
          </cell>
        </row>
        <row r="304">
          <cell r="A304" t="str">
            <v>60028</v>
          </cell>
          <cell r="D304" t="str">
            <v>預金－期末</v>
          </cell>
        </row>
        <row r="305">
          <cell r="A305" t="str">
            <v>27010020</v>
          </cell>
          <cell r="C305" t="str">
            <v>20</v>
          </cell>
          <cell r="D305" t="str">
            <v>投資有価証券－期首</v>
          </cell>
        </row>
        <row r="306">
          <cell r="A306" t="str">
            <v>27023434</v>
          </cell>
          <cell r="C306" t="str">
            <v>34</v>
          </cell>
          <cell r="D306" t="str">
            <v>投資有価証券－取得</v>
          </cell>
        </row>
        <row r="307">
          <cell r="A307" t="str">
            <v>27024444</v>
          </cell>
          <cell r="C307" t="str">
            <v>44</v>
          </cell>
          <cell r="D307" t="str">
            <v>投資有価証券－評価益</v>
          </cell>
        </row>
        <row r="308">
          <cell r="A308" t="str">
            <v>27024848</v>
          </cell>
          <cell r="C308" t="str">
            <v>48</v>
          </cell>
          <cell r="D308" t="str">
            <v>投資有価証券－振替</v>
          </cell>
        </row>
        <row r="309">
          <cell r="A309" t="str">
            <v>27026767</v>
          </cell>
          <cell r="C309" t="str">
            <v>67</v>
          </cell>
          <cell r="D309" t="str">
            <v>投資有価証券－期末換算差損益</v>
          </cell>
        </row>
        <row r="310">
          <cell r="A310" t="str">
            <v>27035151</v>
          </cell>
          <cell r="C310" t="str">
            <v>51</v>
          </cell>
          <cell r="D310" t="str">
            <v>投資有価証券－売却</v>
          </cell>
        </row>
        <row r="311">
          <cell r="A311" t="str">
            <v>27036161</v>
          </cell>
          <cell r="C311" t="str">
            <v>61</v>
          </cell>
          <cell r="D311" t="str">
            <v>投資有価証券－評価損</v>
          </cell>
        </row>
        <row r="312">
          <cell r="A312" t="str">
            <v>27036262</v>
          </cell>
          <cell r="C312" t="str">
            <v>62</v>
          </cell>
          <cell r="D312" t="str">
            <v>投資有価証券－振出</v>
          </cell>
        </row>
        <row r="313">
          <cell r="A313" t="str">
            <v>27036666</v>
          </cell>
          <cell r="C313" t="str">
            <v>66</v>
          </cell>
          <cell r="D313" t="str">
            <v>投資有価証券－評価差額</v>
          </cell>
        </row>
        <row r="314">
          <cell r="A314" t="str">
            <v>28010020</v>
          </cell>
          <cell r="C314" t="str">
            <v>20</v>
          </cell>
          <cell r="D314" t="str">
            <v>出資金－期首</v>
          </cell>
        </row>
        <row r="315">
          <cell r="A315" t="str">
            <v>28023636</v>
          </cell>
          <cell r="C315" t="str">
            <v>36</v>
          </cell>
          <cell r="D315" t="str">
            <v>出資金－出資</v>
          </cell>
        </row>
        <row r="316">
          <cell r="A316" t="str">
            <v>28026767</v>
          </cell>
          <cell r="C316" t="str">
            <v>67</v>
          </cell>
          <cell r="D316" t="str">
            <v>出資金－期末換算差損益</v>
          </cell>
        </row>
        <row r="317">
          <cell r="A317" t="str">
            <v>28031055</v>
          </cell>
          <cell r="C317" t="str">
            <v>55</v>
          </cell>
          <cell r="D317" t="str">
            <v>出資金－減少</v>
          </cell>
        </row>
        <row r="318">
          <cell r="A318" t="str">
            <v>29010020</v>
          </cell>
          <cell r="C318" t="str">
            <v>20</v>
          </cell>
          <cell r="D318" t="str">
            <v>長期前払費用-期首</v>
          </cell>
        </row>
        <row r="319">
          <cell r="A319" t="str">
            <v>29023333</v>
          </cell>
          <cell r="C319" t="str">
            <v>33</v>
          </cell>
          <cell r="D319" t="str">
            <v>長期前払費用-繰入</v>
          </cell>
        </row>
        <row r="320">
          <cell r="A320" t="str">
            <v>29026767</v>
          </cell>
          <cell r="C320" t="str">
            <v>67</v>
          </cell>
          <cell r="D320" t="str">
            <v>長期前払費用-期末換算差損益</v>
          </cell>
        </row>
        <row r="321">
          <cell r="A321" t="str">
            <v>29031043</v>
          </cell>
          <cell r="C321" t="str">
            <v>43</v>
          </cell>
          <cell r="D321" t="str">
            <v>長期前払費用-当期減価償却費</v>
          </cell>
        </row>
        <row r="322">
          <cell r="A322" t="str">
            <v>30010010</v>
          </cell>
          <cell r="C322" t="str">
            <v>10</v>
          </cell>
          <cell r="D322" t="str">
            <v>役員退職年金積立基金－期首</v>
          </cell>
        </row>
        <row r="323">
          <cell r="A323" t="str">
            <v>30023310</v>
          </cell>
          <cell r="C323" t="str">
            <v>10</v>
          </cell>
          <cell r="D323" t="str">
            <v>役員退職年金積立基金－繰入</v>
          </cell>
        </row>
        <row r="324">
          <cell r="A324" t="str">
            <v>30024810</v>
          </cell>
          <cell r="C324" t="str">
            <v>10</v>
          </cell>
          <cell r="D324" t="str">
            <v>役員退職年金積立基金－振替</v>
          </cell>
        </row>
        <row r="325">
          <cell r="A325" t="str">
            <v>30031010</v>
          </cell>
          <cell r="C325" t="str">
            <v>10</v>
          </cell>
          <cell r="D325" t="str">
            <v>役員退職年金積立基金－解約</v>
          </cell>
        </row>
        <row r="326">
          <cell r="A326" t="str">
            <v>30010020</v>
          </cell>
          <cell r="C326" t="str">
            <v>20</v>
          </cell>
          <cell r="D326" t="str">
            <v>役員保険積金－期首</v>
          </cell>
        </row>
        <row r="327">
          <cell r="A327" t="str">
            <v>30023320</v>
          </cell>
          <cell r="C327" t="str">
            <v>20</v>
          </cell>
          <cell r="D327" t="str">
            <v>役員保険積金－取得</v>
          </cell>
        </row>
        <row r="328">
          <cell r="A328" t="str">
            <v>30023420</v>
          </cell>
          <cell r="C328" t="str">
            <v>20</v>
          </cell>
          <cell r="D328" t="str">
            <v>役員保険積金－繰入</v>
          </cell>
        </row>
        <row r="329">
          <cell r="A329" t="str">
            <v>30024820</v>
          </cell>
          <cell r="C329" t="str">
            <v>20</v>
          </cell>
          <cell r="D329" t="str">
            <v>役員保険積金－振替</v>
          </cell>
        </row>
        <row r="330">
          <cell r="A330" t="str">
            <v>30031020</v>
          </cell>
          <cell r="C330" t="str">
            <v>20</v>
          </cell>
          <cell r="D330" t="str">
            <v>役員保険積金－解約</v>
          </cell>
        </row>
        <row r="331">
          <cell r="A331" t="str">
            <v>31010020</v>
          </cell>
          <cell r="C331" t="str">
            <v>20</v>
          </cell>
          <cell r="D331" t="str">
            <v>その他の投資－期首</v>
          </cell>
        </row>
        <row r="332">
          <cell r="A332" t="str">
            <v>31023434</v>
          </cell>
          <cell r="C332" t="str">
            <v>34</v>
          </cell>
          <cell r="D332" t="str">
            <v>その他の投資－取得</v>
          </cell>
        </row>
        <row r="333">
          <cell r="A333" t="str">
            <v>31024848</v>
          </cell>
          <cell r="C333" t="str">
            <v>48</v>
          </cell>
          <cell r="D333" t="str">
            <v>その他の投資－振替</v>
          </cell>
        </row>
        <row r="334">
          <cell r="A334" t="str">
            <v>31026666</v>
          </cell>
          <cell r="C334" t="str">
            <v>66</v>
          </cell>
          <cell r="D334" t="str">
            <v>その他の投資－評価差額</v>
          </cell>
        </row>
        <row r="335">
          <cell r="A335" t="str">
            <v>31026767</v>
          </cell>
          <cell r="C335" t="str">
            <v>67</v>
          </cell>
          <cell r="D335" t="str">
            <v>その他の投資－期末換算差損益</v>
          </cell>
        </row>
        <row r="336">
          <cell r="A336" t="str">
            <v>31035151</v>
          </cell>
          <cell r="C336" t="str">
            <v>51</v>
          </cell>
          <cell r="D336" t="str">
            <v>その他の投資－売却</v>
          </cell>
        </row>
        <row r="337">
          <cell r="A337" t="str">
            <v>31036464</v>
          </cell>
          <cell r="C337" t="str">
            <v>64</v>
          </cell>
          <cell r="D337" t="str">
            <v>その他の投資－解約</v>
          </cell>
        </row>
        <row r="338">
          <cell r="A338" t="str">
            <v>32010020</v>
          </cell>
          <cell r="C338" t="str">
            <v>20</v>
          </cell>
          <cell r="D338" t="str">
            <v>開業費－期首</v>
          </cell>
        </row>
        <row r="339">
          <cell r="A339" t="str">
            <v>32023333</v>
          </cell>
          <cell r="C339" t="str">
            <v>33</v>
          </cell>
          <cell r="D339" t="str">
            <v>開業費－繰入</v>
          </cell>
        </row>
        <row r="340">
          <cell r="A340" t="str">
            <v>32026767</v>
          </cell>
          <cell r="C340" t="str">
            <v>67</v>
          </cell>
          <cell r="D340" t="str">
            <v>開業費－期末換算差損益</v>
          </cell>
        </row>
        <row r="341">
          <cell r="A341" t="str">
            <v>32034343</v>
          </cell>
          <cell r="C341" t="str">
            <v>43</v>
          </cell>
          <cell r="D341" t="str">
            <v>開業費-当期減価償却費</v>
          </cell>
        </row>
        <row r="342">
          <cell r="A342" t="str">
            <v>40010020</v>
          </cell>
          <cell r="C342" t="str">
            <v>20</v>
          </cell>
          <cell r="D342" t="str">
            <v>短期借入金－期首</v>
          </cell>
        </row>
        <row r="343">
          <cell r="A343" t="str">
            <v>40010010</v>
          </cell>
          <cell r="C343" t="str">
            <v>10</v>
          </cell>
          <cell r="D343" t="str">
            <v>長期借入金－期首</v>
          </cell>
        </row>
        <row r="344">
          <cell r="A344" t="str">
            <v>40022037</v>
          </cell>
          <cell r="C344" t="str">
            <v>37</v>
          </cell>
          <cell r="D344" t="str">
            <v>短期借入金－借入</v>
          </cell>
        </row>
        <row r="345">
          <cell r="A345" t="str">
            <v>40022010</v>
          </cell>
          <cell r="C345" t="str">
            <v>10</v>
          </cell>
          <cell r="D345" t="str">
            <v>長期借入金－借入</v>
          </cell>
        </row>
        <row r="346">
          <cell r="A346" t="str">
            <v>40024848</v>
          </cell>
          <cell r="C346" t="str">
            <v>48</v>
          </cell>
          <cell r="D346" t="str">
            <v>短期借入金－振替</v>
          </cell>
        </row>
        <row r="347">
          <cell r="A347" t="str">
            <v>40024810</v>
          </cell>
          <cell r="C347" t="str">
            <v>10</v>
          </cell>
          <cell r="D347" t="str">
            <v>長期借入金－振替</v>
          </cell>
        </row>
        <row r="348">
          <cell r="A348" t="str">
            <v>40026767</v>
          </cell>
          <cell r="C348" t="str">
            <v>67</v>
          </cell>
          <cell r="D348" t="str">
            <v>短期借入金－期末換算差損益</v>
          </cell>
        </row>
        <row r="349">
          <cell r="A349" t="str">
            <v>40026710</v>
          </cell>
          <cell r="C349" t="str">
            <v>10</v>
          </cell>
          <cell r="D349" t="str">
            <v>長期借入金－期末換算差損益</v>
          </cell>
        </row>
        <row r="350">
          <cell r="A350" t="str">
            <v>40031063</v>
          </cell>
          <cell r="C350" t="str">
            <v>63</v>
          </cell>
          <cell r="D350" t="str">
            <v>短期借入金－返済</v>
          </cell>
        </row>
        <row r="351">
          <cell r="A351" t="str">
            <v>40031010</v>
          </cell>
          <cell r="C351" t="str">
            <v>10</v>
          </cell>
          <cell r="D351" t="str">
            <v>長期借入金－返済</v>
          </cell>
        </row>
        <row r="352">
          <cell r="A352" t="str">
            <v>300000</v>
          </cell>
          <cell r="D352" t="str">
            <v>材料費</v>
          </cell>
        </row>
        <row r="353">
          <cell r="A353" t="str">
            <v>300100</v>
          </cell>
          <cell r="D353" t="str">
            <v>材料期首棚卸高</v>
          </cell>
        </row>
        <row r="354">
          <cell r="A354" t="str">
            <v>300200</v>
          </cell>
          <cell r="D354" t="str">
            <v>材料期首棚卸調整額</v>
          </cell>
        </row>
        <row r="355">
          <cell r="A355" t="str">
            <v>300300</v>
          </cell>
          <cell r="D355" t="str">
            <v>当期仕入高</v>
          </cell>
        </row>
        <row r="356">
          <cell r="A356" t="str">
            <v>300400</v>
          </cell>
          <cell r="D356" t="str">
            <v>外注加工費及び回収高</v>
          </cell>
        </row>
        <row r="357">
          <cell r="A357" t="str">
            <v>300500</v>
          </cell>
          <cell r="D357" t="str">
            <v>他勘定受入高</v>
          </cell>
        </row>
        <row r="358">
          <cell r="A358" t="str">
            <v>300990</v>
          </cell>
          <cell r="D358" t="str">
            <v>小計</v>
          </cell>
        </row>
        <row r="359">
          <cell r="A359" t="str">
            <v>301100</v>
          </cell>
          <cell r="D359" t="str">
            <v>材料期末棚卸高</v>
          </cell>
        </row>
        <row r="360">
          <cell r="A360" t="str">
            <v>301200</v>
          </cell>
          <cell r="D360" t="str">
            <v>材料期末棚卸調整額</v>
          </cell>
        </row>
        <row r="361">
          <cell r="A361" t="str">
            <v>301300</v>
          </cell>
          <cell r="D361" t="str">
            <v>材料売却高</v>
          </cell>
        </row>
        <row r="362">
          <cell r="A362" t="str">
            <v>301400</v>
          </cell>
          <cell r="D362" t="str">
            <v>材料払出差異</v>
          </cell>
        </row>
        <row r="363">
          <cell r="A363" t="str">
            <v>301500</v>
          </cell>
          <cell r="D363" t="str">
            <v>材料受入差異</v>
          </cell>
        </row>
        <row r="364">
          <cell r="A364" t="str">
            <v>301600</v>
          </cell>
          <cell r="D364" t="str">
            <v>他勘定振替高</v>
          </cell>
        </row>
        <row r="365">
          <cell r="A365" t="str">
            <v>301700</v>
          </cell>
          <cell r="D365" t="str">
            <v>材料有償支給高</v>
          </cell>
        </row>
        <row r="366">
          <cell r="A366" t="str">
            <v>310000</v>
          </cell>
          <cell r="D366" t="str">
            <v>直接労務費</v>
          </cell>
        </row>
        <row r="367">
          <cell r="A367" t="str">
            <v>320000</v>
          </cell>
          <cell r="D367" t="str">
            <v>製造間接費</v>
          </cell>
        </row>
        <row r="368">
          <cell r="A368" t="str">
            <v>320100</v>
          </cell>
          <cell r="D368" t="str">
            <v>間接労務費</v>
          </cell>
        </row>
        <row r="369">
          <cell r="A369" t="str">
            <v>320200</v>
          </cell>
          <cell r="D369" t="str">
            <v>間接経費</v>
          </cell>
        </row>
        <row r="370">
          <cell r="A370" t="str">
            <v>329990</v>
          </cell>
          <cell r="D370" t="str">
            <v>製造総費用</v>
          </cell>
        </row>
        <row r="371">
          <cell r="A371" t="str">
            <v>330100</v>
          </cell>
          <cell r="D371" t="str">
            <v>仕掛品・半製品期首棚卸高</v>
          </cell>
        </row>
        <row r="372">
          <cell r="A372" t="str">
            <v>330200</v>
          </cell>
          <cell r="D372" t="str">
            <v>仕掛品・半製品期首棚卸調整額</v>
          </cell>
        </row>
        <row r="373">
          <cell r="A373" t="str">
            <v>330300</v>
          </cell>
          <cell r="D373" t="str">
            <v>製品パーツ受入高</v>
          </cell>
        </row>
        <row r="374">
          <cell r="A374" t="str">
            <v>330400</v>
          </cell>
          <cell r="D374" t="str">
            <v>半製品外注加工費及び回収高</v>
          </cell>
        </row>
        <row r="375">
          <cell r="A375" t="str">
            <v>330500</v>
          </cell>
          <cell r="D375" t="str">
            <v>他勘定受入高</v>
          </cell>
        </row>
        <row r="376">
          <cell r="A376" t="str">
            <v>330990</v>
          </cell>
          <cell r="D376" t="str">
            <v>小計</v>
          </cell>
        </row>
        <row r="377">
          <cell r="A377" t="str">
            <v>331100</v>
          </cell>
          <cell r="D377" t="str">
            <v>仕掛品・半製品期末棚卸高</v>
          </cell>
        </row>
        <row r="378">
          <cell r="A378" t="str">
            <v>331200</v>
          </cell>
          <cell r="D378" t="str">
            <v>仕掛品・半製品期末棚卸調整額</v>
          </cell>
        </row>
        <row r="379">
          <cell r="A379" t="str">
            <v>331300</v>
          </cell>
          <cell r="D379" t="str">
            <v>半製品売却高</v>
          </cell>
        </row>
        <row r="380">
          <cell r="A380" t="str">
            <v>331400</v>
          </cell>
          <cell r="D380" t="str">
            <v>製品モーター振替高</v>
          </cell>
        </row>
        <row r="381">
          <cell r="A381" t="str">
            <v>331500</v>
          </cell>
          <cell r="D381" t="str">
            <v>半製品外注支給高</v>
          </cell>
        </row>
        <row r="382">
          <cell r="A382" t="str">
            <v>331600</v>
          </cell>
          <cell r="D382" t="str">
            <v>半製品受入差異</v>
          </cell>
        </row>
        <row r="383">
          <cell r="A383" t="str">
            <v>331700</v>
          </cell>
          <cell r="D383" t="str">
            <v>他勘定振替高</v>
          </cell>
        </row>
        <row r="384">
          <cell r="A384" t="str">
            <v>331800</v>
          </cell>
          <cell r="D384" t="str">
            <v>固定資産振替高</v>
          </cell>
        </row>
        <row r="385">
          <cell r="A385" t="str">
            <v>331900</v>
          </cell>
          <cell r="D385" t="str">
            <v>工作課用役費振替高</v>
          </cell>
        </row>
        <row r="386">
          <cell r="A386" t="str">
            <v>339990</v>
          </cell>
          <cell r="D386" t="str">
            <v>実際製造原価</v>
          </cell>
        </row>
        <row r="387">
          <cell r="A387" t="str">
            <v>349990</v>
          </cell>
          <cell r="D387" t="str">
            <v>予定製造原価</v>
          </cell>
        </row>
        <row r="388">
          <cell r="A388" t="str">
            <v>359990</v>
          </cell>
          <cell r="D388" t="str">
            <v>原価差額</v>
          </cell>
        </row>
        <row r="389">
          <cell r="A389" t="str">
            <v>360190</v>
          </cell>
          <cell r="D389" t="str">
            <v>うち仕損品額</v>
          </cell>
        </row>
        <row r="390">
          <cell r="A390" t="str">
            <v>400100</v>
          </cell>
          <cell r="D390" t="str">
            <v>給料手当</v>
          </cell>
        </row>
        <row r="391">
          <cell r="A391" t="str">
            <v>400200</v>
          </cell>
          <cell r="D391" t="str">
            <v>雑給</v>
          </cell>
        </row>
        <row r="392">
          <cell r="A392" t="str">
            <v>400300</v>
          </cell>
          <cell r="D392" t="str">
            <v>賞与金</v>
          </cell>
        </row>
        <row r="393">
          <cell r="A393" t="str">
            <v>400400</v>
          </cell>
          <cell r="D393" t="str">
            <v>賞与金繰入</v>
          </cell>
        </row>
        <row r="394">
          <cell r="A394" t="str">
            <v>400500</v>
          </cell>
          <cell r="D394" t="str">
            <v>退職金</v>
          </cell>
        </row>
        <row r="395">
          <cell r="A395" t="str">
            <v>400600</v>
          </cell>
          <cell r="D395" t="str">
            <v>退職金繰入</v>
          </cell>
        </row>
        <row r="396">
          <cell r="A396" t="str">
            <v>400700</v>
          </cell>
          <cell r="D396" t="str">
            <v>役員報酬</v>
          </cell>
        </row>
        <row r="397">
          <cell r="A397" t="str">
            <v>400800</v>
          </cell>
          <cell r="D397" t="str">
            <v>株式報酬費用</v>
          </cell>
        </row>
        <row r="398">
          <cell r="A398" t="str">
            <v>400900</v>
          </cell>
          <cell r="D398" t="str">
            <v>適格年金掛金</v>
          </cell>
        </row>
        <row r="399">
          <cell r="A399" t="str">
            <v>401000</v>
          </cell>
          <cell r="D399" t="str">
            <v>法定福利費</v>
          </cell>
        </row>
        <row r="400">
          <cell r="A400" t="str">
            <v>401100</v>
          </cell>
          <cell r="D400" t="str">
            <v>福利厚生費</v>
          </cell>
        </row>
        <row r="401">
          <cell r="A401" t="str">
            <v>401200</v>
          </cell>
          <cell r="D401" t="str">
            <v>教育訓練費</v>
          </cell>
        </row>
        <row r="402">
          <cell r="A402" t="str">
            <v>401300</v>
          </cell>
          <cell r="D402" t="str">
            <v>募集費</v>
          </cell>
        </row>
        <row r="403">
          <cell r="A403" t="str">
            <v>401400</v>
          </cell>
          <cell r="D403" t="str">
            <v>労務管理費</v>
          </cell>
        </row>
        <row r="404">
          <cell r="A404" t="str">
            <v>401500</v>
          </cell>
          <cell r="D404" t="str">
            <v>適格年金過去勤務掛金</v>
          </cell>
        </row>
        <row r="405">
          <cell r="A405" t="str">
            <v>401600</v>
          </cell>
          <cell r="D405" t="str">
            <v>退職給付引当金繰入額</v>
          </cell>
        </row>
        <row r="406">
          <cell r="A406" t="str">
            <v>401990</v>
          </cell>
          <cell r="D406" t="str">
            <v>労務費計</v>
          </cell>
        </row>
        <row r="407">
          <cell r="A407" t="str">
            <v>402100</v>
          </cell>
          <cell r="D407" t="str">
            <v>販売手数料</v>
          </cell>
        </row>
        <row r="408">
          <cell r="A408" t="str">
            <v>402200</v>
          </cell>
          <cell r="D408" t="str">
            <v>発送配達費</v>
          </cell>
        </row>
        <row r="409">
          <cell r="A409" t="str">
            <v>402300</v>
          </cell>
          <cell r="D409" t="str">
            <v>船積諸掛</v>
          </cell>
        </row>
        <row r="410">
          <cell r="A410" t="str">
            <v>402400</v>
          </cell>
          <cell r="D410" t="str">
            <v>見本品費</v>
          </cell>
        </row>
        <row r="411">
          <cell r="A411" t="str">
            <v>402500</v>
          </cell>
          <cell r="D411" t="str">
            <v>広告宣伝費</v>
          </cell>
        </row>
        <row r="412">
          <cell r="A412" t="str">
            <v>402600</v>
          </cell>
          <cell r="D412" t="str">
            <v>交際接待費</v>
          </cell>
        </row>
        <row r="413">
          <cell r="A413" t="str">
            <v>402700</v>
          </cell>
          <cell r="D413" t="str">
            <v>会議費</v>
          </cell>
        </row>
        <row r="414">
          <cell r="A414" t="str">
            <v>402800</v>
          </cell>
          <cell r="D414" t="str">
            <v>寄付金</v>
          </cell>
        </row>
        <row r="415">
          <cell r="A415" t="str">
            <v>402900</v>
          </cell>
          <cell r="D415" t="str">
            <v>電気代</v>
          </cell>
        </row>
        <row r="416">
          <cell r="A416" t="str">
            <v>403000</v>
          </cell>
          <cell r="D416" t="str">
            <v>ガス水道料</v>
          </cell>
        </row>
        <row r="417">
          <cell r="A417" t="str">
            <v>403100</v>
          </cell>
          <cell r="D417" t="str">
            <v>燃料費</v>
          </cell>
        </row>
        <row r="418">
          <cell r="A418" t="str">
            <v>403200</v>
          </cell>
          <cell r="D418" t="str">
            <v>旅費交通費</v>
          </cell>
        </row>
        <row r="419">
          <cell r="A419" t="str">
            <v>403300</v>
          </cell>
          <cell r="D419" t="str">
            <v>通信費</v>
          </cell>
        </row>
        <row r="420">
          <cell r="A420" t="str">
            <v>403400</v>
          </cell>
          <cell r="D420" t="str">
            <v>保険料</v>
          </cell>
        </row>
        <row r="421">
          <cell r="A421" t="str">
            <v>403500</v>
          </cell>
          <cell r="D421" t="str">
            <v>消耗品費</v>
          </cell>
        </row>
        <row r="422">
          <cell r="A422" t="str">
            <v>403600</v>
          </cell>
          <cell r="D422" t="str">
            <v>消耗工具・器具備品費</v>
          </cell>
        </row>
        <row r="423">
          <cell r="A423" t="str">
            <v>403700</v>
          </cell>
          <cell r="D423" t="str">
            <v>金型費</v>
          </cell>
        </row>
        <row r="424">
          <cell r="A424" t="str">
            <v>403800</v>
          </cell>
          <cell r="D424" t="str">
            <v>工作課用役費</v>
          </cell>
        </row>
        <row r="425">
          <cell r="A425" t="str">
            <v>403900</v>
          </cell>
          <cell r="D425" t="str">
            <v>修繕費</v>
          </cell>
        </row>
        <row r="426">
          <cell r="A426" t="str">
            <v>404000</v>
          </cell>
          <cell r="D426" t="str">
            <v>租税公課</v>
          </cell>
        </row>
        <row r="427">
          <cell r="A427" t="str">
            <v>404100</v>
          </cell>
          <cell r="D427" t="str">
            <v>減価償却費</v>
          </cell>
        </row>
        <row r="428">
          <cell r="A428" t="str">
            <v>404200</v>
          </cell>
          <cell r="D428" t="str">
            <v>繰延資産償却費</v>
          </cell>
        </row>
        <row r="429">
          <cell r="A429" t="str">
            <v>404300</v>
          </cell>
          <cell r="D429" t="str">
            <v>銀行関係手数料</v>
          </cell>
        </row>
        <row r="430">
          <cell r="A430" t="str">
            <v>404400</v>
          </cell>
          <cell r="D430" t="str">
            <v>支払手数料</v>
          </cell>
        </row>
        <row r="431">
          <cell r="A431" t="str">
            <v>404500</v>
          </cell>
          <cell r="D431" t="str">
            <v>業務委託費</v>
          </cell>
        </row>
        <row r="432">
          <cell r="A432" t="str">
            <v>404600</v>
          </cell>
          <cell r="D432" t="str">
            <v>会計士監査料</v>
          </cell>
        </row>
        <row r="433">
          <cell r="A433" t="str">
            <v>404700</v>
          </cell>
          <cell r="D433" t="str">
            <v>リース料</v>
          </cell>
        </row>
        <row r="434">
          <cell r="A434" t="str">
            <v>404800</v>
          </cell>
          <cell r="D434" t="str">
            <v>賃借料</v>
          </cell>
        </row>
        <row r="435">
          <cell r="A435" t="str">
            <v>404900</v>
          </cell>
          <cell r="D435" t="str">
            <v>図書新聞費</v>
          </cell>
        </row>
        <row r="436">
          <cell r="A436" t="str">
            <v>405000</v>
          </cell>
          <cell r="D436" t="str">
            <v>組合会費</v>
          </cell>
        </row>
        <row r="437">
          <cell r="A437" t="str">
            <v>405100</v>
          </cell>
          <cell r="D437" t="str">
            <v>工会費</v>
          </cell>
        </row>
        <row r="438">
          <cell r="A438" t="str">
            <v>405200</v>
          </cell>
          <cell r="D438" t="str">
            <v>外注加工費</v>
          </cell>
        </row>
        <row r="439">
          <cell r="A439" t="str">
            <v>405300</v>
          </cell>
          <cell r="D439" t="str">
            <v>技術援助料</v>
          </cell>
        </row>
        <row r="440">
          <cell r="A440" t="str">
            <v>405400</v>
          </cell>
          <cell r="D440" t="str">
            <v>経営援助料</v>
          </cell>
        </row>
        <row r="441">
          <cell r="A441" t="str">
            <v>405500</v>
          </cell>
          <cell r="D441" t="str">
            <v>顧問料</v>
          </cell>
        </row>
        <row r="442">
          <cell r="A442" t="str">
            <v>405600</v>
          </cell>
          <cell r="D442" t="str">
            <v>研究費</v>
          </cell>
        </row>
        <row r="443">
          <cell r="A443" t="str">
            <v>405700</v>
          </cell>
          <cell r="D443" t="str">
            <v>特許関係費</v>
          </cell>
        </row>
        <row r="444">
          <cell r="A444" t="str">
            <v>405800</v>
          </cell>
          <cell r="D444" t="str">
            <v>貸倒引当金繰入額</v>
          </cell>
        </row>
        <row r="445">
          <cell r="A445" t="str">
            <v>405900</v>
          </cell>
          <cell r="D445" t="str">
            <v>貸倒損失</v>
          </cell>
        </row>
        <row r="446">
          <cell r="A446" t="str">
            <v>406000</v>
          </cell>
          <cell r="D446" t="str">
            <v>債権償却特別勘定繰入</v>
          </cell>
        </row>
        <row r="447">
          <cell r="A447" t="str">
            <v>406100</v>
          </cell>
          <cell r="D447" t="str">
            <v>事業税引当金繰入</v>
          </cell>
        </row>
        <row r="448">
          <cell r="A448" t="str">
            <v>406200</v>
          </cell>
          <cell r="D448" t="str">
            <v>事業所税引当金繰入</v>
          </cell>
        </row>
        <row r="449">
          <cell r="A449" t="str">
            <v>406300</v>
          </cell>
          <cell r="D449" t="str">
            <v>支払賠償金</v>
          </cell>
        </row>
        <row r="450">
          <cell r="A450" t="str">
            <v>406400</v>
          </cell>
          <cell r="D450" t="str">
            <v>雑費</v>
          </cell>
        </row>
        <row r="451">
          <cell r="A451" t="str">
            <v>406500</v>
          </cell>
          <cell r="D451" t="str">
            <v>外労諸費</v>
          </cell>
        </row>
        <row r="452">
          <cell r="A452" t="str">
            <v>406600</v>
          </cell>
          <cell r="D452" t="str">
            <v>運賃</v>
          </cell>
        </row>
        <row r="453">
          <cell r="A453" t="str">
            <v>406990</v>
          </cell>
          <cell r="D453" t="str">
            <v>経費計</v>
          </cell>
        </row>
        <row r="454">
          <cell r="A454" t="str">
            <v>409990</v>
          </cell>
          <cell r="D454" t="str">
            <v>販売費・一般管理費合計</v>
          </cell>
        </row>
        <row r="455">
          <cell r="A455" t="str">
            <v>410100</v>
          </cell>
          <cell r="D455" t="str">
            <v>給料手当</v>
          </cell>
        </row>
        <row r="456">
          <cell r="A456" t="str">
            <v>410110</v>
          </cell>
          <cell r="D456" t="str">
            <v>給料手当－現地スタッフ</v>
          </cell>
        </row>
        <row r="457">
          <cell r="A457" t="str">
            <v>410120</v>
          </cell>
          <cell r="D457" t="str">
            <v>給料手当－日本人スタッフ</v>
          </cell>
        </row>
        <row r="458">
          <cell r="A458" t="str">
            <v>410200</v>
          </cell>
          <cell r="D458" t="str">
            <v>雑給</v>
          </cell>
        </row>
        <row r="459">
          <cell r="A459" t="str">
            <v>410300</v>
          </cell>
          <cell r="D459" t="str">
            <v>賞与金</v>
          </cell>
        </row>
        <row r="460">
          <cell r="A460" t="str">
            <v>410310</v>
          </cell>
          <cell r="D460" t="str">
            <v>賞与金－現地スタッフ</v>
          </cell>
        </row>
        <row r="461">
          <cell r="A461" t="str">
            <v>410320</v>
          </cell>
          <cell r="D461" t="str">
            <v>賞与金－日本人スタッフ</v>
          </cell>
        </row>
        <row r="462">
          <cell r="A462" t="str">
            <v>410400</v>
          </cell>
          <cell r="D462" t="str">
            <v>賞与金繰入</v>
          </cell>
        </row>
        <row r="463">
          <cell r="A463" t="str">
            <v>410500</v>
          </cell>
          <cell r="D463" t="str">
            <v>退職金</v>
          </cell>
        </row>
        <row r="464">
          <cell r="A464" t="str">
            <v>410600</v>
          </cell>
          <cell r="D464" t="str">
            <v>退職金繰入</v>
          </cell>
        </row>
        <row r="465">
          <cell r="A465" t="str">
            <v>410700</v>
          </cell>
          <cell r="D465" t="str">
            <v>役員報酬</v>
          </cell>
        </row>
        <row r="466">
          <cell r="A466" t="str">
            <v>410800</v>
          </cell>
          <cell r="D466" t="str">
            <v>役員退職慰労金</v>
          </cell>
        </row>
        <row r="467">
          <cell r="A467" t="str">
            <v>410900</v>
          </cell>
          <cell r="D467" t="str">
            <v>適格年金掛金</v>
          </cell>
        </row>
        <row r="468">
          <cell r="A468" t="str">
            <v>411000</v>
          </cell>
          <cell r="D468" t="str">
            <v>法定福利費</v>
          </cell>
        </row>
        <row r="469">
          <cell r="A469" t="str">
            <v>411100</v>
          </cell>
          <cell r="D469" t="str">
            <v>福利厚生費</v>
          </cell>
        </row>
        <row r="470">
          <cell r="A470" t="str">
            <v>411200</v>
          </cell>
          <cell r="D470" t="str">
            <v>教育訓練費</v>
          </cell>
        </row>
        <row r="471">
          <cell r="A471" t="str">
            <v>411300</v>
          </cell>
          <cell r="D471" t="str">
            <v>募集費</v>
          </cell>
        </row>
        <row r="472">
          <cell r="A472" t="str">
            <v>411400</v>
          </cell>
          <cell r="D472" t="str">
            <v>労務管理費</v>
          </cell>
        </row>
        <row r="473">
          <cell r="A473" t="str">
            <v>411500</v>
          </cell>
          <cell r="D473" t="str">
            <v>適格年金過去勤務掛金</v>
          </cell>
        </row>
        <row r="474">
          <cell r="A474" t="str">
            <v>411600</v>
          </cell>
          <cell r="D474" t="str">
            <v>退職給付引当金繰入額</v>
          </cell>
        </row>
        <row r="475">
          <cell r="A475" t="str">
            <v>412100</v>
          </cell>
          <cell r="D475" t="str">
            <v>販売手数料</v>
          </cell>
        </row>
        <row r="476">
          <cell r="A476" t="str">
            <v>412100</v>
          </cell>
          <cell r="D476" t="str">
            <v>販売手数料相手先あり</v>
          </cell>
        </row>
        <row r="477">
          <cell r="A477" t="str">
            <v>412100</v>
          </cell>
          <cell r="D477" t="str">
            <v>販売手数料その他</v>
          </cell>
        </row>
        <row r="478">
          <cell r="A478" t="str">
            <v>412200</v>
          </cell>
          <cell r="D478" t="str">
            <v>発送配達費</v>
          </cell>
        </row>
        <row r="479">
          <cell r="A479" t="str">
            <v>412300</v>
          </cell>
          <cell r="D479" t="str">
            <v>船積諸掛</v>
          </cell>
        </row>
        <row r="480">
          <cell r="A480" t="str">
            <v>412400</v>
          </cell>
          <cell r="D480" t="str">
            <v>見本品費</v>
          </cell>
        </row>
        <row r="481">
          <cell r="A481" t="str">
            <v>412500</v>
          </cell>
          <cell r="D481" t="str">
            <v>広告宣伝費</v>
          </cell>
        </row>
        <row r="482">
          <cell r="A482" t="str">
            <v>412600</v>
          </cell>
          <cell r="D482" t="str">
            <v>交際接待費</v>
          </cell>
        </row>
        <row r="483">
          <cell r="A483" t="str">
            <v>412700</v>
          </cell>
          <cell r="D483" t="str">
            <v>会議費</v>
          </cell>
        </row>
        <row r="484">
          <cell r="A484" t="str">
            <v>412800</v>
          </cell>
          <cell r="D484" t="str">
            <v>寄付金</v>
          </cell>
        </row>
        <row r="485">
          <cell r="A485" t="str">
            <v>412900</v>
          </cell>
          <cell r="D485" t="str">
            <v>電気代</v>
          </cell>
        </row>
        <row r="486">
          <cell r="A486" t="str">
            <v>413000</v>
          </cell>
          <cell r="D486" t="str">
            <v>ガス水道料</v>
          </cell>
        </row>
        <row r="487">
          <cell r="A487" t="str">
            <v>413100</v>
          </cell>
          <cell r="D487" t="str">
            <v>燃料費</v>
          </cell>
        </row>
        <row r="488">
          <cell r="A488" t="str">
            <v>413200</v>
          </cell>
          <cell r="D488" t="str">
            <v>旅費交通費</v>
          </cell>
        </row>
        <row r="489">
          <cell r="A489" t="str">
            <v>413300</v>
          </cell>
          <cell r="D489" t="str">
            <v>通信費</v>
          </cell>
        </row>
        <row r="490">
          <cell r="A490" t="str">
            <v>413400</v>
          </cell>
          <cell r="D490" t="str">
            <v>保険料</v>
          </cell>
        </row>
        <row r="491">
          <cell r="A491" t="str">
            <v>413500</v>
          </cell>
          <cell r="D491" t="str">
            <v>消耗品費</v>
          </cell>
        </row>
        <row r="492">
          <cell r="A492" t="str">
            <v>413600</v>
          </cell>
          <cell r="D492" t="str">
            <v>消耗工具・器具備品費</v>
          </cell>
        </row>
        <row r="493">
          <cell r="A493" t="str">
            <v>413700</v>
          </cell>
          <cell r="D493" t="str">
            <v>金型費</v>
          </cell>
        </row>
        <row r="494">
          <cell r="A494" t="str">
            <v>413800</v>
          </cell>
          <cell r="D494" t="str">
            <v>工作課用役費</v>
          </cell>
        </row>
        <row r="495">
          <cell r="A495" t="str">
            <v>413900</v>
          </cell>
          <cell r="D495" t="str">
            <v>修繕費</v>
          </cell>
        </row>
        <row r="496">
          <cell r="A496" t="str">
            <v>414000</v>
          </cell>
          <cell r="D496" t="str">
            <v>租税公課</v>
          </cell>
        </row>
        <row r="497">
          <cell r="A497" t="str">
            <v>414100</v>
          </cell>
          <cell r="D497" t="str">
            <v>減価償却費</v>
          </cell>
        </row>
        <row r="498">
          <cell r="A498" t="str">
            <v>414200</v>
          </cell>
          <cell r="D498" t="str">
            <v>繰延資産償却費</v>
          </cell>
        </row>
        <row r="499">
          <cell r="A499" t="str">
            <v>414300</v>
          </cell>
          <cell r="D499" t="str">
            <v>銀行関係手数料</v>
          </cell>
        </row>
        <row r="500">
          <cell r="A500" t="str">
            <v>414400</v>
          </cell>
          <cell r="D500" t="str">
            <v>支払手数料</v>
          </cell>
        </row>
        <row r="501">
          <cell r="A501" t="str">
            <v>414410</v>
          </cell>
          <cell r="D501" t="str">
            <v>支払手数料－翻訳料･図面開示料</v>
          </cell>
        </row>
        <row r="502">
          <cell r="A502" t="str">
            <v>414420</v>
          </cell>
          <cell r="D502" t="str">
            <v>支払手数料－その他</v>
          </cell>
        </row>
        <row r="503">
          <cell r="A503" t="str">
            <v>414500</v>
          </cell>
          <cell r="D503" t="str">
            <v>業務委託費</v>
          </cell>
        </row>
        <row r="504">
          <cell r="A504" t="str">
            <v>414600</v>
          </cell>
          <cell r="D504" t="str">
            <v>会計士監査料</v>
          </cell>
        </row>
        <row r="505">
          <cell r="A505" t="str">
            <v>414700</v>
          </cell>
          <cell r="D505" t="str">
            <v>リース料</v>
          </cell>
        </row>
        <row r="506">
          <cell r="A506" t="str">
            <v>414800</v>
          </cell>
          <cell r="D506" t="str">
            <v>賃借料</v>
          </cell>
        </row>
        <row r="507">
          <cell r="A507" t="str">
            <v>414900</v>
          </cell>
          <cell r="D507" t="str">
            <v>図書新聞費</v>
          </cell>
        </row>
        <row r="508">
          <cell r="A508" t="str">
            <v>415000</v>
          </cell>
          <cell r="D508" t="str">
            <v>組合会費</v>
          </cell>
        </row>
        <row r="509">
          <cell r="A509" t="str">
            <v>415100</v>
          </cell>
          <cell r="D509" t="str">
            <v>工会費</v>
          </cell>
        </row>
        <row r="510">
          <cell r="A510" t="str">
            <v>415200</v>
          </cell>
          <cell r="D510" t="str">
            <v>外注加工費</v>
          </cell>
        </row>
        <row r="511">
          <cell r="A511" t="str">
            <v>415300</v>
          </cell>
          <cell r="D511" t="str">
            <v>技術援助料</v>
          </cell>
        </row>
        <row r="512">
          <cell r="A512" t="str">
            <v>415400</v>
          </cell>
          <cell r="D512" t="str">
            <v>経営援助料</v>
          </cell>
        </row>
        <row r="513">
          <cell r="A513" t="str">
            <v>415410</v>
          </cell>
          <cell r="D513" t="str">
            <v>経営援助料-日本人給料・賞与</v>
          </cell>
        </row>
        <row r="514">
          <cell r="A514" t="str">
            <v>415420</v>
          </cell>
          <cell r="D514" t="str">
            <v>経営援助料-その他</v>
          </cell>
        </row>
        <row r="515">
          <cell r="A515" t="str">
            <v>415500</v>
          </cell>
          <cell r="D515" t="str">
            <v>顧問料</v>
          </cell>
        </row>
        <row r="516">
          <cell r="A516" t="str">
            <v>415600</v>
          </cell>
          <cell r="D516" t="str">
            <v>研究費</v>
          </cell>
        </row>
        <row r="517">
          <cell r="A517" t="str">
            <v>415700</v>
          </cell>
          <cell r="D517" t="str">
            <v>特許関係費</v>
          </cell>
        </row>
        <row r="518">
          <cell r="A518" t="str">
            <v>415800</v>
          </cell>
          <cell r="D518" t="str">
            <v>貸倒引当金繰入額</v>
          </cell>
        </row>
        <row r="519">
          <cell r="A519" t="str">
            <v>415900</v>
          </cell>
          <cell r="D519" t="str">
            <v>貸倒損失</v>
          </cell>
        </row>
        <row r="520">
          <cell r="A520" t="str">
            <v>416000</v>
          </cell>
          <cell r="D520" t="str">
            <v>債権償却特別勘定繰入</v>
          </cell>
        </row>
        <row r="521">
          <cell r="A521" t="str">
            <v>416100</v>
          </cell>
          <cell r="D521" t="str">
            <v>事業税引当金繰入</v>
          </cell>
        </row>
        <row r="522">
          <cell r="A522" t="str">
            <v>416200</v>
          </cell>
          <cell r="D522" t="str">
            <v>事業所税引当金繰入</v>
          </cell>
        </row>
        <row r="523">
          <cell r="A523" t="str">
            <v>416300</v>
          </cell>
          <cell r="D523" t="str">
            <v>支払賠償金</v>
          </cell>
        </row>
        <row r="524">
          <cell r="A524" t="str">
            <v>416400</v>
          </cell>
          <cell r="D524" t="str">
            <v>雑費</v>
          </cell>
        </row>
        <row r="525">
          <cell r="A525" t="str">
            <v>416500</v>
          </cell>
          <cell r="D525" t="str">
            <v>外労諸費</v>
          </cell>
        </row>
        <row r="526">
          <cell r="A526" t="str">
            <v>416600</v>
          </cell>
          <cell r="D526" t="str">
            <v>運賃</v>
          </cell>
        </row>
        <row r="527">
          <cell r="A527" t="str">
            <v>420700</v>
          </cell>
          <cell r="D527" t="str">
            <v>役員報酬</v>
          </cell>
        </row>
        <row r="528">
          <cell r="A528" t="str">
            <v>424410</v>
          </cell>
          <cell r="D528" t="str">
            <v>支払手数料－翻訳料･図面開示料</v>
          </cell>
        </row>
        <row r="529">
          <cell r="A529" t="str">
            <v>424700</v>
          </cell>
          <cell r="D529" t="str">
            <v>リース料</v>
          </cell>
        </row>
        <row r="530">
          <cell r="A530" t="str">
            <v>424800</v>
          </cell>
          <cell r="D530" t="str">
            <v>賃借料</v>
          </cell>
        </row>
        <row r="531">
          <cell r="A531" t="str">
            <v>425400</v>
          </cell>
          <cell r="D531" t="str">
            <v>経営援助料</v>
          </cell>
        </row>
        <row r="532">
          <cell r="A532" t="str">
            <v>425420</v>
          </cell>
          <cell r="D532" t="str">
            <v>経営援助料-その他</v>
          </cell>
        </row>
        <row r="533">
          <cell r="A533" t="str">
            <v>426300</v>
          </cell>
          <cell r="D533" t="str">
            <v>支払賠償金</v>
          </cell>
        </row>
        <row r="534">
          <cell r="A534" t="str">
            <v>430100</v>
          </cell>
          <cell r="D534" t="str">
            <v>給料手当</v>
          </cell>
        </row>
        <row r="535">
          <cell r="A535" t="str">
            <v>430110</v>
          </cell>
          <cell r="D535" t="str">
            <v>給料手当－現地スタッフ</v>
          </cell>
        </row>
        <row r="536">
          <cell r="A536" t="str">
            <v>430120</v>
          </cell>
          <cell r="D536" t="str">
            <v>給料手当－日本人スタッフ</v>
          </cell>
        </row>
        <row r="537">
          <cell r="A537" t="str">
            <v>430200</v>
          </cell>
          <cell r="D537" t="str">
            <v>雑給</v>
          </cell>
        </row>
        <row r="538">
          <cell r="A538" t="str">
            <v>430300</v>
          </cell>
          <cell r="D538" t="str">
            <v>賞与金</v>
          </cell>
        </row>
        <row r="539">
          <cell r="A539" t="str">
            <v>430310</v>
          </cell>
          <cell r="D539" t="str">
            <v>賞与金－現地スタッフ</v>
          </cell>
        </row>
        <row r="540">
          <cell r="A540" t="str">
            <v>430320</v>
          </cell>
          <cell r="D540" t="str">
            <v>賞与金－日本人スタッフ</v>
          </cell>
        </row>
        <row r="541">
          <cell r="A541" t="str">
            <v>430400</v>
          </cell>
          <cell r="D541" t="str">
            <v>賞与金繰入</v>
          </cell>
        </row>
        <row r="542">
          <cell r="A542" t="str">
            <v>430500</v>
          </cell>
          <cell r="D542" t="str">
            <v>退職金</v>
          </cell>
        </row>
        <row r="543">
          <cell r="A543" t="str">
            <v>430600</v>
          </cell>
          <cell r="D543" t="str">
            <v>退職金繰入</v>
          </cell>
        </row>
        <row r="544">
          <cell r="A544" t="str">
            <v>430700</v>
          </cell>
          <cell r="D544" t="str">
            <v>役員報酬</v>
          </cell>
        </row>
        <row r="545">
          <cell r="A545" t="str">
            <v>430800</v>
          </cell>
          <cell r="D545" t="str">
            <v>役員退職慰労金</v>
          </cell>
        </row>
        <row r="546">
          <cell r="A546" t="str">
            <v>430900</v>
          </cell>
          <cell r="D546" t="str">
            <v>適格年金掛金</v>
          </cell>
        </row>
        <row r="547">
          <cell r="A547" t="str">
            <v>431000</v>
          </cell>
          <cell r="D547" t="str">
            <v>法定福利費</v>
          </cell>
        </row>
        <row r="548">
          <cell r="A548" t="str">
            <v>431100</v>
          </cell>
          <cell r="D548" t="str">
            <v>福利厚生費</v>
          </cell>
        </row>
        <row r="549">
          <cell r="A549" t="str">
            <v>431200</v>
          </cell>
          <cell r="D549" t="str">
            <v>教育訓練費</v>
          </cell>
        </row>
        <row r="550">
          <cell r="A550" t="str">
            <v>431300</v>
          </cell>
          <cell r="D550" t="str">
            <v>募集費</v>
          </cell>
        </row>
        <row r="551">
          <cell r="A551" t="str">
            <v>431400</v>
          </cell>
          <cell r="D551" t="str">
            <v>労務管理費</v>
          </cell>
        </row>
        <row r="552">
          <cell r="A552" t="str">
            <v>431600</v>
          </cell>
          <cell r="D552" t="str">
            <v>退職給付引当金繰入額</v>
          </cell>
        </row>
        <row r="553">
          <cell r="A553" t="str">
            <v>431990</v>
          </cell>
          <cell r="D553" t="str">
            <v>労務費計</v>
          </cell>
        </row>
        <row r="554">
          <cell r="A554" t="str">
            <v>432100</v>
          </cell>
          <cell r="D554" t="str">
            <v>販売手数料</v>
          </cell>
        </row>
        <row r="555">
          <cell r="A555" t="str">
            <v>432200</v>
          </cell>
          <cell r="D555" t="str">
            <v>発送配達費</v>
          </cell>
        </row>
        <row r="556">
          <cell r="A556" t="str">
            <v>432300</v>
          </cell>
          <cell r="D556" t="str">
            <v>船積諸掛</v>
          </cell>
        </row>
        <row r="557">
          <cell r="A557" t="str">
            <v>432400</v>
          </cell>
          <cell r="D557" t="str">
            <v>見本品費</v>
          </cell>
        </row>
        <row r="558">
          <cell r="A558" t="str">
            <v>432500</v>
          </cell>
          <cell r="D558" t="str">
            <v>広告宣伝費</v>
          </cell>
        </row>
        <row r="559">
          <cell r="A559" t="str">
            <v>432600</v>
          </cell>
          <cell r="D559" t="str">
            <v>交際接待費</v>
          </cell>
        </row>
        <row r="560">
          <cell r="A560" t="str">
            <v>432700</v>
          </cell>
          <cell r="D560" t="str">
            <v>会議費</v>
          </cell>
        </row>
        <row r="561">
          <cell r="A561" t="str">
            <v>432800</v>
          </cell>
          <cell r="D561" t="str">
            <v>寄付金</v>
          </cell>
        </row>
        <row r="562">
          <cell r="A562" t="str">
            <v>432900</v>
          </cell>
          <cell r="D562" t="str">
            <v>電気代</v>
          </cell>
        </row>
        <row r="563">
          <cell r="A563" t="str">
            <v>433000</v>
          </cell>
          <cell r="D563" t="str">
            <v>ガス水道料</v>
          </cell>
        </row>
        <row r="564">
          <cell r="A564" t="str">
            <v>433100</v>
          </cell>
          <cell r="D564" t="str">
            <v>燃料費</v>
          </cell>
        </row>
        <row r="565">
          <cell r="A565" t="str">
            <v>433200</v>
          </cell>
          <cell r="D565" t="str">
            <v>旅費交通費</v>
          </cell>
        </row>
        <row r="566">
          <cell r="A566" t="str">
            <v>433300</v>
          </cell>
          <cell r="D566" t="str">
            <v>通信費</v>
          </cell>
        </row>
        <row r="567">
          <cell r="A567" t="str">
            <v>433400</v>
          </cell>
          <cell r="D567" t="str">
            <v>保険料</v>
          </cell>
        </row>
        <row r="568">
          <cell r="A568" t="str">
            <v>433500</v>
          </cell>
          <cell r="D568" t="str">
            <v>消耗品費</v>
          </cell>
        </row>
        <row r="569">
          <cell r="A569" t="str">
            <v>433600</v>
          </cell>
          <cell r="D569" t="str">
            <v>消耗工具・器具備品費</v>
          </cell>
        </row>
        <row r="570">
          <cell r="A570" t="str">
            <v>433700</v>
          </cell>
          <cell r="D570" t="str">
            <v>金型費</v>
          </cell>
        </row>
        <row r="571">
          <cell r="A571" t="str">
            <v>433800</v>
          </cell>
          <cell r="D571" t="str">
            <v>工作課用役費</v>
          </cell>
        </row>
        <row r="572">
          <cell r="A572" t="str">
            <v>433900</v>
          </cell>
          <cell r="D572" t="str">
            <v>修繕費</v>
          </cell>
        </row>
        <row r="573">
          <cell r="A573" t="str">
            <v>434000</v>
          </cell>
          <cell r="D573" t="str">
            <v>租税公課</v>
          </cell>
        </row>
        <row r="574">
          <cell r="A574" t="str">
            <v>434100</v>
          </cell>
          <cell r="D574" t="str">
            <v>減価償却費</v>
          </cell>
        </row>
        <row r="575">
          <cell r="A575" t="str">
            <v>434200</v>
          </cell>
          <cell r="D575" t="str">
            <v>繰延資産償却費</v>
          </cell>
        </row>
        <row r="576">
          <cell r="A576" t="str">
            <v>434300</v>
          </cell>
          <cell r="D576" t="str">
            <v>銀行関係手数料</v>
          </cell>
        </row>
        <row r="577">
          <cell r="A577" t="str">
            <v>434400</v>
          </cell>
          <cell r="D577" t="str">
            <v>支払手数料</v>
          </cell>
        </row>
        <row r="578">
          <cell r="A578" t="str">
            <v>434500</v>
          </cell>
          <cell r="D578" t="str">
            <v>業務委託費</v>
          </cell>
        </row>
        <row r="579">
          <cell r="A579" t="str">
            <v>434600</v>
          </cell>
          <cell r="D579" t="str">
            <v>会計士監査料</v>
          </cell>
        </row>
        <row r="580">
          <cell r="A580" t="str">
            <v>434700</v>
          </cell>
          <cell r="D580" t="str">
            <v>リース料</v>
          </cell>
        </row>
        <row r="581">
          <cell r="A581" t="str">
            <v>434800</v>
          </cell>
          <cell r="D581" t="str">
            <v>賃借料</v>
          </cell>
        </row>
        <row r="582">
          <cell r="A582" t="str">
            <v>434900</v>
          </cell>
          <cell r="D582" t="str">
            <v>図書新聞費</v>
          </cell>
        </row>
        <row r="583">
          <cell r="A583" t="str">
            <v>435000</v>
          </cell>
          <cell r="D583" t="str">
            <v>組合会費</v>
          </cell>
        </row>
        <row r="584">
          <cell r="A584" t="str">
            <v>435100</v>
          </cell>
          <cell r="D584" t="str">
            <v>工会費</v>
          </cell>
        </row>
        <row r="585">
          <cell r="A585" t="str">
            <v>435200</v>
          </cell>
          <cell r="D585" t="str">
            <v>外注加工費</v>
          </cell>
        </row>
        <row r="586">
          <cell r="A586" t="str">
            <v>435300</v>
          </cell>
          <cell r="D586" t="str">
            <v>技術援助料</v>
          </cell>
        </row>
        <row r="587">
          <cell r="A587" t="str">
            <v>435400</v>
          </cell>
          <cell r="D587" t="str">
            <v>経営援助料</v>
          </cell>
        </row>
        <row r="588">
          <cell r="A588" t="str">
            <v>435500</v>
          </cell>
          <cell r="D588" t="str">
            <v>顧問料</v>
          </cell>
        </row>
        <row r="589">
          <cell r="A589" t="str">
            <v>435600</v>
          </cell>
          <cell r="D589" t="str">
            <v>研究費</v>
          </cell>
        </row>
        <row r="590">
          <cell r="A590" t="str">
            <v>435700</v>
          </cell>
          <cell r="D590" t="str">
            <v>特許関係費</v>
          </cell>
        </row>
        <row r="591">
          <cell r="A591" t="str">
            <v>435800</v>
          </cell>
          <cell r="D591" t="str">
            <v>貸倒引当金繰入額</v>
          </cell>
        </row>
        <row r="592">
          <cell r="A592" t="str">
            <v>435900</v>
          </cell>
          <cell r="D592" t="str">
            <v>貸倒損失</v>
          </cell>
        </row>
        <row r="593">
          <cell r="A593" t="str">
            <v>436000</v>
          </cell>
          <cell r="D593" t="str">
            <v>債権償却特別勘定繰入</v>
          </cell>
        </row>
        <row r="594">
          <cell r="A594" t="str">
            <v>436100</v>
          </cell>
          <cell r="D594" t="str">
            <v>事業税引当金繰入</v>
          </cell>
        </row>
        <row r="595">
          <cell r="A595" t="str">
            <v>436200</v>
          </cell>
          <cell r="D595" t="str">
            <v>事業所税引当金繰入</v>
          </cell>
        </row>
        <row r="596">
          <cell r="A596" t="str">
            <v>436300</v>
          </cell>
          <cell r="D596" t="str">
            <v>支払賠償金</v>
          </cell>
        </row>
        <row r="597">
          <cell r="A597" t="str">
            <v>436400</v>
          </cell>
          <cell r="D597" t="str">
            <v>雑費</v>
          </cell>
        </row>
        <row r="598">
          <cell r="A598" t="str">
            <v>436500</v>
          </cell>
          <cell r="D598" t="str">
            <v>外労諸費</v>
          </cell>
        </row>
        <row r="599">
          <cell r="A599" t="str">
            <v>436600</v>
          </cell>
          <cell r="D599" t="str">
            <v>運賃</v>
          </cell>
        </row>
        <row r="600">
          <cell r="A600" t="str">
            <v>436990</v>
          </cell>
          <cell r="D600" t="str">
            <v>経費計</v>
          </cell>
        </row>
        <row r="601">
          <cell r="A601" t="str">
            <v>437990</v>
          </cell>
          <cell r="D601" t="str">
            <v>合計</v>
          </cell>
        </row>
        <row r="602">
          <cell r="A602" t="str">
            <v>450100</v>
          </cell>
          <cell r="D602" t="str">
            <v>直接給料手当</v>
          </cell>
        </row>
        <row r="603">
          <cell r="A603" t="str">
            <v>450200</v>
          </cell>
          <cell r="D603" t="str">
            <v>直接雑給</v>
          </cell>
        </row>
        <row r="604">
          <cell r="A604" t="str">
            <v>450300</v>
          </cell>
          <cell r="D604" t="str">
            <v>直接賞与金</v>
          </cell>
        </row>
        <row r="605">
          <cell r="A605" t="str">
            <v>450400</v>
          </cell>
          <cell r="D605" t="str">
            <v>直接賞与金繰入</v>
          </cell>
        </row>
        <row r="606">
          <cell r="A606" t="str">
            <v>450500</v>
          </cell>
          <cell r="D606" t="str">
            <v>直接退職金</v>
          </cell>
        </row>
        <row r="607">
          <cell r="A607" t="str">
            <v>450600</v>
          </cell>
          <cell r="D607" t="str">
            <v>直接退職金繰入</v>
          </cell>
        </row>
        <row r="608">
          <cell r="A608" t="str">
            <v>450900</v>
          </cell>
          <cell r="D608" t="str">
            <v>直接適格年金掛金</v>
          </cell>
        </row>
        <row r="609">
          <cell r="A609" t="str">
            <v>451000</v>
          </cell>
          <cell r="D609" t="str">
            <v>直接法定福利費</v>
          </cell>
        </row>
        <row r="610">
          <cell r="A610" t="str">
            <v>451100</v>
          </cell>
          <cell r="D610" t="str">
            <v>直接福利厚生費</v>
          </cell>
        </row>
        <row r="611">
          <cell r="A611" t="str">
            <v>451200</v>
          </cell>
          <cell r="D611" t="str">
            <v>直接教育訓練費</v>
          </cell>
        </row>
        <row r="612">
          <cell r="A612" t="str">
            <v>451400</v>
          </cell>
          <cell r="D612" t="str">
            <v>直接労務管理費</v>
          </cell>
        </row>
        <row r="613">
          <cell r="A613" t="str">
            <v>451500</v>
          </cell>
          <cell r="D613" t="str">
            <v>直接適格年金過去勤務掛金</v>
          </cell>
        </row>
        <row r="614">
          <cell r="A614" t="str">
            <v>451600</v>
          </cell>
          <cell r="D614" t="str">
            <v>直接退職給付引当金繰入額</v>
          </cell>
        </row>
        <row r="615">
          <cell r="A615" t="str">
            <v>451990</v>
          </cell>
          <cell r="D615" t="str">
            <v>直接労務費計</v>
          </cell>
        </row>
        <row r="616">
          <cell r="A616" t="str">
            <v>460100</v>
          </cell>
          <cell r="D616" t="str">
            <v>給料手当</v>
          </cell>
        </row>
        <row r="617">
          <cell r="A617" t="str">
            <v>460110</v>
          </cell>
          <cell r="D617" t="str">
            <v>給料手当－現地スタッフ</v>
          </cell>
        </row>
        <row r="618">
          <cell r="A618" t="str">
            <v>460120</v>
          </cell>
          <cell r="D618" t="str">
            <v>給料手当－日本人スタッフ</v>
          </cell>
        </row>
        <row r="619">
          <cell r="A619" t="str">
            <v>460200</v>
          </cell>
          <cell r="D619" t="str">
            <v>雑給</v>
          </cell>
        </row>
        <row r="620">
          <cell r="A620" t="str">
            <v>460300</v>
          </cell>
          <cell r="D620" t="str">
            <v>賞与金</v>
          </cell>
        </row>
        <row r="621">
          <cell r="A621" t="str">
            <v>460310</v>
          </cell>
          <cell r="D621" t="str">
            <v>賞与金－現地スタッフ</v>
          </cell>
        </row>
        <row r="622">
          <cell r="A622" t="str">
            <v>460320</v>
          </cell>
          <cell r="D622" t="str">
            <v>賞与金－日本人スタッフ</v>
          </cell>
        </row>
        <row r="623">
          <cell r="A623" t="str">
            <v>460400</v>
          </cell>
          <cell r="D623" t="str">
            <v>賞与金繰入</v>
          </cell>
        </row>
        <row r="624">
          <cell r="A624" t="str">
            <v>460500</v>
          </cell>
          <cell r="D624" t="str">
            <v>退職金</v>
          </cell>
        </row>
        <row r="625">
          <cell r="A625" t="str">
            <v>460600</v>
          </cell>
          <cell r="D625" t="str">
            <v>退職金繰入</v>
          </cell>
        </row>
        <row r="626">
          <cell r="A626" t="str">
            <v>460700</v>
          </cell>
          <cell r="D626" t="str">
            <v>役員報酬</v>
          </cell>
        </row>
        <row r="627">
          <cell r="A627" t="str">
            <v>460800</v>
          </cell>
          <cell r="D627" t="str">
            <v>役員退職慰労金</v>
          </cell>
        </row>
        <row r="628">
          <cell r="A628" t="str">
            <v>460900</v>
          </cell>
          <cell r="D628" t="str">
            <v>適格年金掛金</v>
          </cell>
        </row>
        <row r="629">
          <cell r="A629" t="str">
            <v>461000</v>
          </cell>
          <cell r="D629" t="str">
            <v>法定福利費</v>
          </cell>
        </row>
        <row r="630">
          <cell r="A630" t="str">
            <v>461100</v>
          </cell>
          <cell r="D630" t="str">
            <v>福利厚生費</v>
          </cell>
        </row>
        <row r="631">
          <cell r="A631" t="str">
            <v>461200</v>
          </cell>
          <cell r="D631" t="str">
            <v>教育訓練費</v>
          </cell>
        </row>
        <row r="632">
          <cell r="A632" t="str">
            <v>461300</v>
          </cell>
          <cell r="D632" t="str">
            <v>募集費</v>
          </cell>
        </row>
        <row r="633">
          <cell r="A633" t="str">
            <v>461400</v>
          </cell>
          <cell r="D633" t="str">
            <v>労務管理費</v>
          </cell>
        </row>
        <row r="634">
          <cell r="A634" t="str">
            <v>461500</v>
          </cell>
          <cell r="D634" t="str">
            <v>適格年金過去勤務掛金</v>
          </cell>
        </row>
        <row r="635">
          <cell r="A635" t="str">
            <v>461600</v>
          </cell>
          <cell r="D635" t="str">
            <v>退職給付引当金繰入額</v>
          </cell>
        </row>
        <row r="636">
          <cell r="A636" t="str">
            <v>461990</v>
          </cell>
          <cell r="D636" t="str">
            <v>間接労務費計</v>
          </cell>
        </row>
        <row r="637">
          <cell r="A637" t="str">
            <v>472100</v>
          </cell>
          <cell r="D637" t="str">
            <v>販売手数料</v>
          </cell>
        </row>
        <row r="638">
          <cell r="A638" t="str">
            <v>472200</v>
          </cell>
          <cell r="D638" t="str">
            <v>発送配達費</v>
          </cell>
        </row>
        <row r="639">
          <cell r="A639" t="str">
            <v>472300</v>
          </cell>
          <cell r="D639" t="str">
            <v>船積諸掛</v>
          </cell>
        </row>
        <row r="640">
          <cell r="A640" t="str">
            <v>472400</v>
          </cell>
          <cell r="D640" t="str">
            <v>見本品費</v>
          </cell>
        </row>
        <row r="641">
          <cell r="A641" t="str">
            <v>472500</v>
          </cell>
          <cell r="D641" t="str">
            <v>広告宣伝費</v>
          </cell>
        </row>
        <row r="642">
          <cell r="A642" t="str">
            <v>472600</v>
          </cell>
          <cell r="D642" t="str">
            <v>交際接待費</v>
          </cell>
        </row>
        <row r="643">
          <cell r="A643" t="str">
            <v>472700</v>
          </cell>
          <cell r="D643" t="str">
            <v>会議費</v>
          </cell>
        </row>
        <row r="644">
          <cell r="A644" t="str">
            <v>472800</v>
          </cell>
          <cell r="D644" t="str">
            <v>寄付金</v>
          </cell>
        </row>
        <row r="645">
          <cell r="A645" t="str">
            <v>472900</v>
          </cell>
          <cell r="D645" t="str">
            <v>電気代</v>
          </cell>
        </row>
        <row r="646">
          <cell r="A646" t="str">
            <v>473000</v>
          </cell>
          <cell r="D646" t="str">
            <v>ガス水道料</v>
          </cell>
        </row>
        <row r="647">
          <cell r="A647" t="str">
            <v>473100</v>
          </cell>
          <cell r="D647" t="str">
            <v>燃料費</v>
          </cell>
        </row>
        <row r="648">
          <cell r="A648" t="str">
            <v>473200</v>
          </cell>
          <cell r="D648" t="str">
            <v>旅費交通費</v>
          </cell>
        </row>
        <row r="649">
          <cell r="A649" t="str">
            <v>473300</v>
          </cell>
          <cell r="D649" t="str">
            <v>通信費</v>
          </cell>
        </row>
        <row r="650">
          <cell r="A650" t="str">
            <v>473400</v>
          </cell>
          <cell r="D650" t="str">
            <v>保険料</v>
          </cell>
        </row>
        <row r="651">
          <cell r="A651" t="str">
            <v>473500</v>
          </cell>
          <cell r="D651" t="str">
            <v>消耗品費</v>
          </cell>
        </row>
        <row r="652">
          <cell r="A652" t="str">
            <v>473600</v>
          </cell>
          <cell r="D652" t="str">
            <v>消耗工具・器具備品費</v>
          </cell>
        </row>
        <row r="653">
          <cell r="A653" t="str">
            <v>473700</v>
          </cell>
          <cell r="D653" t="str">
            <v>金型費</v>
          </cell>
        </row>
        <row r="654">
          <cell r="A654" t="str">
            <v>473800</v>
          </cell>
          <cell r="D654" t="str">
            <v>工作課用役費</v>
          </cell>
        </row>
        <row r="655">
          <cell r="A655" t="str">
            <v>473900</v>
          </cell>
          <cell r="D655" t="str">
            <v>修繕費</v>
          </cell>
        </row>
        <row r="656">
          <cell r="A656" t="str">
            <v>474000</v>
          </cell>
          <cell r="C656" t="str">
            <v>51</v>
          </cell>
          <cell r="D656" t="str">
            <v>租税公課</v>
          </cell>
        </row>
        <row r="657">
          <cell r="A657" t="str">
            <v>474100</v>
          </cell>
          <cell r="C657" t="str">
            <v>52</v>
          </cell>
          <cell r="D657" t="str">
            <v>減価償却費</v>
          </cell>
        </row>
        <row r="658">
          <cell r="A658" t="str">
            <v>474200</v>
          </cell>
          <cell r="C658" t="str">
            <v>54</v>
          </cell>
          <cell r="D658" t="str">
            <v>繰延資産償却費</v>
          </cell>
        </row>
        <row r="659">
          <cell r="A659" t="str">
            <v>474300</v>
          </cell>
          <cell r="D659" t="str">
            <v>銀行関係手数料</v>
          </cell>
        </row>
        <row r="660">
          <cell r="A660" t="str">
            <v>474400</v>
          </cell>
          <cell r="D660" t="str">
            <v>支払手数料</v>
          </cell>
        </row>
        <row r="661">
          <cell r="A661" t="str">
            <v>474410</v>
          </cell>
          <cell r="D661" t="str">
            <v>支払手数料－翻訳料･図面開示料</v>
          </cell>
        </row>
        <row r="662">
          <cell r="A662" t="str">
            <v>474420</v>
          </cell>
          <cell r="C662" t="str">
            <v>23</v>
          </cell>
          <cell r="D662" t="str">
            <v>支払手数料－その他</v>
          </cell>
        </row>
        <row r="663">
          <cell r="A663" t="str">
            <v>474500</v>
          </cell>
          <cell r="C663" t="str">
            <v>24</v>
          </cell>
          <cell r="D663" t="str">
            <v>業務委託費</v>
          </cell>
        </row>
        <row r="664">
          <cell r="A664" t="str">
            <v>474600</v>
          </cell>
          <cell r="C664" t="str">
            <v>51</v>
          </cell>
          <cell r="D664" t="str">
            <v>会計士監査料</v>
          </cell>
        </row>
        <row r="665">
          <cell r="A665" t="str">
            <v>474700</v>
          </cell>
          <cell r="C665" t="str">
            <v>52</v>
          </cell>
          <cell r="D665" t="str">
            <v>リース料</v>
          </cell>
        </row>
        <row r="666">
          <cell r="A666" t="str">
            <v>474800</v>
          </cell>
          <cell r="C666" t="str">
            <v>54</v>
          </cell>
          <cell r="D666" t="str">
            <v>賃借料</v>
          </cell>
        </row>
        <row r="667">
          <cell r="A667" t="str">
            <v>474900</v>
          </cell>
          <cell r="D667" t="str">
            <v>図書新聞費</v>
          </cell>
        </row>
        <row r="668">
          <cell r="A668" t="str">
            <v>475000</v>
          </cell>
          <cell r="D668" t="str">
            <v>組合会費</v>
          </cell>
        </row>
        <row r="669">
          <cell r="A669" t="str">
            <v>475100</v>
          </cell>
          <cell r="D669" t="str">
            <v>工会費</v>
          </cell>
        </row>
        <row r="670">
          <cell r="A670" t="str">
            <v>475200</v>
          </cell>
          <cell r="C670" t="str">
            <v>23</v>
          </cell>
          <cell r="D670" t="str">
            <v>外注加工費</v>
          </cell>
        </row>
        <row r="671">
          <cell r="A671" t="str">
            <v>475300</v>
          </cell>
          <cell r="C671" t="str">
            <v>24</v>
          </cell>
          <cell r="D671" t="str">
            <v>技術援助料</v>
          </cell>
        </row>
        <row r="672">
          <cell r="A672" t="str">
            <v>475400</v>
          </cell>
          <cell r="D672" t="str">
            <v>経営援助料</v>
          </cell>
        </row>
        <row r="673">
          <cell r="A673" t="str">
            <v>475410</v>
          </cell>
          <cell r="C673" t="str">
            <v>51</v>
          </cell>
          <cell r="D673" t="str">
            <v>経営援助料-日本人給料・賞与</v>
          </cell>
        </row>
        <row r="674">
          <cell r="A674" t="str">
            <v>475420</v>
          </cell>
          <cell r="C674" t="str">
            <v>52</v>
          </cell>
          <cell r="D674" t="str">
            <v>経営援助料-その他</v>
          </cell>
        </row>
        <row r="675">
          <cell r="A675" t="str">
            <v>475500</v>
          </cell>
          <cell r="C675" t="str">
            <v>54</v>
          </cell>
          <cell r="D675" t="str">
            <v>顧問料</v>
          </cell>
        </row>
        <row r="676">
          <cell r="A676" t="str">
            <v>475600</v>
          </cell>
          <cell r="D676" t="str">
            <v>研究費</v>
          </cell>
        </row>
        <row r="677">
          <cell r="A677" t="str">
            <v>475700</v>
          </cell>
          <cell r="D677" t="str">
            <v>特許関係費</v>
          </cell>
        </row>
        <row r="678">
          <cell r="A678" t="str">
            <v>475800</v>
          </cell>
          <cell r="D678" t="str">
            <v>貸倒引当金繰入額</v>
          </cell>
        </row>
        <row r="679">
          <cell r="A679" t="str">
            <v>475900</v>
          </cell>
          <cell r="D679" t="str">
            <v>貸倒損失</v>
          </cell>
        </row>
        <row r="680">
          <cell r="A680" t="str">
            <v>476000</v>
          </cell>
          <cell r="D680" t="str">
            <v>債権償却特別勘定繰入</v>
          </cell>
        </row>
        <row r="681">
          <cell r="A681" t="str">
            <v>476100</v>
          </cell>
          <cell r="D681" t="str">
            <v>事業税引当金繰入</v>
          </cell>
        </row>
        <row r="682">
          <cell r="A682" t="str">
            <v>476200</v>
          </cell>
          <cell r="C682" t="str">
            <v>20</v>
          </cell>
          <cell r="D682" t="str">
            <v>事業所税引当金繰入</v>
          </cell>
        </row>
        <row r="683">
          <cell r="A683" t="str">
            <v>476300</v>
          </cell>
          <cell r="C683" t="str">
            <v>34</v>
          </cell>
          <cell r="D683" t="str">
            <v>支払賠償金</v>
          </cell>
        </row>
        <row r="684">
          <cell r="A684" t="str">
            <v>476400</v>
          </cell>
          <cell r="C684" t="str">
            <v>48</v>
          </cell>
          <cell r="D684" t="str">
            <v>雑費</v>
          </cell>
        </row>
        <row r="685">
          <cell r="A685" t="str">
            <v>476500</v>
          </cell>
          <cell r="C685" t="str">
            <v>64</v>
          </cell>
          <cell r="D685" t="str">
            <v>外労諸費</v>
          </cell>
        </row>
        <row r="686">
          <cell r="A686" t="str">
            <v>476600</v>
          </cell>
          <cell r="C686" t="str">
            <v>67</v>
          </cell>
          <cell r="D686" t="str">
            <v>運賃</v>
          </cell>
        </row>
        <row r="687">
          <cell r="A687" t="str">
            <v>476990</v>
          </cell>
          <cell r="C687" t="str">
            <v>69</v>
          </cell>
          <cell r="D687" t="str">
            <v>経費計</v>
          </cell>
        </row>
        <row r="688">
          <cell r="A688" t="str">
            <v>521000</v>
          </cell>
          <cell r="C688" t="str">
            <v>20</v>
          </cell>
          <cell r="D688" t="str">
            <v>売上原価</v>
          </cell>
        </row>
        <row r="689">
          <cell r="A689" t="str">
            <v>521100</v>
          </cell>
          <cell r="C689" t="str">
            <v>34</v>
          </cell>
          <cell r="D689" t="str">
            <v>期首棚卸高</v>
          </cell>
        </row>
        <row r="690">
          <cell r="A690" t="str">
            <v>521200</v>
          </cell>
          <cell r="C690" t="str">
            <v>48</v>
          </cell>
          <cell r="D690" t="str">
            <v>期首棚卸調整額</v>
          </cell>
        </row>
        <row r="691">
          <cell r="A691" t="str">
            <v>521300</v>
          </cell>
          <cell r="C691" t="str">
            <v>64</v>
          </cell>
          <cell r="D691" t="str">
            <v>当期製品製造原価</v>
          </cell>
        </row>
        <row r="692">
          <cell r="A692" t="str">
            <v>521400</v>
          </cell>
          <cell r="C692" t="str">
            <v>67</v>
          </cell>
          <cell r="D692" t="str">
            <v>当期製品モーター受入高</v>
          </cell>
        </row>
        <row r="693">
          <cell r="A693" t="str">
            <v>521500</v>
          </cell>
          <cell r="D693" t="str">
            <v>当期商品仕入高</v>
          </cell>
        </row>
        <row r="694">
          <cell r="A694" t="str">
            <v>521510</v>
          </cell>
          <cell r="D694" t="str">
            <v>当期輸入諸掛</v>
          </cell>
        </row>
        <row r="695">
          <cell r="A695" t="str">
            <v>521600</v>
          </cell>
          <cell r="D695" t="str">
            <v>他勘定受入高</v>
          </cell>
        </row>
        <row r="696">
          <cell r="A696" t="str">
            <v>521610</v>
          </cell>
          <cell r="D696" t="str">
            <v>他勘定相殺高</v>
          </cell>
        </row>
        <row r="697">
          <cell r="A697" t="str">
            <v>521990</v>
          </cell>
          <cell r="C697" t="str">
            <v>20</v>
          </cell>
          <cell r="D697" t="str">
            <v>小計</v>
          </cell>
        </row>
        <row r="698">
          <cell r="A698" t="str">
            <v>522100</v>
          </cell>
          <cell r="C698" t="str">
            <v>34</v>
          </cell>
          <cell r="D698" t="str">
            <v>製品パーツ投入高</v>
          </cell>
        </row>
        <row r="699">
          <cell r="A699" t="str">
            <v>522200</v>
          </cell>
          <cell r="C699" t="str">
            <v>44</v>
          </cell>
          <cell r="D699" t="str">
            <v>他勘定振替高</v>
          </cell>
        </row>
        <row r="700">
          <cell r="A700" t="str">
            <v>522210</v>
          </cell>
          <cell r="C700" t="str">
            <v>48</v>
          </cell>
          <cell r="D700" t="str">
            <v>他勘定相殺高</v>
          </cell>
        </row>
        <row r="701">
          <cell r="A701" t="str">
            <v>522300</v>
          </cell>
          <cell r="C701" t="str">
            <v>51</v>
          </cell>
          <cell r="D701" t="str">
            <v>期末棚卸高</v>
          </cell>
        </row>
        <row r="702">
          <cell r="A702" t="str">
            <v>522400</v>
          </cell>
          <cell r="C702" t="str">
            <v>61</v>
          </cell>
          <cell r="D702" t="str">
            <v>期末棚卸調整額</v>
          </cell>
        </row>
        <row r="703">
          <cell r="A703" t="str">
            <v>522500</v>
          </cell>
          <cell r="C703" t="str">
            <v>66</v>
          </cell>
          <cell r="D703" t="str">
            <v>製品パーツ外注支給高</v>
          </cell>
        </row>
        <row r="704">
          <cell r="A704" t="str">
            <v>523100</v>
          </cell>
          <cell r="C704" t="str">
            <v>67</v>
          </cell>
          <cell r="D704" t="str">
            <v>商品期首棚卸高</v>
          </cell>
        </row>
        <row r="705">
          <cell r="A705" t="str">
            <v>523200</v>
          </cell>
          <cell r="C705" t="str">
            <v>69</v>
          </cell>
          <cell r="D705" t="str">
            <v>商品期首棚卸調整額</v>
          </cell>
        </row>
        <row r="706">
          <cell r="A706" t="str">
            <v>540000</v>
          </cell>
          <cell r="C706" t="str">
            <v>20</v>
          </cell>
          <cell r="D706" t="str">
            <v>支援費用</v>
          </cell>
        </row>
        <row r="707">
          <cell r="A707" t="str">
            <v>541000</v>
          </cell>
          <cell r="C707" t="str">
            <v>34</v>
          </cell>
          <cell r="D707" t="str">
            <v>加工費用</v>
          </cell>
        </row>
        <row r="708">
          <cell r="A708" t="str">
            <v>500100</v>
          </cell>
          <cell r="C708" t="str">
            <v>44</v>
          </cell>
          <cell r="D708" t="str">
            <v>資本金－期首</v>
          </cell>
        </row>
        <row r="709">
          <cell r="A709" t="str">
            <v>500226</v>
          </cell>
          <cell r="C709" t="str">
            <v>48</v>
          </cell>
          <cell r="D709" t="str">
            <v>資本金－増資</v>
          </cell>
        </row>
        <row r="710">
          <cell r="A710" t="str">
            <v>500227</v>
          </cell>
          <cell r="C710" t="str">
            <v>51</v>
          </cell>
          <cell r="D710" t="str">
            <v>資本金－転換社債から転換</v>
          </cell>
        </row>
        <row r="711">
          <cell r="A711" t="str">
            <v>500228</v>
          </cell>
          <cell r="C711" t="str">
            <v>61</v>
          </cell>
          <cell r="D711" t="str">
            <v>資本金－資本準備金から振替</v>
          </cell>
        </row>
        <row r="712">
          <cell r="A712" t="str">
            <v>500268</v>
          </cell>
          <cell r="C712" t="str">
            <v>66</v>
          </cell>
          <cell r="D712" t="str">
            <v>資本金－その他増減</v>
          </cell>
        </row>
        <row r="713">
          <cell r="A713" t="str">
            <v>500310</v>
          </cell>
          <cell r="C713" t="str">
            <v>67</v>
          </cell>
          <cell r="D713" t="str">
            <v>資本金－減資</v>
          </cell>
        </row>
        <row r="714">
          <cell r="A714" t="str">
            <v>1311000</v>
          </cell>
          <cell r="C714" t="str">
            <v>20</v>
          </cell>
          <cell r="D714" t="str">
            <v>資本金－期末</v>
          </cell>
        </row>
        <row r="715">
          <cell r="A715" t="str">
            <v>530100</v>
          </cell>
          <cell r="C715" t="str">
            <v>34</v>
          </cell>
          <cell r="D715" t="str">
            <v>自己株式－期首</v>
          </cell>
        </row>
        <row r="716">
          <cell r="A716" t="str">
            <v>530110</v>
          </cell>
          <cell r="C716" t="str">
            <v>48</v>
          </cell>
          <cell r="D716" t="str">
            <v>自己株式－減少</v>
          </cell>
        </row>
        <row r="717">
          <cell r="A717" t="str">
            <v>530234</v>
          </cell>
          <cell r="C717" t="str">
            <v>51</v>
          </cell>
          <cell r="D717" t="str">
            <v>自己株式－取得</v>
          </cell>
        </row>
        <row r="718">
          <cell r="A718" t="str">
            <v>530248</v>
          </cell>
          <cell r="D718" t="str">
            <v>自己株式－振替</v>
          </cell>
        </row>
        <row r="719">
          <cell r="A719" t="str">
            <v>530310</v>
          </cell>
          <cell r="D719" t="str">
            <v>自己株式－売却</v>
          </cell>
        </row>
        <row r="720">
          <cell r="A720" t="str">
            <v>530500</v>
          </cell>
          <cell r="D720" t="str">
            <v>自己株式－期末</v>
          </cell>
        </row>
        <row r="721">
          <cell r="A721" t="str">
            <v>550000</v>
          </cell>
          <cell r="D721" t="str">
            <v>剰余金－期首</v>
          </cell>
        </row>
        <row r="722">
          <cell r="A722" t="str">
            <v>550100</v>
          </cell>
          <cell r="D722" t="str">
            <v>剰余金－期首増加</v>
          </cell>
        </row>
        <row r="723">
          <cell r="A723" t="str">
            <v>550200</v>
          </cell>
          <cell r="D723" t="str">
            <v>剰余金－過年度税効果調整</v>
          </cell>
        </row>
        <row r="724">
          <cell r="A724" t="str">
            <v>551000</v>
          </cell>
          <cell r="D724" t="str">
            <v>剰余金－減少高</v>
          </cell>
        </row>
        <row r="725">
          <cell r="A725" t="str">
            <v>552000</v>
          </cell>
          <cell r="D725" t="str">
            <v>剰余金－利益準備金繰入</v>
          </cell>
        </row>
        <row r="726">
          <cell r="A726" t="str">
            <v>552100</v>
          </cell>
          <cell r="D726" t="str">
            <v>剰余金-利益準備金繰入-期末分</v>
          </cell>
        </row>
        <row r="727">
          <cell r="A727" t="str">
            <v>552200</v>
          </cell>
          <cell r="D727" t="str">
            <v>剰余金-利益準備金繰入-中間分</v>
          </cell>
        </row>
        <row r="728">
          <cell r="A728" t="str">
            <v>553000</v>
          </cell>
          <cell r="C728" t="str">
            <v>20</v>
          </cell>
          <cell r="D728" t="str">
            <v>剰余金－配当金</v>
          </cell>
        </row>
        <row r="729">
          <cell r="A729" t="str">
            <v>553100</v>
          </cell>
          <cell r="C729" t="str">
            <v>35</v>
          </cell>
          <cell r="D729" t="str">
            <v>剰余金-配当金-期末分</v>
          </cell>
        </row>
        <row r="730">
          <cell r="A730" t="str">
            <v>553200</v>
          </cell>
          <cell r="C730" t="str">
            <v>48</v>
          </cell>
          <cell r="D730" t="str">
            <v>剰余金-配当金-中間分</v>
          </cell>
        </row>
        <row r="731">
          <cell r="A731" t="str">
            <v>555000</v>
          </cell>
          <cell r="C731" t="str">
            <v>60</v>
          </cell>
          <cell r="D731" t="str">
            <v>剰余金－資本準備金繰入額</v>
          </cell>
        </row>
        <row r="732">
          <cell r="A732" t="str">
            <v>555300</v>
          </cell>
          <cell r="C732" t="str">
            <v>67</v>
          </cell>
          <cell r="D732" t="str">
            <v>剰余金－過年度修正－増加</v>
          </cell>
        </row>
        <row r="733">
          <cell r="A733" t="str">
            <v>555400</v>
          </cell>
          <cell r="C733" t="str">
            <v>20</v>
          </cell>
          <cell r="D733" t="str">
            <v>剰余金－過年度修正－減少</v>
          </cell>
        </row>
        <row r="734">
          <cell r="A734" t="str">
            <v>555500</v>
          </cell>
          <cell r="C734" t="str">
            <v>35</v>
          </cell>
          <cell r="D734" t="str">
            <v>剰余金－自己株式の消却</v>
          </cell>
        </row>
        <row r="735">
          <cell r="A735" t="str">
            <v>555600</v>
          </cell>
          <cell r="C735" t="str">
            <v>48</v>
          </cell>
          <cell r="D735" t="str">
            <v>剰余金－その他－増加</v>
          </cell>
        </row>
        <row r="736">
          <cell r="A736" t="str">
            <v>555700</v>
          </cell>
          <cell r="C736" t="str">
            <v>60</v>
          </cell>
          <cell r="D736" t="str">
            <v>剰余金－その他－減少</v>
          </cell>
        </row>
        <row r="737">
          <cell r="A737" t="str">
            <v>556200</v>
          </cell>
          <cell r="C737" t="str">
            <v>67</v>
          </cell>
          <cell r="D737" t="str">
            <v>剰余金－当期純利益</v>
          </cell>
        </row>
        <row r="738">
          <cell r="A738" t="str">
            <v>5563000</v>
          </cell>
          <cell r="D738" t="str">
            <v>剰余金－期末残高</v>
          </cell>
        </row>
        <row r="739">
          <cell r="A739" t="str">
            <v>599101</v>
          </cell>
          <cell r="D739" t="str">
            <v>資本準備金－期首</v>
          </cell>
        </row>
        <row r="740">
          <cell r="A740" t="str">
            <v>599102</v>
          </cell>
          <cell r="C740" t="str">
            <v>20</v>
          </cell>
          <cell r="D740" t="str">
            <v>資本準備金－増加</v>
          </cell>
        </row>
        <row r="741">
          <cell r="A741" t="str">
            <v>599103</v>
          </cell>
          <cell r="C741" t="str">
            <v>34</v>
          </cell>
          <cell r="D741" t="str">
            <v>資本準備金－減少</v>
          </cell>
        </row>
        <row r="742">
          <cell r="A742" t="str">
            <v>1312100</v>
          </cell>
          <cell r="C742" t="str">
            <v>44</v>
          </cell>
          <cell r="D742" t="str">
            <v>資本準備金－期末</v>
          </cell>
        </row>
        <row r="743">
          <cell r="A743" t="str">
            <v>599201</v>
          </cell>
          <cell r="C743" t="str">
            <v>48</v>
          </cell>
          <cell r="D743" t="str">
            <v>その他資本剰余金－期首</v>
          </cell>
        </row>
        <row r="744">
          <cell r="A744" t="str">
            <v>599202</v>
          </cell>
          <cell r="C744" t="str">
            <v>51</v>
          </cell>
          <cell r="D744" t="str">
            <v>その他資本剰余金－増加</v>
          </cell>
        </row>
        <row r="745">
          <cell r="A745" t="str">
            <v>599203</v>
          </cell>
          <cell r="C745" t="str">
            <v>61</v>
          </cell>
          <cell r="D745" t="str">
            <v>その他資本剰余金－減少</v>
          </cell>
        </row>
        <row r="746">
          <cell r="A746" t="str">
            <v>1312200</v>
          </cell>
          <cell r="C746" t="str">
            <v>62</v>
          </cell>
          <cell r="D746" t="str">
            <v>その他資本剰余金－期末</v>
          </cell>
        </row>
        <row r="747">
          <cell r="A747" t="str">
            <v>599301</v>
          </cell>
          <cell r="C747" t="str">
            <v>66</v>
          </cell>
          <cell r="D747" t="str">
            <v>自己株式－期首</v>
          </cell>
        </row>
        <row r="748">
          <cell r="A748" t="str">
            <v>599302</v>
          </cell>
          <cell r="C748" t="str">
            <v>67</v>
          </cell>
          <cell r="D748" t="str">
            <v>自己株式－取得</v>
          </cell>
        </row>
        <row r="749">
          <cell r="A749" t="str">
            <v>599303</v>
          </cell>
          <cell r="D749" t="str">
            <v>自己株式－消却</v>
          </cell>
        </row>
        <row r="750">
          <cell r="A750" t="str">
            <v>1333000</v>
          </cell>
          <cell r="D750" t="str">
            <v>自己株式－期末</v>
          </cell>
        </row>
        <row r="751">
          <cell r="A751" t="str">
            <v>599401</v>
          </cell>
          <cell r="C751" t="str">
            <v>20</v>
          </cell>
          <cell r="D751" t="str">
            <v>その他有価証券評価差額金－期首</v>
          </cell>
        </row>
        <row r="752">
          <cell r="A752" t="str">
            <v>599402</v>
          </cell>
          <cell r="C752" t="str">
            <v>36</v>
          </cell>
          <cell r="D752" t="str">
            <v>その他有価証券評価差額金－増加</v>
          </cell>
        </row>
        <row r="753">
          <cell r="A753" t="str">
            <v>599403</v>
          </cell>
          <cell r="C753" t="str">
            <v>55</v>
          </cell>
          <cell r="D753" t="str">
            <v>その他有価証券評価差額金－減少</v>
          </cell>
        </row>
        <row r="754">
          <cell r="A754" t="str">
            <v>132100</v>
          </cell>
          <cell r="C754" t="str">
            <v>67</v>
          </cell>
          <cell r="D754" t="str">
            <v>その他有価証券評価差額金－期末</v>
          </cell>
        </row>
        <row r="755">
          <cell r="A755" t="str">
            <v>1313100</v>
          </cell>
          <cell r="D755" t="str">
            <v>利益準備金－期末</v>
          </cell>
        </row>
        <row r="756">
          <cell r="A756" t="str">
            <v>shihonkin</v>
          </cell>
          <cell r="D756" t="str">
            <v>＜資本金＞</v>
          </cell>
        </row>
        <row r="757">
          <cell r="A757" t="str">
            <v>shihonjyunbi</v>
          </cell>
          <cell r="C757" t="str">
            <v>20</v>
          </cell>
          <cell r="D757" t="str">
            <v>＜資本準備金＞</v>
          </cell>
        </row>
        <row r="758">
          <cell r="A758" t="str">
            <v>sonotashihon</v>
          </cell>
          <cell r="C758" t="str">
            <v>35</v>
          </cell>
          <cell r="D758" t="str">
            <v>＜その他資本剰余金＞</v>
          </cell>
        </row>
        <row r="759">
          <cell r="A759" t="str">
            <v>jikokabu</v>
          </cell>
          <cell r="C759" t="str">
            <v>48</v>
          </cell>
          <cell r="D759" t="str">
            <v>＜自己株式＞</v>
          </cell>
        </row>
        <row r="760">
          <cell r="A760" t="str">
            <v>sonotayuuka</v>
          </cell>
          <cell r="C760" t="str">
            <v>60</v>
          </cell>
          <cell r="D760" t="str">
            <v>＜その他有価証券評価差額金＞</v>
          </cell>
        </row>
        <row r="761">
          <cell r="A761" t="str">
            <v>riekijyunbi</v>
          </cell>
          <cell r="C761" t="str">
            <v>67</v>
          </cell>
          <cell r="D761" t="str">
            <v>＜利益準備金＞</v>
          </cell>
        </row>
        <row r="762">
          <cell r="A762" t="str">
            <v>sonotajyouyo</v>
          </cell>
          <cell r="C762" t="str">
            <v>20</v>
          </cell>
          <cell r="D762" t="str">
            <v>＜その他剰余金＞</v>
          </cell>
        </row>
        <row r="763">
          <cell r="A763" t="str">
            <v>zougensyousai</v>
          </cell>
          <cell r="C763" t="str">
            <v>35</v>
          </cell>
          <cell r="D763" t="str">
            <v>＜剰余金－その他－増減の詳細＞</v>
          </cell>
        </row>
        <row r="764">
          <cell r="A764" t="str">
            <v>700000</v>
          </cell>
          <cell r="C764" t="str">
            <v>48</v>
          </cell>
          <cell r="D764" t="str">
            <v>売上高</v>
          </cell>
        </row>
        <row r="765">
          <cell r="A765" t="str">
            <v>703100</v>
          </cell>
          <cell r="C765" t="str">
            <v>60</v>
          </cell>
          <cell r="D765" t="str">
            <v>MMK製</v>
          </cell>
        </row>
        <row r="766">
          <cell r="A766" t="str">
            <v>703200</v>
          </cell>
          <cell r="C766" t="str">
            <v>67</v>
          </cell>
          <cell r="D766" t="str">
            <v>HKM製</v>
          </cell>
        </row>
        <row r="767">
          <cell r="A767" t="str">
            <v>703300</v>
          </cell>
          <cell r="C767" t="str">
            <v>20</v>
          </cell>
          <cell r="D767" t="str">
            <v>TWM製</v>
          </cell>
        </row>
        <row r="768">
          <cell r="A768" t="str">
            <v>703400</v>
          </cell>
          <cell r="C768" t="str">
            <v>33</v>
          </cell>
          <cell r="D768" t="str">
            <v>TKM製</v>
          </cell>
        </row>
        <row r="769">
          <cell r="A769" t="str">
            <v>703500</v>
          </cell>
          <cell r="C769" t="str">
            <v>43</v>
          </cell>
          <cell r="D769" t="str">
            <v>DLM製</v>
          </cell>
        </row>
        <row r="770">
          <cell r="A770" t="str">
            <v>703600</v>
          </cell>
          <cell r="C770" t="str">
            <v>67</v>
          </cell>
          <cell r="D770" t="str">
            <v>MLM製</v>
          </cell>
        </row>
        <row r="771">
          <cell r="A771" t="str">
            <v>703700</v>
          </cell>
          <cell r="C771" t="str">
            <v>20</v>
          </cell>
          <cell r="D771" t="str">
            <v>JSM製</v>
          </cell>
        </row>
        <row r="772">
          <cell r="A772" t="str">
            <v>703800</v>
          </cell>
          <cell r="C772" t="str">
            <v>34</v>
          </cell>
          <cell r="D772" t="str">
            <v>VNM製</v>
          </cell>
        </row>
        <row r="773">
          <cell r="A773" t="str">
            <v>703900</v>
          </cell>
          <cell r="C773" t="str">
            <v>48</v>
          </cell>
          <cell r="D773" t="str">
            <v>DWM製</v>
          </cell>
        </row>
        <row r="774">
          <cell r="A774" t="str">
            <v>703950</v>
          </cell>
          <cell r="C774" t="str">
            <v>64</v>
          </cell>
          <cell r="D774" t="str">
            <v>VDM製</v>
          </cell>
        </row>
        <row r="775">
          <cell r="A775" t="str">
            <v>703250</v>
          </cell>
          <cell r="D775" t="str">
            <v>DGM製</v>
          </cell>
        </row>
        <row r="776">
          <cell r="A776" t="str">
            <v>703260</v>
          </cell>
          <cell r="D776" t="str">
            <v>YTM製</v>
          </cell>
        </row>
        <row r="777">
          <cell r="A777" t="str">
            <v>703270</v>
          </cell>
          <cell r="D777" t="str">
            <v>DDM製</v>
          </cell>
        </row>
        <row r="778">
          <cell r="A778" t="str">
            <v>703280</v>
          </cell>
          <cell r="D778" t="str">
            <v>JXM製</v>
          </cell>
        </row>
        <row r="779">
          <cell r="A779" t="str">
            <v>708000</v>
          </cell>
          <cell r="C779" t="str">
            <v>67</v>
          </cell>
          <cell r="D779" t="str">
            <v>受取手数料(ＣＯＭＭ)</v>
          </cell>
        </row>
        <row r="780">
          <cell r="A780" t="str">
            <v>709000</v>
          </cell>
          <cell r="C780" t="str">
            <v>20</v>
          </cell>
          <cell r="D780" t="str">
            <v>受取技術援助料(ＲＯＹ)</v>
          </cell>
        </row>
        <row r="781">
          <cell r="A781" t="str">
            <v>720000</v>
          </cell>
          <cell r="C781" t="str">
            <v>33</v>
          </cell>
          <cell r="D781" t="str">
            <v>仕入高</v>
          </cell>
        </row>
        <row r="782">
          <cell r="A782" t="str">
            <v>721000</v>
          </cell>
          <cell r="C782" t="str">
            <v>48</v>
          </cell>
          <cell r="D782" t="str">
            <v>製品売上原価</v>
          </cell>
        </row>
        <row r="783">
          <cell r="A783" t="str">
            <v>723000</v>
          </cell>
          <cell r="C783" t="str">
            <v>64</v>
          </cell>
          <cell r="D783" t="str">
            <v>商品売上原価</v>
          </cell>
        </row>
        <row r="784">
          <cell r="A784" t="str">
            <v>725100</v>
          </cell>
          <cell r="C784" t="str">
            <v>20</v>
          </cell>
          <cell r="D784" t="str">
            <v>MMK製</v>
          </cell>
        </row>
        <row r="785">
          <cell r="A785" t="str">
            <v>725200</v>
          </cell>
          <cell r="C785" t="str">
            <v>33</v>
          </cell>
          <cell r="D785" t="str">
            <v>HKM製</v>
          </cell>
        </row>
        <row r="786">
          <cell r="A786" t="str">
            <v>725300</v>
          </cell>
          <cell r="C786" t="str">
            <v>34</v>
          </cell>
          <cell r="D786" t="str">
            <v>TWM製</v>
          </cell>
        </row>
        <row r="787">
          <cell r="A787" t="str">
            <v>725400</v>
          </cell>
          <cell r="C787" t="str">
            <v>48</v>
          </cell>
          <cell r="D787" t="str">
            <v>TKM製</v>
          </cell>
        </row>
        <row r="788">
          <cell r="A788" t="str">
            <v>725500</v>
          </cell>
          <cell r="C788" t="str">
            <v>64</v>
          </cell>
          <cell r="D788" t="str">
            <v>DLM製</v>
          </cell>
        </row>
        <row r="789">
          <cell r="A789" t="str">
            <v>725600</v>
          </cell>
          <cell r="C789" t="str">
            <v>20</v>
          </cell>
          <cell r="D789" t="str">
            <v>MLM製</v>
          </cell>
        </row>
        <row r="790">
          <cell r="A790" t="str">
            <v>725700</v>
          </cell>
          <cell r="C790" t="str">
            <v>34</v>
          </cell>
          <cell r="D790" t="str">
            <v>JSM製</v>
          </cell>
        </row>
        <row r="791">
          <cell r="A791" t="str">
            <v>725800</v>
          </cell>
          <cell r="C791" t="str">
            <v>48</v>
          </cell>
          <cell r="D791" t="str">
            <v>VNM製</v>
          </cell>
        </row>
        <row r="792">
          <cell r="A792" t="str">
            <v>725900</v>
          </cell>
          <cell r="C792" t="str">
            <v>51</v>
          </cell>
          <cell r="D792" t="str">
            <v>DWM製</v>
          </cell>
        </row>
        <row r="793">
          <cell r="A793" t="str">
            <v>725950</v>
          </cell>
          <cell r="C793" t="str">
            <v>64</v>
          </cell>
          <cell r="D793" t="str">
            <v>VDM製</v>
          </cell>
        </row>
        <row r="794">
          <cell r="A794" t="str">
            <v>725250</v>
          </cell>
          <cell r="D794" t="str">
            <v>DGM製</v>
          </cell>
        </row>
        <row r="795">
          <cell r="A795" t="str">
            <v>725260</v>
          </cell>
          <cell r="D795" t="str">
            <v>YTM製</v>
          </cell>
        </row>
        <row r="796">
          <cell r="A796" t="str">
            <v>725270</v>
          </cell>
          <cell r="D796" t="str">
            <v>DDM製</v>
          </cell>
        </row>
        <row r="797">
          <cell r="A797" t="str">
            <v>725280</v>
          </cell>
          <cell r="D797" t="str">
            <v>JXM製</v>
          </cell>
        </row>
        <row r="798">
          <cell r="A798" t="str">
            <v>726000</v>
          </cell>
          <cell r="C798" t="str">
            <v>66</v>
          </cell>
          <cell r="D798" t="str">
            <v>半製品売上原価</v>
          </cell>
        </row>
        <row r="799">
          <cell r="A799" t="str">
            <v>727000</v>
          </cell>
          <cell r="C799" t="str">
            <v>67</v>
          </cell>
          <cell r="D799" t="str">
            <v>材料売上原価</v>
          </cell>
        </row>
        <row r="800">
          <cell r="A800" t="str">
            <v>732000</v>
          </cell>
          <cell r="C800" t="str">
            <v>20</v>
          </cell>
          <cell r="D800" t="str">
            <v>仕入商品支払手数料</v>
          </cell>
        </row>
        <row r="801">
          <cell r="A801" t="str">
            <v>733000</v>
          </cell>
          <cell r="C801" t="str">
            <v>33</v>
          </cell>
          <cell r="D801" t="str">
            <v>増値税売上原価</v>
          </cell>
        </row>
        <row r="802">
          <cell r="A802" t="str">
            <v>734000</v>
          </cell>
          <cell r="C802" t="str">
            <v>43</v>
          </cell>
          <cell r="D802" t="str">
            <v>棚卸資産廃棄損</v>
          </cell>
        </row>
        <row r="803">
          <cell r="A803" t="str">
            <v>736000</v>
          </cell>
          <cell r="C803" t="str">
            <v>67</v>
          </cell>
          <cell r="D803" t="str">
            <v>棚卸資産評価損</v>
          </cell>
        </row>
        <row r="804">
          <cell r="A804" t="str">
            <v>740000</v>
          </cell>
          <cell r="D804" t="str">
            <v>支援/加工費用</v>
          </cell>
        </row>
        <row r="805">
          <cell r="A805" t="str">
            <v>741000</v>
          </cell>
          <cell r="D805" t="str">
            <v>加工費用(DWMのみ)</v>
          </cell>
        </row>
        <row r="806">
          <cell r="A806" t="str">
            <v>750400</v>
          </cell>
          <cell r="D806" t="str">
            <v>受取配当金</v>
          </cell>
        </row>
        <row r="807">
          <cell r="A807" t="str">
            <v>812100</v>
          </cell>
          <cell r="C807" t="str">
            <v>20</v>
          </cell>
          <cell r="D807" t="str">
            <v>販売手数料</v>
          </cell>
        </row>
        <row r="808">
          <cell r="A808" t="str">
            <v>875300</v>
          </cell>
          <cell r="C808" t="str">
            <v>37</v>
          </cell>
          <cell r="D808" t="str">
            <v>技術援助料</v>
          </cell>
        </row>
        <row r="809">
          <cell r="A809" t="str">
            <v>880000</v>
          </cell>
          <cell r="C809" t="str">
            <v>48</v>
          </cell>
          <cell r="D809" t="str">
            <v>輸出手形割引</v>
          </cell>
        </row>
        <row r="810">
          <cell r="A810" t="str">
            <v>880100</v>
          </cell>
          <cell r="C810" t="str">
            <v>63</v>
          </cell>
          <cell r="D810" t="str">
            <v>従業員住宅資金</v>
          </cell>
        </row>
        <row r="811">
          <cell r="A811" t="str">
            <v>880200</v>
          </cell>
          <cell r="C811" t="str">
            <v>67</v>
          </cell>
          <cell r="D811" t="str">
            <v>外国人労働者の債務保証</v>
          </cell>
        </row>
        <row r="812">
          <cell r="A812" t="str">
            <v>880300</v>
          </cell>
          <cell r="C812" t="str">
            <v>20</v>
          </cell>
          <cell r="D812" t="str">
            <v>貴金属先物買付契約</v>
          </cell>
        </row>
        <row r="813">
          <cell r="A813" t="str">
            <v>880400</v>
          </cell>
          <cell r="C813" t="str">
            <v>37</v>
          </cell>
          <cell r="D813" t="str">
            <v>退職年金資産</v>
          </cell>
        </row>
        <row r="814">
          <cell r="A814" t="str">
            <v>880500</v>
          </cell>
          <cell r="C814" t="str">
            <v>48</v>
          </cell>
          <cell r="D814" t="str">
            <v>法人ｸﾚｼﾞｯﾄｶｰﾄﾞ</v>
          </cell>
        </row>
        <row r="815">
          <cell r="A815" t="str">
            <v>880600</v>
          </cell>
          <cell r="C815" t="str">
            <v>63</v>
          </cell>
          <cell r="D815" t="str">
            <v>政府当局への保証</v>
          </cell>
        </row>
        <row r="816">
          <cell r="A816" t="str">
            <v>881000</v>
          </cell>
          <cell r="C816" t="str">
            <v>67</v>
          </cell>
          <cell r="D816" t="str">
            <v>増加</v>
          </cell>
        </row>
        <row r="817">
          <cell r="A817" t="str">
            <v>881100</v>
          </cell>
          <cell r="D817" t="str">
            <v>減少</v>
          </cell>
        </row>
        <row r="818">
          <cell r="A818" t="str">
            <v>881200</v>
          </cell>
          <cell r="D818" t="str">
            <v>増加</v>
          </cell>
        </row>
        <row r="819">
          <cell r="A819" t="str">
            <v>881300</v>
          </cell>
          <cell r="C819" t="str">
            <v>20</v>
          </cell>
          <cell r="D819" t="str">
            <v>減少</v>
          </cell>
        </row>
        <row r="820">
          <cell r="A820" t="str">
            <v>890000</v>
          </cell>
          <cell r="C820" t="str">
            <v>37</v>
          </cell>
          <cell r="D820" t="str">
            <v>期中平均発行済株式数</v>
          </cell>
        </row>
        <row r="821">
          <cell r="A821" t="str">
            <v>890100</v>
          </cell>
          <cell r="C821" t="str">
            <v>48</v>
          </cell>
          <cell r="D821" t="str">
            <v>期中平均自己株式数</v>
          </cell>
        </row>
        <row r="822">
          <cell r="A822" t="str">
            <v>890200</v>
          </cell>
          <cell r="C822" t="str">
            <v>63</v>
          </cell>
          <cell r="D822" t="str">
            <v>期末発行済株式数</v>
          </cell>
        </row>
        <row r="823">
          <cell r="A823" t="str">
            <v>890300</v>
          </cell>
          <cell r="C823" t="str">
            <v>67</v>
          </cell>
          <cell r="D823" t="str">
            <v>期末自己株式数</v>
          </cell>
        </row>
        <row r="824">
          <cell r="A824" t="str">
            <v>890400</v>
          </cell>
          <cell r="C824" t="str">
            <v>20</v>
          </cell>
          <cell r="D824" t="str">
            <v>期首発行済株式数</v>
          </cell>
        </row>
        <row r="825">
          <cell r="A825" t="str">
            <v>890500</v>
          </cell>
          <cell r="C825" t="str">
            <v>37</v>
          </cell>
          <cell r="D825" t="str">
            <v>潜在株式数</v>
          </cell>
        </row>
        <row r="826">
          <cell r="A826" t="str">
            <v>890600</v>
          </cell>
          <cell r="C826" t="str">
            <v>48</v>
          </cell>
          <cell r="D826" t="str">
            <v>潜在株式調整額</v>
          </cell>
        </row>
        <row r="827">
          <cell r="A827" t="str">
            <v>891000</v>
          </cell>
          <cell r="C827" t="str">
            <v>63</v>
          </cell>
          <cell r="D827" t="str">
            <v>研究開発費</v>
          </cell>
        </row>
        <row r="828">
          <cell r="A828" t="str">
            <v>891100</v>
          </cell>
          <cell r="C828" t="str">
            <v>67</v>
          </cell>
          <cell r="D828" t="str">
            <v>研究開発人員</v>
          </cell>
        </row>
        <row r="829">
          <cell r="A829" t="str">
            <v>903000</v>
          </cell>
          <cell r="D829" t="str">
            <v>総労働時間</v>
          </cell>
        </row>
        <row r="830">
          <cell r="A830" t="str">
            <v>903010</v>
          </cell>
          <cell r="D830" t="str">
            <v>総所定内時間</v>
          </cell>
        </row>
        <row r="831">
          <cell r="A831" t="str">
            <v>903020</v>
          </cell>
          <cell r="D831" t="str">
            <v>総残業時間</v>
          </cell>
        </row>
        <row r="832">
          <cell r="A832" t="str">
            <v>903100</v>
          </cell>
          <cell r="D832" t="str">
            <v>直接労働時間計</v>
          </cell>
        </row>
        <row r="833">
          <cell r="A833" t="str">
            <v>903110</v>
          </cell>
          <cell r="D833" t="str">
            <v>直接所定内時間</v>
          </cell>
        </row>
        <row r="834">
          <cell r="A834" t="str">
            <v>903120</v>
          </cell>
          <cell r="D834" t="str">
            <v>直接残業時間</v>
          </cell>
        </row>
        <row r="835">
          <cell r="A835" t="str">
            <v>903200</v>
          </cell>
          <cell r="D835" t="str">
            <v>間接労働時間計（製造）</v>
          </cell>
        </row>
        <row r="836">
          <cell r="A836" t="str">
            <v>903210</v>
          </cell>
          <cell r="D836" t="str">
            <v>間接所定内時間（製造）</v>
          </cell>
        </row>
        <row r="837">
          <cell r="A837" t="str">
            <v>903220</v>
          </cell>
          <cell r="D837" t="str">
            <v>間接残業時間（製造）</v>
          </cell>
        </row>
        <row r="838">
          <cell r="A838" t="str">
            <v>903300</v>
          </cell>
          <cell r="D838" t="str">
            <v>管理労働時間計</v>
          </cell>
        </row>
        <row r="839">
          <cell r="A839" t="str">
            <v>903310</v>
          </cell>
          <cell r="D839" t="str">
            <v>管理所定内時間</v>
          </cell>
        </row>
        <row r="840">
          <cell r="A840" t="str">
            <v>903320</v>
          </cell>
          <cell r="D840" t="str">
            <v>管理残業時間</v>
          </cell>
        </row>
        <row r="841">
          <cell r="A841" t="str">
            <v>6313020</v>
          </cell>
          <cell r="D841" t="str">
            <v>利益準備金－期首</v>
          </cell>
        </row>
        <row r="842">
          <cell r="A842" t="str">
            <v>6313033</v>
          </cell>
          <cell r="D842" t="str">
            <v>利益準備金－繰入</v>
          </cell>
        </row>
        <row r="843">
          <cell r="A843" t="str">
            <v>6313059</v>
          </cell>
          <cell r="D843" t="str">
            <v>利益準備金－取崩</v>
          </cell>
        </row>
        <row r="844">
          <cell r="A844" t="str">
            <v>72900A0</v>
          </cell>
          <cell r="D844" t="str">
            <v>技術援助料</v>
          </cell>
        </row>
        <row r="845">
          <cell r="A845" t="str">
            <v>72900B0</v>
          </cell>
          <cell r="D845" t="str">
            <v>技術援助料</v>
          </cell>
        </row>
        <row r="846">
          <cell r="A846" t="str">
            <v>111</v>
          </cell>
          <cell r="D846" t="str">
            <v>モーター部門</v>
          </cell>
        </row>
        <row r="847">
          <cell r="A847" t="str">
            <v>112</v>
          </cell>
          <cell r="D847" t="str">
            <v>パーツ部門</v>
          </cell>
        </row>
        <row r="848">
          <cell r="A848" t="str">
            <v>121</v>
          </cell>
          <cell r="D848" t="str">
            <v>モーター部門</v>
          </cell>
        </row>
        <row r="849">
          <cell r="A849" t="str">
            <v>122</v>
          </cell>
          <cell r="D849" t="str">
            <v>パーツ部門</v>
          </cell>
        </row>
        <row r="850">
          <cell r="A850" t="str">
            <v>131</v>
          </cell>
          <cell r="D850" t="str">
            <v>半製品</v>
          </cell>
        </row>
        <row r="851">
          <cell r="A851" t="str">
            <v>141</v>
          </cell>
          <cell r="D851" t="str">
            <v>材料</v>
          </cell>
        </row>
        <row r="852">
          <cell r="A852" t="str">
            <v>211</v>
          </cell>
          <cell r="D852" t="str">
            <v>工具・機器部門</v>
          </cell>
        </row>
        <row r="853">
          <cell r="A853" t="str">
            <v>221</v>
          </cell>
          <cell r="D853" t="str">
            <v>工具・機器部門</v>
          </cell>
        </row>
        <row r="854">
          <cell r="A854" t="str">
            <v>311</v>
          </cell>
          <cell r="D854" t="str">
            <v>その他</v>
          </cell>
        </row>
        <row r="855">
          <cell r="A855" t="str">
            <v>600810</v>
          </cell>
          <cell r="D855" t="str">
            <v>モーター</v>
          </cell>
        </row>
        <row r="856">
          <cell r="A856" t="str">
            <v>600820</v>
          </cell>
          <cell r="D856" t="str">
            <v>生産機器</v>
          </cell>
        </row>
        <row r="857">
          <cell r="A857" t="str">
            <v>600830</v>
          </cell>
          <cell r="D857" t="str">
            <v>モーター部品</v>
          </cell>
        </row>
        <row r="858">
          <cell r="A858" t="str">
            <v>600910</v>
          </cell>
          <cell r="D858" t="str">
            <v>モーター</v>
          </cell>
        </row>
        <row r="859">
          <cell r="A859" t="str">
            <v>600920</v>
          </cell>
          <cell r="D859" t="str">
            <v>モーター部品</v>
          </cell>
        </row>
        <row r="860">
          <cell r="A860" t="str">
            <v>600930</v>
          </cell>
          <cell r="D860" t="str">
            <v>生産機器</v>
          </cell>
        </row>
        <row r="861">
          <cell r="A861" t="str">
            <v>601010</v>
          </cell>
          <cell r="D861" t="str">
            <v>半製品</v>
          </cell>
        </row>
        <row r="862">
          <cell r="A862" t="str">
            <v>601110</v>
          </cell>
          <cell r="D862" t="str">
            <v>モーター部品</v>
          </cell>
        </row>
        <row r="863">
          <cell r="A863" t="str">
            <v>dgm</v>
          </cell>
          <cell r="D863" t="str">
            <v>DGM</v>
          </cell>
        </row>
        <row r="864">
          <cell r="A864" t="str">
            <v>DGM</v>
          </cell>
          <cell r="D864" t="str">
            <v>DGM</v>
          </cell>
        </row>
        <row r="865">
          <cell r="A865" t="str">
            <v>dlm</v>
          </cell>
          <cell r="D865" t="str">
            <v>DLM</v>
          </cell>
        </row>
        <row r="866">
          <cell r="A866" t="str">
            <v>DLM</v>
          </cell>
          <cell r="D866" t="str">
            <v>DLM</v>
          </cell>
        </row>
        <row r="867">
          <cell r="A867" t="str">
            <v>dwm</v>
          </cell>
          <cell r="D867" t="str">
            <v>DWM</v>
          </cell>
        </row>
        <row r="868">
          <cell r="A868" t="str">
            <v>DWM</v>
          </cell>
          <cell r="D868" t="str">
            <v>DWM</v>
          </cell>
        </row>
        <row r="869">
          <cell r="A869" t="str">
            <v>hdr100001</v>
          </cell>
          <cell r="D869" t="str">
            <v>0～ 1ヵ月未満</v>
          </cell>
        </row>
        <row r="870">
          <cell r="A870" t="str">
            <v>hdr100002</v>
          </cell>
          <cell r="D870" t="str">
            <v>0～ 6ヵ月未満</v>
          </cell>
        </row>
        <row r="871">
          <cell r="A871" t="str">
            <v>hdr100003</v>
          </cell>
          <cell r="D871" t="str">
            <v>0～ 3ヵ月未満</v>
          </cell>
        </row>
        <row r="872">
          <cell r="A872" t="str">
            <v>hdr101001</v>
          </cell>
          <cell r="D872" t="str">
            <v>1ヵ月以上 ～ 2ヵ月未満</v>
          </cell>
        </row>
        <row r="873">
          <cell r="A873" t="str">
            <v>hdr101002</v>
          </cell>
          <cell r="D873" t="str">
            <v>1年以上 ～ 2年未満</v>
          </cell>
        </row>
        <row r="874">
          <cell r="A874" t="str">
            <v>hdr101003</v>
          </cell>
          <cell r="D874" t="str">
            <v>1回あたりの支払リース料</v>
          </cell>
        </row>
        <row r="875">
          <cell r="A875" t="str">
            <v>hdr101004</v>
          </cell>
          <cell r="D875" t="str">
            <v>1年内償還の転換社債</v>
          </cell>
        </row>
        <row r="876">
          <cell r="A876" t="str">
            <v>hdr101005</v>
          </cell>
          <cell r="D876" t="str">
            <v>1年内償還の転換社債－期末</v>
          </cell>
        </row>
        <row r="877">
          <cell r="A877" t="str">
            <v>hdr101006</v>
          </cell>
          <cell r="D877" t="str">
            <v>1年以上 ～</v>
          </cell>
        </row>
        <row r="878">
          <cell r="A878" t="str">
            <v>hdr101007</v>
          </cell>
          <cell r="D878" t="str">
            <v>1年超2年以内</v>
          </cell>
        </row>
        <row r="879">
          <cell r="A879" t="str">
            <v>hdr102001</v>
          </cell>
          <cell r="D879" t="str">
            <v>2ヵ月以上 ～ 3ヵ月未満</v>
          </cell>
        </row>
        <row r="880">
          <cell r="A880" t="str">
            <v>hdr102002</v>
          </cell>
          <cell r="D880" t="str">
            <v>2年以上 ～</v>
          </cell>
        </row>
        <row r="881">
          <cell r="A881" t="str">
            <v>hdr102003</v>
          </cell>
          <cell r="D881" t="str">
            <v>2年超3年以内</v>
          </cell>
        </row>
        <row r="882">
          <cell r="A882" t="str">
            <v>hdr103001</v>
          </cell>
          <cell r="D882" t="str">
            <v>3ヵ月以上 ～</v>
          </cell>
        </row>
        <row r="883">
          <cell r="A883" t="str">
            <v>hdr103002</v>
          </cell>
          <cell r="D883" t="str">
            <v>3ヵ月以上 ～ 6ヵ月未満</v>
          </cell>
        </row>
        <row r="884">
          <cell r="A884" t="str">
            <v>hdr103003</v>
          </cell>
          <cell r="D884" t="str">
            <v>3年超4年以内</v>
          </cell>
        </row>
        <row r="885">
          <cell r="A885" t="str">
            <v>hdr104001</v>
          </cell>
          <cell r="D885" t="str">
            <v>4年超5年以内</v>
          </cell>
        </row>
        <row r="886">
          <cell r="A886" t="str">
            <v>hdr105001</v>
          </cell>
          <cell r="D886" t="str">
            <v>5年超</v>
          </cell>
        </row>
        <row r="887">
          <cell r="A887" t="str">
            <v>hdr106001</v>
          </cell>
          <cell r="D887" t="str">
            <v>6ヵ月以上 ～  1年未満</v>
          </cell>
        </row>
        <row r="888">
          <cell r="A888" t="str">
            <v>hdr126001</v>
          </cell>
          <cell r="D888" t="str">
            <v>263A SGA UNICAP(NYO)</v>
          </cell>
        </row>
        <row r="889">
          <cell r="A889" t="str">
            <v>hdr2cc001</v>
          </cell>
          <cell r="D889" t="str">
            <v>C1利益処分明細・資本増加明細</v>
          </cell>
        </row>
        <row r="890">
          <cell r="A890" t="str">
            <v>hdr2cc002</v>
          </cell>
          <cell r="D890" t="str">
            <v>C9MMK,TKM供給材料割合計算書</v>
          </cell>
        </row>
        <row r="891">
          <cell r="A891" t="str">
            <v>hdr2dg001</v>
          </cell>
          <cell r="D891" t="str">
            <v>DGM供給材料費割合計算書</v>
          </cell>
        </row>
        <row r="892">
          <cell r="A892" t="str">
            <v>hdr2dg002</v>
          </cell>
          <cell r="D892" t="str">
            <v>DGMより仕入高</v>
          </cell>
        </row>
        <row r="893">
          <cell r="A893" t="str">
            <v>hdr2dg003</v>
          </cell>
          <cell r="D893" t="str">
            <v>DGM仕入在庫－期首</v>
          </cell>
        </row>
        <row r="894">
          <cell r="A894" t="str">
            <v>hdr2dg004</v>
          </cell>
          <cell r="D894" t="str">
            <v>DGM仕入在庫－期末</v>
          </cell>
        </row>
        <row r="895">
          <cell r="A895" t="str">
            <v>hdr2dg005</v>
          </cell>
          <cell r="D895" t="str">
            <v>DGM材料費割合</v>
          </cell>
        </row>
        <row r="896">
          <cell r="A896" t="str">
            <v>hdr2ld001</v>
          </cell>
          <cell r="D896" t="str">
            <v>LDM供給材料費割合計算書</v>
          </cell>
        </row>
        <row r="897">
          <cell r="A897" t="str">
            <v>hdr2ld002</v>
          </cell>
          <cell r="D897" t="str">
            <v>LDMより仕入高</v>
          </cell>
        </row>
        <row r="898">
          <cell r="A898" t="str">
            <v>hdr2ld003</v>
          </cell>
          <cell r="D898" t="str">
            <v>LDM仕入在庫－期首</v>
          </cell>
        </row>
        <row r="899">
          <cell r="A899" t="str">
            <v>hdr2ld004</v>
          </cell>
          <cell r="D899" t="str">
            <v>LDM仕入在庫－期末</v>
          </cell>
        </row>
        <row r="900">
          <cell r="A900" t="str">
            <v>hdr2ld005</v>
          </cell>
          <cell r="D900" t="str">
            <v>LDM材料費割合</v>
          </cell>
        </row>
        <row r="901">
          <cell r="A901" t="str">
            <v>hdr2dr001</v>
          </cell>
          <cell r="D901" t="str">
            <v>DR/CR取引明細表</v>
          </cell>
        </row>
        <row r="902">
          <cell r="A902" t="str">
            <v>hdr2dr002</v>
          </cell>
          <cell r="D902" t="str">
            <v>IGS明細表</v>
          </cell>
        </row>
        <row r="903">
          <cell r="A903" t="str">
            <v>hdr2hh001</v>
          </cell>
          <cell r="D903" t="str">
            <v>供給材料費割合計算書</v>
          </cell>
        </row>
        <row r="904">
          <cell r="A904" t="str">
            <v>hdr2hh002</v>
          </cell>
          <cell r="D904" t="str">
            <v>HKSEIKOより仕入高</v>
          </cell>
        </row>
        <row r="905">
          <cell r="A905" t="str">
            <v>hdr2hh003</v>
          </cell>
          <cell r="D905" t="str">
            <v>HKSEIKO仕入在庫－期首</v>
          </cell>
        </row>
        <row r="906">
          <cell r="A906" t="str">
            <v>hdr2hh004</v>
          </cell>
          <cell r="D906" t="str">
            <v>HKSEIKO仕入在庫－期末</v>
          </cell>
        </row>
        <row r="907">
          <cell r="A907" t="str">
            <v>hdr2hh005</v>
          </cell>
          <cell r="D907" t="str">
            <v>HKSEIKO材料費割合</v>
          </cell>
        </row>
        <row r="908">
          <cell r="A908" t="str">
            <v>hdr2mm001</v>
          </cell>
          <cell r="D908" t="str">
            <v>MMK供給材料費割合計算書（工場のみ）</v>
          </cell>
        </row>
        <row r="909">
          <cell r="A909" t="str">
            <v>hdr2mm002</v>
          </cell>
          <cell r="D909" t="str">
            <v>MMKより仕入高</v>
          </cell>
        </row>
        <row r="910">
          <cell r="A910" t="str">
            <v>hdr2mm003</v>
          </cell>
          <cell r="D910" t="str">
            <v>MMK仕入在庫－期首</v>
          </cell>
        </row>
        <row r="911">
          <cell r="A911" t="str">
            <v>hdr2mm004</v>
          </cell>
          <cell r="D911" t="str">
            <v>MMK仕入在庫－期末</v>
          </cell>
        </row>
        <row r="912">
          <cell r="A912" t="str">
            <v>hdr2mm005</v>
          </cell>
          <cell r="D912" t="str">
            <v>MMK材料費割合</v>
          </cell>
        </row>
        <row r="913">
          <cell r="A913" t="str">
            <v>hdr2mm006</v>
          </cell>
          <cell r="D913" t="str">
            <v>MMK</v>
          </cell>
        </row>
        <row r="914">
          <cell r="A914" t="str">
            <v>hdr2mm007</v>
          </cell>
          <cell r="D914" t="str">
            <v>MMKから購入した棚卸資産－期首</v>
          </cell>
        </row>
        <row r="915">
          <cell r="A915" t="str">
            <v>hdr2ro001</v>
          </cell>
          <cell r="D915" t="str">
            <v>ROY･COMM受取明細（MMK/TWMのみ）</v>
          </cell>
        </row>
        <row r="916">
          <cell r="A916" t="str">
            <v>hdr2ss001</v>
          </cell>
          <cell r="D916" t="str">
            <v>S2売上原価計算書</v>
          </cell>
        </row>
        <row r="917">
          <cell r="A917" t="str">
            <v>hdr2ss002</v>
          </cell>
          <cell r="D917" t="str">
            <v>S5製造原価報告書</v>
          </cell>
        </row>
        <row r="918">
          <cell r="A918" t="str">
            <v>hdr2ss003</v>
          </cell>
          <cell r="D918" t="str">
            <v>S9固定資産増減明細</v>
          </cell>
        </row>
        <row r="919">
          <cell r="A919" t="str">
            <v>hdr2tt001</v>
          </cell>
          <cell r="D919" t="str">
            <v>T1資産負債増減明細</v>
          </cell>
        </row>
        <row r="920">
          <cell r="A920" t="str">
            <v>hdr2tt003</v>
          </cell>
          <cell r="D920" t="str">
            <v>TKM供給材料費割合計算書（工場のみ）</v>
          </cell>
        </row>
        <row r="921">
          <cell r="A921" t="str">
            <v>hdr2tt004</v>
          </cell>
          <cell r="D921" t="str">
            <v>TKMより仕入高</v>
          </cell>
        </row>
        <row r="922">
          <cell r="A922" t="str">
            <v>hdr2tt005</v>
          </cell>
          <cell r="D922" t="str">
            <v>TKM仕入在庫－期首</v>
          </cell>
        </row>
        <row r="923">
          <cell r="A923" t="str">
            <v>hdr2tt006</v>
          </cell>
          <cell r="D923" t="str">
            <v>TKM仕入在庫－期末</v>
          </cell>
        </row>
        <row r="924">
          <cell r="A924" t="str">
            <v>hdr2tt007</v>
          </cell>
          <cell r="D924" t="str">
            <v>TKM材料費割合</v>
          </cell>
        </row>
        <row r="925">
          <cell r="A925" t="str">
            <v>hdr2tt008</v>
          </cell>
          <cell r="D925" t="str">
            <v>TKMから購入した棚卸資産－期首</v>
          </cell>
        </row>
        <row r="926">
          <cell r="A926" t="str">
            <v>hdr3gu001</v>
          </cell>
          <cell r="D926" t="str">
            <v>グループ</v>
          </cell>
        </row>
        <row r="927">
          <cell r="A927" t="str">
            <v>hdr3gu002</v>
          </cell>
          <cell r="C927" t="str">
            <v>00001</v>
          </cell>
          <cell r="D927" t="str">
            <v>グループ向け</v>
          </cell>
        </row>
        <row r="928">
          <cell r="A928" t="str">
            <v>hdr3ku001</v>
          </cell>
          <cell r="C928" t="str">
            <v>00002</v>
          </cell>
          <cell r="D928" t="str">
            <v>クレーム</v>
          </cell>
        </row>
        <row r="929">
          <cell r="A929" t="str">
            <v>hdr3ku002</v>
          </cell>
          <cell r="C929" t="str">
            <v>00003</v>
          </cell>
          <cell r="D929" t="str">
            <v>クレーム工数明細</v>
          </cell>
        </row>
        <row r="930">
          <cell r="A930" t="str">
            <v>hdr3ku003</v>
          </cell>
          <cell r="C930" t="str">
            <v>01001</v>
          </cell>
          <cell r="D930" t="str">
            <v>クレーム小計</v>
          </cell>
        </row>
        <row r="931">
          <cell r="A931" t="str">
            <v>hdr3ku004</v>
          </cell>
          <cell r="C931" t="str">
            <v>01002</v>
          </cell>
          <cell r="D931" t="str">
            <v>クレーム番号</v>
          </cell>
        </row>
        <row r="932">
          <cell r="A932" t="str">
            <v>hdr3ku005</v>
          </cell>
          <cell r="C932" t="str">
            <v>01003</v>
          </cell>
          <cell r="D932" t="str">
            <v>クレーム明細</v>
          </cell>
        </row>
        <row r="933">
          <cell r="A933" t="str">
            <v>hdr3ma001</v>
          </cell>
          <cell r="C933" t="str">
            <v>01004</v>
          </cell>
          <cell r="D933" t="str">
            <v>マネージメント・レポート</v>
          </cell>
        </row>
        <row r="934">
          <cell r="A934" t="str">
            <v>hdr3mo001</v>
          </cell>
          <cell r="C934" t="str">
            <v>01005</v>
          </cell>
          <cell r="D934" t="str">
            <v>モーター販売数量</v>
          </cell>
        </row>
        <row r="935">
          <cell r="A935" t="str">
            <v>hdr3mo002</v>
          </cell>
          <cell r="C935" t="str">
            <v>01006</v>
          </cell>
          <cell r="D935" t="str">
            <v>モーター販売数量（千個）</v>
          </cell>
        </row>
        <row r="936">
          <cell r="A936" t="str">
            <v>hdr3mo003</v>
          </cell>
          <cell r="C936" t="str">
            <v>01007</v>
          </cell>
          <cell r="D936" t="str">
            <v>モーター生産数量（千個）</v>
          </cell>
        </row>
        <row r="937">
          <cell r="A937" t="str">
            <v>hdr3mo004</v>
          </cell>
          <cell r="C937" t="str">
            <v>02001</v>
          </cell>
          <cell r="D937" t="str">
            <v>モーター期末在庫数量（千個）</v>
          </cell>
        </row>
        <row r="938">
          <cell r="A938" t="str">
            <v>hdr3mo005</v>
          </cell>
          <cell r="C938" t="str">
            <v>02002</v>
          </cell>
          <cell r="D938" t="str">
            <v>モーター１個当りの販売単価（現地通貨）</v>
          </cell>
        </row>
        <row r="939">
          <cell r="A939" t="str">
            <v>hdr3mo006</v>
          </cell>
          <cell r="C939" t="str">
            <v>02003</v>
          </cell>
          <cell r="D939" t="str">
            <v>モーター１個当りの製造原価（現地通貨）</v>
          </cell>
        </row>
        <row r="940">
          <cell r="A940" t="str">
            <v>hdr3pe001</v>
          </cell>
          <cell r="C940" t="str">
            <v>03001</v>
          </cell>
          <cell r="D940" t="str">
            <v>ページ</v>
          </cell>
        </row>
        <row r="941">
          <cell r="A941" t="str">
            <v>hdr3re001</v>
          </cell>
          <cell r="C941" t="str">
            <v>03002</v>
          </cell>
          <cell r="D941" t="str">
            <v>レポーティング・パッケージ</v>
          </cell>
        </row>
        <row r="942">
          <cell r="A942" t="str">
            <v>hdr3re002</v>
          </cell>
          <cell r="C942" t="str">
            <v>03003</v>
          </cell>
          <cell r="D942" t="str">
            <v>レート損益</v>
          </cell>
        </row>
        <row r="943">
          <cell r="A943" t="str">
            <v>hdr3ri001</v>
          </cell>
          <cell r="C943" t="str">
            <v>04001</v>
          </cell>
          <cell r="D943" t="str">
            <v>リース解約明細</v>
          </cell>
        </row>
        <row r="944">
          <cell r="A944" t="str">
            <v>hdr3ri002</v>
          </cell>
          <cell r="C944" t="str">
            <v>05001</v>
          </cell>
          <cell r="D944" t="str">
            <v>リース契約新規・変更明細</v>
          </cell>
        </row>
        <row r="945">
          <cell r="A945" t="str">
            <v>hdr3ri003</v>
          </cell>
          <cell r="C945" t="str">
            <v>06001</v>
          </cell>
          <cell r="D945" t="str">
            <v>リース開始日</v>
          </cell>
        </row>
        <row r="946">
          <cell r="A946" t="str">
            <v>hdr3ri004</v>
          </cell>
          <cell r="C946" t="str">
            <v>26001</v>
          </cell>
          <cell r="D946" t="str">
            <v>リース開始日の為替レート</v>
          </cell>
        </row>
        <row r="947">
          <cell r="A947" t="str">
            <v>hdr3ri005</v>
          </cell>
          <cell r="C947" t="str">
            <v>cc001</v>
          </cell>
          <cell r="D947" t="str">
            <v>リース期間 （月数）</v>
          </cell>
        </row>
        <row r="948">
          <cell r="A948" t="str">
            <v>hdr3ri006</v>
          </cell>
          <cell r="C948" t="str">
            <v>cc002</v>
          </cell>
          <cell r="D948" t="str">
            <v>リース料総額</v>
          </cell>
        </row>
        <row r="949">
          <cell r="A949" t="str">
            <v>hdr3ri007</v>
          </cell>
          <cell r="C949" t="str">
            <v>dg001</v>
          </cell>
          <cell r="D949" t="str">
            <v>リース契約新規・変更明細</v>
          </cell>
        </row>
        <row r="950">
          <cell r="A950" t="str">
            <v>hdr3ri008</v>
          </cell>
          <cell r="C950" t="str">
            <v>dg002</v>
          </cell>
          <cell r="D950" t="str">
            <v>リース契約明細</v>
          </cell>
        </row>
        <row r="951">
          <cell r="A951" t="str">
            <v>hdr3ri009</v>
          </cell>
          <cell r="C951" t="str">
            <v>dg003</v>
          </cell>
          <cell r="D951" t="str">
            <v>リース契約期間</v>
          </cell>
        </row>
        <row r="952">
          <cell r="A952" t="str">
            <v>hdr3se001</v>
          </cell>
          <cell r="C952" t="str">
            <v>dg004</v>
          </cell>
          <cell r="D952" t="str">
            <v>セグメント・レポート</v>
          </cell>
        </row>
        <row r="953">
          <cell r="A953" t="str">
            <v>hdr3se002</v>
          </cell>
          <cell r="C953" t="str">
            <v>dg005</v>
          </cell>
          <cell r="D953" t="str">
            <v>セル位置</v>
          </cell>
        </row>
        <row r="954">
          <cell r="A954" t="str">
            <v>hdr3se003</v>
          </cell>
          <cell r="C954" t="str">
            <v>dr001</v>
          </cell>
          <cell r="D954" t="str">
            <v>セグメント</v>
          </cell>
        </row>
        <row r="955">
          <cell r="A955" t="str">
            <v>hdr3si001</v>
          </cell>
          <cell r="C955" t="str">
            <v>hh001</v>
          </cell>
          <cell r="D955" t="str">
            <v>シート番号</v>
          </cell>
        </row>
        <row r="956">
          <cell r="A956" t="str">
            <v>hdr3si002</v>
          </cell>
          <cell r="C956" t="str">
            <v>hh002</v>
          </cell>
          <cell r="D956" t="str">
            <v>シート名</v>
          </cell>
        </row>
        <row r="957">
          <cell r="A957" t="str">
            <v>hdr3so001</v>
          </cell>
          <cell r="C957" t="str">
            <v>hh003</v>
          </cell>
          <cell r="D957" t="str">
            <v>その他</v>
          </cell>
        </row>
        <row r="958">
          <cell r="A958" t="str">
            <v>hdr3so002</v>
          </cell>
          <cell r="C958" t="str">
            <v>hh004</v>
          </cell>
          <cell r="D958" t="str">
            <v>(その他)</v>
          </cell>
        </row>
        <row r="959">
          <cell r="A959" t="str">
            <v>hdr3ta001</v>
          </cell>
          <cell r="C959" t="str">
            <v>hh005</v>
          </cell>
          <cell r="D959" t="str">
            <v>タイプ</v>
          </cell>
        </row>
        <row r="960">
          <cell r="A960" t="str">
            <v>hdr3yu001</v>
          </cell>
          <cell r="C960" t="str">
            <v>mm001</v>
          </cell>
          <cell r="D960" t="str">
            <v>ユーザー保証残価</v>
          </cell>
        </row>
        <row r="961">
          <cell r="A961" t="str">
            <v>hdr4aa001</v>
          </cell>
          <cell r="C961" t="str">
            <v>mm002</v>
          </cell>
          <cell r="D961" t="str">
            <v>相手会社</v>
          </cell>
        </row>
        <row r="962">
          <cell r="A962" t="str">
            <v>hdr4aa002</v>
          </cell>
          <cell r="C962" t="str">
            <v>mm003</v>
          </cell>
          <cell r="D962" t="str">
            <v>相手先／債権額</v>
          </cell>
        </row>
        <row r="963">
          <cell r="A963" t="str">
            <v>hdr4aa003</v>
          </cell>
          <cell r="C963" t="str">
            <v>mm004</v>
          </cell>
          <cell r="D963" t="str">
            <v>相手先</v>
          </cell>
        </row>
        <row r="964">
          <cell r="A964" t="str">
            <v>hdr4aa004</v>
          </cell>
          <cell r="C964" t="str">
            <v>mm005</v>
          </cell>
          <cell r="D964" t="str">
            <v>圧縮記帳加算額</v>
          </cell>
        </row>
        <row r="965">
          <cell r="A965" t="str">
            <v>hdr4aa005</v>
          </cell>
          <cell r="C965" t="str">
            <v>mm006</v>
          </cell>
          <cell r="D965" t="str">
            <v>圧縮記帳額</v>
          </cell>
        </row>
        <row r="966">
          <cell r="A966" t="str">
            <v>hdr4ba001</v>
          </cell>
          <cell r="C966" t="str">
            <v>mm007</v>
          </cell>
          <cell r="D966" t="str">
            <v>売却損益</v>
          </cell>
        </row>
        <row r="967">
          <cell r="A967" t="str">
            <v>hdr4ba002</v>
          </cell>
          <cell r="C967" t="str">
            <v>ro001</v>
          </cell>
          <cell r="D967" t="str">
            <v>売却額</v>
          </cell>
        </row>
        <row r="968">
          <cell r="A968" t="str">
            <v>hdr4ba003</v>
          </cell>
          <cell r="C968" t="str">
            <v>ss001</v>
          </cell>
          <cell r="D968" t="str">
            <v>売却理由</v>
          </cell>
        </row>
        <row r="969">
          <cell r="A969" t="str">
            <v>hdr4ba004</v>
          </cell>
          <cell r="C969" t="str">
            <v>ss002</v>
          </cell>
          <cell r="D969" t="str">
            <v>売却原価</v>
          </cell>
        </row>
        <row r="970">
          <cell r="A970" t="str">
            <v>hdr4bi001</v>
          </cell>
          <cell r="C970" t="str">
            <v>ss003</v>
          </cell>
          <cell r="D970" t="str">
            <v>備考情報</v>
          </cell>
        </row>
        <row r="971">
          <cell r="A971" t="str">
            <v>hdr4bu001</v>
          </cell>
          <cell r="C971" t="str">
            <v>tt001</v>
          </cell>
          <cell r="D971" t="str">
            <v>部門コード</v>
          </cell>
        </row>
        <row r="972">
          <cell r="A972" t="str">
            <v>hdr4bu002</v>
          </cell>
          <cell r="C972" t="str">
            <v>tt003</v>
          </cell>
          <cell r="D972" t="str">
            <v>部門名</v>
          </cell>
        </row>
        <row r="973">
          <cell r="A973" t="str">
            <v>hdr4bu003</v>
          </cell>
          <cell r="C973" t="str">
            <v>tt004</v>
          </cell>
          <cell r="D973" t="str">
            <v>分解</v>
          </cell>
        </row>
        <row r="974">
          <cell r="A974" t="str">
            <v>hdr4bu004</v>
          </cell>
          <cell r="C974" t="str">
            <v>tt005</v>
          </cell>
          <cell r="D974" t="str">
            <v>物件情報</v>
          </cell>
        </row>
        <row r="975">
          <cell r="A975" t="str">
            <v>hdr4bu005</v>
          </cell>
          <cell r="C975" t="str">
            <v>tt006</v>
          </cell>
          <cell r="D975" t="str">
            <v>物件名称</v>
          </cell>
        </row>
        <row r="976">
          <cell r="A976" t="str">
            <v>hdr4bu006</v>
          </cell>
          <cell r="C976" t="str">
            <v>tt007</v>
          </cell>
          <cell r="D976" t="str">
            <v>分類</v>
          </cell>
        </row>
        <row r="977">
          <cell r="A977" t="str">
            <v>hdr4de001</v>
          </cell>
          <cell r="C977" t="str">
            <v>tt008</v>
          </cell>
          <cell r="D977" t="str">
            <v>電話加入権</v>
          </cell>
        </row>
        <row r="978">
          <cell r="A978" t="str">
            <v>hdr4de002</v>
          </cell>
          <cell r="C978" t="str">
            <v>ku001</v>
          </cell>
          <cell r="D978" t="str">
            <v>電話加入権－取得原価－期首</v>
          </cell>
        </row>
        <row r="979">
          <cell r="A979" t="str">
            <v>hdr4de003</v>
          </cell>
          <cell r="C979" t="str">
            <v>ku002</v>
          </cell>
          <cell r="D979" t="str">
            <v>電話加入権－減価償却累計額－期首</v>
          </cell>
        </row>
        <row r="980">
          <cell r="A980" t="str">
            <v>hdr4ee001</v>
          </cell>
          <cell r="C980" t="str">
            <v>ku003</v>
          </cell>
          <cell r="D980" t="str">
            <v>営業レポート</v>
          </cell>
        </row>
        <row r="981">
          <cell r="A981" t="str">
            <v>hdr4ee002</v>
          </cell>
          <cell r="C981" t="str">
            <v>ku004</v>
          </cell>
          <cell r="D981" t="str">
            <v>営業外明細（相手先別）</v>
          </cell>
        </row>
        <row r="982">
          <cell r="A982" t="str">
            <v>hdr4ee003</v>
          </cell>
          <cell r="C982" t="str">
            <v>ku005</v>
          </cell>
          <cell r="D982" t="str">
            <v>営業外収益</v>
          </cell>
        </row>
        <row r="983">
          <cell r="A983" t="str">
            <v>hdr4ee004</v>
          </cell>
          <cell r="C983" t="str">
            <v>gu001</v>
          </cell>
          <cell r="D983" t="str">
            <v>営業外費用</v>
          </cell>
        </row>
        <row r="984">
          <cell r="A984" t="str">
            <v>hdr4ee005</v>
          </cell>
          <cell r="C984" t="str">
            <v>gu002</v>
          </cell>
          <cell r="D984" t="str">
            <v>(永久差異-費用)</v>
          </cell>
        </row>
        <row r="985">
          <cell r="A985" t="str">
            <v>hdr4ee006</v>
          </cell>
          <cell r="C985" t="str">
            <v>si001</v>
          </cell>
          <cell r="D985" t="str">
            <v>(永久差異-収益)</v>
          </cell>
        </row>
        <row r="986">
          <cell r="A986" t="str">
            <v>hdr4ee007</v>
          </cell>
          <cell r="C986" t="str">
            <v>si002</v>
          </cell>
          <cell r="D986" t="str">
            <v>営業外収入課税(MLM)</v>
          </cell>
        </row>
        <row r="987">
          <cell r="A987" t="str">
            <v>hdr4ge001</v>
          </cell>
          <cell r="C987" t="str">
            <v>se001</v>
          </cell>
          <cell r="D987" t="str">
            <v>月次</v>
          </cell>
        </row>
        <row r="988">
          <cell r="A988" t="str">
            <v>hdr4ge002</v>
          </cell>
          <cell r="C988" t="str">
            <v>se002</v>
          </cell>
          <cell r="D988" t="str">
            <v>月末在籍者数</v>
          </cell>
        </row>
        <row r="989">
          <cell r="A989" t="str">
            <v>hdr4ge003</v>
          </cell>
          <cell r="C989" t="str">
            <v>se003</v>
          </cell>
          <cell r="D989" t="str">
            <v>原材料</v>
          </cell>
        </row>
        <row r="990">
          <cell r="A990" t="str">
            <v>hdr4ge004</v>
          </cell>
          <cell r="C990" t="str">
            <v>so001</v>
          </cell>
          <cell r="D990" t="str">
            <v>現地科目コード</v>
          </cell>
        </row>
        <row r="991">
          <cell r="A991" t="str">
            <v>hdr4ge005</v>
          </cell>
          <cell r="C991" t="str">
            <v>so002</v>
          </cell>
          <cell r="D991" t="str">
            <v>現地科目名称</v>
          </cell>
        </row>
        <row r="992">
          <cell r="A992" t="str">
            <v>hdr4ge006</v>
          </cell>
          <cell r="C992" t="str">
            <v>ta001</v>
          </cell>
          <cell r="D992" t="str">
            <v>減少</v>
          </cell>
        </row>
        <row r="993">
          <cell r="A993" t="str">
            <v>hdr4ge007</v>
          </cell>
          <cell r="C993" t="str">
            <v>pe001</v>
          </cell>
          <cell r="D993" t="str">
            <v>減価償却累計額</v>
          </cell>
        </row>
        <row r="994">
          <cell r="A994" t="str">
            <v>hdr4ge008</v>
          </cell>
          <cell r="C994" t="str">
            <v>ma001</v>
          </cell>
          <cell r="D994" t="str">
            <v>現地会計処理</v>
          </cell>
        </row>
        <row r="995">
          <cell r="A995" t="str">
            <v>hdr4ge009</v>
          </cell>
          <cell r="C995" t="str">
            <v>mo001</v>
          </cell>
          <cell r="D995" t="str">
            <v>月次決算報告書</v>
          </cell>
        </row>
        <row r="996">
          <cell r="A996" t="str">
            <v>hdr4ge010</v>
          </cell>
          <cell r="C996" t="str">
            <v>mo002</v>
          </cell>
          <cell r="D996" t="str">
            <v>減算</v>
          </cell>
        </row>
        <row r="997">
          <cell r="A997" t="str">
            <v>hdr4ge011</v>
          </cell>
          <cell r="C997" t="str">
            <v>mo003</v>
          </cell>
          <cell r="D997" t="str">
            <v>減価償却超過額</v>
          </cell>
        </row>
        <row r="998">
          <cell r="A998" t="str">
            <v>hdr4ge012</v>
          </cell>
          <cell r="C998" t="str">
            <v>mo004</v>
          </cell>
          <cell r="D998" t="str">
            <v>減価償却超過額認容</v>
          </cell>
        </row>
        <row r="999">
          <cell r="A999" t="str">
            <v>hdr4ge013</v>
          </cell>
          <cell r="C999" t="str">
            <v>mo005</v>
          </cell>
          <cell r="D999" t="str">
            <v>現金同等物</v>
          </cell>
        </row>
        <row r="1000">
          <cell r="A1000" t="str">
            <v>hdr4ge014</v>
          </cell>
          <cell r="C1000" t="str">
            <v>mo006</v>
          </cell>
          <cell r="D1000" t="str">
            <v>減価償却費会社計算(HKM,MLM)</v>
          </cell>
        </row>
        <row r="1001">
          <cell r="A1001" t="str">
            <v>hdr4ge015</v>
          </cell>
          <cell r="C1001" t="str">
            <v>yu001</v>
          </cell>
          <cell r="D1001" t="str">
            <v>減価償却費法定計算(HKM,MLM)</v>
          </cell>
        </row>
        <row r="1002">
          <cell r="A1002" t="str">
            <v>hdr4ge016</v>
          </cell>
          <cell r="C1002" t="str">
            <v>ri001</v>
          </cell>
          <cell r="D1002" t="str">
            <v>月額リース料</v>
          </cell>
        </row>
        <row r="1003">
          <cell r="A1003" t="str">
            <v>hdr4gi001</v>
          </cell>
          <cell r="C1003" t="str">
            <v>ri002</v>
          </cell>
          <cell r="D1003" t="str">
            <v>技術援助料</v>
          </cell>
        </row>
        <row r="1004">
          <cell r="A1004" t="str">
            <v>hdr4go001</v>
          </cell>
          <cell r="C1004" t="str">
            <v>ri003</v>
          </cell>
          <cell r="D1004" t="str">
            <v>合計</v>
          </cell>
        </row>
        <row r="1005">
          <cell r="A1005" t="str">
            <v>hdr4go002</v>
          </cell>
          <cell r="C1005" t="str">
            <v>ri004</v>
          </cell>
          <cell r="D1005" t="str">
            <v>合計の内、既支払額</v>
          </cell>
        </row>
        <row r="1006">
          <cell r="A1006" t="str">
            <v>hdr4gu001</v>
          </cell>
          <cell r="C1006" t="str">
            <v>ri005</v>
          </cell>
          <cell r="D1006" t="str">
            <v>偶発債務明細</v>
          </cell>
        </row>
        <row r="1007">
          <cell r="A1007" t="str">
            <v>hdr4gu002</v>
          </cell>
          <cell r="C1007" t="str">
            <v>ri006</v>
          </cell>
          <cell r="D1007" t="str">
            <v>偶発債務</v>
          </cell>
        </row>
        <row r="1008">
          <cell r="A1008" t="str">
            <v>hdr4ha001</v>
          </cell>
          <cell r="C1008" t="str">
            <v>ri007</v>
          </cell>
          <cell r="D1008" t="str">
            <v>発生理由</v>
          </cell>
        </row>
        <row r="1009">
          <cell r="A1009" t="str">
            <v>hdr4ha002</v>
          </cell>
          <cell r="C1009" t="str">
            <v>ri008</v>
          </cell>
          <cell r="D1009" t="str">
            <v>半製品</v>
          </cell>
        </row>
        <row r="1010">
          <cell r="A1010" t="str">
            <v>hdr4ha003</v>
          </cell>
          <cell r="C1010" t="str">
            <v>ri009</v>
          </cell>
          <cell r="D1010" t="str">
            <v>販売費</v>
          </cell>
        </row>
        <row r="1011">
          <cell r="A1011" t="str">
            <v>hdr4ha004</v>
          </cell>
          <cell r="C1011" t="str">
            <v>re001</v>
          </cell>
          <cell r="D1011" t="str">
            <v>販売費及び一般管理費明細</v>
          </cell>
        </row>
        <row r="1012">
          <cell r="A1012" t="str">
            <v>hdr4ha005</v>
          </cell>
          <cell r="C1012" t="str">
            <v>re002</v>
          </cell>
          <cell r="D1012" t="str">
            <v>販売費及び一般管理費明細（部門別）</v>
          </cell>
        </row>
        <row r="1013">
          <cell r="A1013" t="str">
            <v>hdr4ha006</v>
          </cell>
          <cell r="C1013" t="str">
            <v>aa001</v>
          </cell>
          <cell r="D1013" t="str">
            <v>販売費及び一般管理費</v>
          </cell>
        </row>
        <row r="1014">
          <cell r="A1014" t="str">
            <v>hdr4ha007</v>
          </cell>
          <cell r="C1014" t="str">
            <v>aa002</v>
          </cell>
          <cell r="D1014" t="str">
            <v>配当元／配当額</v>
          </cell>
        </row>
        <row r="1015">
          <cell r="A1015" t="str">
            <v>hdr4ha008</v>
          </cell>
          <cell r="C1015" t="str">
            <v>aa003</v>
          </cell>
          <cell r="D1015" t="str">
            <v>半期</v>
          </cell>
        </row>
        <row r="1016">
          <cell r="A1016" t="str">
            <v>hdr4ha009</v>
          </cell>
          <cell r="C1016" t="str">
            <v>aa004</v>
          </cell>
          <cell r="D1016" t="str">
            <v>半製品売上</v>
          </cell>
        </row>
        <row r="1017">
          <cell r="A1017" t="str">
            <v>hdr4ha010</v>
          </cell>
          <cell r="C1017" t="str">
            <v>aa005</v>
          </cell>
          <cell r="D1017" t="str">
            <v>半製品－期首</v>
          </cell>
        </row>
        <row r="1018">
          <cell r="A1018" t="str">
            <v>hdr4ha011</v>
          </cell>
          <cell r="C1018" t="str">
            <v>ii001</v>
          </cell>
          <cell r="D1018" t="str">
            <v>販売費及び一般管理費明細（相手先別）</v>
          </cell>
        </row>
        <row r="1019">
          <cell r="A1019" t="str">
            <v>hdr4ha012</v>
          </cell>
          <cell r="C1019" t="str">
            <v>ii002</v>
          </cell>
          <cell r="D1019" t="str">
            <v>販売管理（人）</v>
          </cell>
        </row>
        <row r="1020">
          <cell r="A1020" t="str">
            <v>hdr4ha013</v>
          </cell>
          <cell r="C1020" t="str">
            <v>aa006</v>
          </cell>
          <cell r="D1020" t="str">
            <v>期末</v>
          </cell>
        </row>
        <row r="1021">
          <cell r="A1021" t="str">
            <v>hdr4he001</v>
          </cell>
          <cell r="C1021" t="str">
            <v>ii003</v>
          </cell>
          <cell r="D1021" t="str">
            <v>平均為替レート（対ＵＳ$）</v>
          </cell>
        </row>
        <row r="1022">
          <cell r="A1022" t="str">
            <v>hdr4he002</v>
          </cell>
          <cell r="C1022" t="str">
            <v>ii004</v>
          </cell>
          <cell r="D1022" t="str">
            <v>平均賃上率（年換算％）</v>
          </cell>
        </row>
        <row r="1023">
          <cell r="A1023" t="str">
            <v>hdr4hi001</v>
          </cell>
          <cell r="C1023" t="str">
            <v>ii005</v>
          </cell>
          <cell r="D1023" t="str">
            <v>比率</v>
          </cell>
        </row>
        <row r="1024">
          <cell r="A1024" t="str">
            <v>hdr4hi002</v>
          </cell>
          <cell r="C1024" t="str">
            <v>ii006</v>
          </cell>
          <cell r="D1024" t="str">
            <v>品目</v>
          </cell>
        </row>
        <row r="1025">
          <cell r="A1025" t="str">
            <v>hdr4hi003</v>
          </cell>
          <cell r="C1025" t="str">
            <v>ii007</v>
          </cell>
          <cell r="D1025" t="str">
            <v>品目code</v>
          </cell>
        </row>
        <row r="1026">
          <cell r="A1026" t="str">
            <v>hdr4hi004</v>
          </cell>
          <cell r="C1026" t="str">
            <v>ii008</v>
          </cell>
          <cell r="D1026" t="str">
            <v>品目コード</v>
          </cell>
        </row>
        <row r="1027">
          <cell r="A1027" t="str">
            <v>hdr4hi005</v>
          </cell>
          <cell r="C1027" t="str">
            <v>ii009</v>
          </cell>
          <cell r="D1027" t="str">
            <v>日付</v>
          </cell>
        </row>
        <row r="1028">
          <cell r="A1028" t="str">
            <v>hdr4hi006</v>
          </cell>
          <cell r="C1028" t="str">
            <v>uu001</v>
          </cell>
          <cell r="D1028" t="str">
            <v>費用で計上</v>
          </cell>
        </row>
        <row r="1029">
          <cell r="A1029" t="str">
            <v>hdr4ho001</v>
          </cell>
          <cell r="C1029" t="str">
            <v>uu002</v>
          </cell>
          <cell r="D1029" t="str">
            <v>報告書上の期首剰余金</v>
          </cell>
        </row>
        <row r="1030">
          <cell r="A1030" t="str">
            <v>hdr4ho002</v>
          </cell>
          <cell r="C1030" t="str">
            <v>uu003</v>
          </cell>
          <cell r="D1030" t="str">
            <v>法人税及び住民税</v>
          </cell>
        </row>
        <row r="1031">
          <cell r="A1031" t="str">
            <v>hdr4ho003</v>
          </cell>
          <cell r="C1031" t="str">
            <v>uu004</v>
          </cell>
          <cell r="D1031" t="str">
            <v>法定実効税率</v>
          </cell>
        </row>
        <row r="1032">
          <cell r="A1032" t="str">
            <v>hdr4ho004</v>
          </cell>
          <cell r="C1032" t="str">
            <v>uu005</v>
          </cell>
          <cell r="D1032" t="str">
            <v>法定実効税率の税金費用</v>
          </cell>
        </row>
        <row r="1033">
          <cell r="A1033" t="str">
            <v>hdr4ho005</v>
          </cell>
          <cell r="C1033" t="str">
            <v>uu006</v>
          </cell>
          <cell r="D1033" t="str">
            <v>法人税+法人税等調整額</v>
          </cell>
        </row>
        <row r="1034">
          <cell r="A1034" t="str">
            <v>hdr4hy001</v>
          </cell>
          <cell r="C1034" t="str">
            <v>uu007</v>
          </cell>
          <cell r="D1034" t="str">
            <v>評価損益</v>
          </cell>
        </row>
        <row r="1035">
          <cell r="A1035" t="str">
            <v>hdr4ii001</v>
          </cell>
          <cell r="C1035" t="str">
            <v>uu008</v>
          </cell>
          <cell r="D1035" t="str">
            <v>一般</v>
          </cell>
        </row>
        <row r="1036">
          <cell r="A1036" t="str">
            <v>hdr4ii002</v>
          </cell>
          <cell r="C1036" t="str">
            <v>uu009</v>
          </cell>
          <cell r="D1036" t="str">
            <v>一般管理費</v>
          </cell>
        </row>
        <row r="1037">
          <cell r="A1037" t="str">
            <v>hdr4ii003</v>
          </cell>
          <cell r="C1037" t="str">
            <v>uu010</v>
          </cell>
          <cell r="D1037" t="str">
            <v>一般小計</v>
          </cell>
        </row>
        <row r="1038">
          <cell r="A1038" t="str">
            <v>hdr4ii004</v>
          </cell>
          <cell r="C1038" t="str">
            <v>uu011</v>
          </cell>
          <cell r="D1038" t="str">
            <v>一般地場</v>
          </cell>
        </row>
        <row r="1039">
          <cell r="A1039" t="str">
            <v>hdr4ii005</v>
          </cell>
          <cell r="C1039" t="str">
            <v>uu012</v>
          </cell>
          <cell r="D1039" t="str">
            <v>一般輸出</v>
          </cell>
        </row>
        <row r="1040">
          <cell r="A1040" t="str">
            <v>hdr4ii006</v>
          </cell>
          <cell r="C1040" t="str">
            <v>uu013</v>
          </cell>
          <cell r="D1040" t="str">
            <v>一部解約</v>
          </cell>
        </row>
        <row r="1041">
          <cell r="A1041" t="str">
            <v>hdr4ii007</v>
          </cell>
          <cell r="C1041" t="str">
            <v>uu014</v>
          </cell>
          <cell r="D1041" t="str">
            <v>一般地場計</v>
          </cell>
        </row>
        <row r="1042">
          <cell r="A1042" t="str">
            <v>hdr4ii008</v>
          </cell>
          <cell r="C1042" t="str">
            <v>uu015</v>
          </cell>
          <cell r="D1042" t="str">
            <v>一般輸出計</v>
          </cell>
        </row>
        <row r="1043">
          <cell r="A1043" t="str">
            <v>hdr4ii009</v>
          </cell>
          <cell r="C1043" t="str">
            <v>ee001</v>
          </cell>
          <cell r="D1043" t="str">
            <v>一般向け</v>
          </cell>
        </row>
        <row r="1044">
          <cell r="A1044" t="str">
            <v>hdr4ji001</v>
          </cell>
          <cell r="C1044" t="str">
            <v>ee002</v>
          </cell>
          <cell r="D1044" t="str">
            <v>自工場責任</v>
          </cell>
        </row>
        <row r="1045">
          <cell r="A1045" t="str">
            <v>hdr4ji002</v>
          </cell>
          <cell r="C1045" t="str">
            <v>ee003</v>
          </cell>
          <cell r="D1045" t="str">
            <v>自社発行株式明細、研究開発明細（MMKのみ）</v>
          </cell>
        </row>
        <row r="1046">
          <cell r="A1046" t="str">
            <v>hdr4ji003</v>
          </cell>
          <cell r="C1046" t="str">
            <v>ee004</v>
          </cell>
          <cell r="D1046" t="str">
            <v>実績</v>
          </cell>
        </row>
        <row r="1047">
          <cell r="A1047" t="str">
            <v>hdr4ji004</v>
          </cell>
          <cell r="C1047" t="str">
            <v>ee005</v>
          </cell>
          <cell r="D1047" t="str">
            <v>人事レポート</v>
          </cell>
        </row>
        <row r="1048">
          <cell r="A1048" t="str">
            <v>hdr4ji005</v>
          </cell>
          <cell r="C1048" t="str">
            <v>ee006</v>
          </cell>
          <cell r="D1048" t="str">
            <v>自社発行株式</v>
          </cell>
        </row>
        <row r="1049">
          <cell r="A1049" t="str">
            <v>hdr4ji006</v>
          </cell>
          <cell r="C1049" t="str">
            <v>ee007</v>
          </cell>
          <cell r="D1049" t="str">
            <v>自己株式</v>
          </cell>
        </row>
        <row r="1050">
          <cell r="A1050" t="str">
            <v>hdr4ji007</v>
          </cell>
          <cell r="C1050" t="str">
            <v>ka001</v>
          </cell>
          <cell r="D1050" t="str">
            <v>自己株式－期末</v>
          </cell>
        </row>
        <row r="1051">
          <cell r="A1051" t="str">
            <v>hdr4ji008</v>
          </cell>
          <cell r="C1051" t="str">
            <v>ka002</v>
          </cell>
          <cell r="D1051" t="str">
            <v>（実績）</v>
          </cell>
        </row>
        <row r="1052">
          <cell r="A1052" t="str">
            <v>hdr4ji009</v>
          </cell>
          <cell r="C1052" t="str">
            <v>ka003</v>
          </cell>
          <cell r="D1052" t="str">
            <v>（実績/実績予測）</v>
          </cell>
        </row>
        <row r="1053">
          <cell r="A1053" t="str">
            <v>hdr4ji010</v>
          </cell>
          <cell r="C1053" t="str">
            <v>ka004</v>
          </cell>
          <cell r="D1053" t="str">
            <v>時価</v>
          </cell>
        </row>
        <row r="1054">
          <cell r="A1054" t="str">
            <v>hdr4jy001</v>
          </cell>
          <cell r="C1054" t="str">
            <v>ka005</v>
          </cell>
          <cell r="D1054" t="str">
            <v>剰余金</v>
          </cell>
        </row>
        <row r="1055">
          <cell r="A1055" t="str">
            <v>hdr4jy002</v>
          </cell>
          <cell r="C1055" t="str">
            <v>ka006</v>
          </cell>
          <cell r="D1055" t="str">
            <v>除却</v>
          </cell>
        </row>
        <row r="1056">
          <cell r="A1056" t="str">
            <v>hdr4jy003</v>
          </cell>
          <cell r="C1056" t="str">
            <v>ka007</v>
          </cell>
          <cell r="D1056" t="str">
            <v>除却年月</v>
          </cell>
        </row>
        <row r="1057">
          <cell r="A1057" t="str">
            <v>hdr4jy004</v>
          </cell>
          <cell r="C1057" t="str">
            <v>ka008</v>
          </cell>
          <cell r="D1057" t="str">
            <v>除却年月Code</v>
          </cell>
        </row>
        <row r="1058">
          <cell r="A1058" t="str">
            <v>hdr4jy005</v>
          </cell>
          <cell r="C1058" t="str">
            <v>ka009</v>
          </cell>
          <cell r="D1058" t="str">
            <v>従業員数（期末人員）</v>
          </cell>
        </row>
        <row r="1059">
          <cell r="A1059" t="str">
            <v>hdr4jy006</v>
          </cell>
          <cell r="C1059" t="str">
            <v>ka010</v>
          </cell>
          <cell r="D1059" t="str">
            <v>情報化関連</v>
          </cell>
        </row>
        <row r="1060">
          <cell r="A1060" t="str">
            <v>hdr4ka001</v>
          </cell>
          <cell r="C1060" t="str">
            <v>ka011</v>
          </cell>
          <cell r="D1060" t="str">
            <v>非連子小計</v>
          </cell>
        </row>
        <row r="1061">
          <cell r="A1061" t="str">
            <v>hdr4ka002</v>
          </cell>
          <cell r="C1061" t="str">
            <v>ka012</v>
          </cell>
          <cell r="D1061" t="str">
            <v>勘定科目</v>
          </cell>
        </row>
        <row r="1062">
          <cell r="A1062" t="str">
            <v>hdr4ka003</v>
          </cell>
          <cell r="C1062" t="str">
            <v>ka013</v>
          </cell>
          <cell r="D1062" t="str">
            <v>勘定明細表</v>
          </cell>
        </row>
        <row r="1063">
          <cell r="A1063" t="str">
            <v>hdr4ka004</v>
          </cell>
          <cell r="C1063" t="str">
            <v>ka014</v>
          </cell>
          <cell r="D1063" t="str">
            <v>借方科目</v>
          </cell>
        </row>
        <row r="1064">
          <cell r="A1064" t="str">
            <v>hdr4ka005</v>
          </cell>
          <cell r="C1064" t="str">
            <v>ka015</v>
          </cell>
          <cell r="D1064" t="str">
            <v>貸方科目</v>
          </cell>
        </row>
        <row r="1065">
          <cell r="A1065" t="str">
            <v>hdr4ka006</v>
          </cell>
          <cell r="C1065" t="str">
            <v>ka016</v>
          </cell>
          <cell r="D1065" t="str">
            <v>関係会社株式</v>
          </cell>
        </row>
        <row r="1066">
          <cell r="A1066" t="str">
            <v>hdr4ka007</v>
          </cell>
          <cell r="C1066" t="str">
            <v>ka017</v>
          </cell>
          <cell r="D1066" t="str">
            <v>関係会社出資金</v>
          </cell>
        </row>
        <row r="1067">
          <cell r="A1067" t="str">
            <v>hdr4ka008</v>
          </cell>
          <cell r="C1067" t="str">
            <v>ka018</v>
          </cell>
          <cell r="D1067" t="str">
            <v>解約</v>
          </cell>
        </row>
        <row r="1068">
          <cell r="A1068" t="str">
            <v>hdr4ka009</v>
          </cell>
          <cell r="C1068" t="str">
            <v>ka019</v>
          </cell>
          <cell r="D1068" t="str">
            <v>解約日</v>
          </cell>
        </row>
        <row r="1069">
          <cell r="A1069" t="str">
            <v>hdr4ka010</v>
          </cell>
          <cell r="C1069" t="str">
            <v>ka020</v>
          </cell>
          <cell r="D1069" t="str">
            <v>関連／一般会社</v>
          </cell>
        </row>
        <row r="1070">
          <cell r="A1070" t="str">
            <v>hdr4ka011</v>
          </cell>
          <cell r="C1070" t="str">
            <v>ka021</v>
          </cell>
          <cell r="D1070" t="str">
            <v>借方</v>
          </cell>
        </row>
        <row r="1071">
          <cell r="A1071" t="str">
            <v>hdr4ka012</v>
          </cell>
          <cell r="C1071" t="str">
            <v>ka022</v>
          </cell>
          <cell r="D1071" t="str">
            <v>貸方</v>
          </cell>
        </row>
        <row r="1072">
          <cell r="A1072" t="str">
            <v>hdr4ka013</v>
          </cell>
          <cell r="C1072" t="str">
            <v>ka023</v>
          </cell>
          <cell r="D1072" t="str">
            <v>科目</v>
          </cell>
        </row>
        <row r="1073">
          <cell r="A1073" t="str">
            <v>hdr4ka014</v>
          </cell>
          <cell r="C1073" t="str">
            <v>ka024</v>
          </cell>
          <cell r="D1073" t="str">
            <v>勘定コード</v>
          </cell>
        </row>
        <row r="1074">
          <cell r="A1074" t="str">
            <v>hdr4ka015</v>
          </cell>
          <cell r="C1074" t="str">
            <v>ka025</v>
          </cell>
          <cell r="D1074" t="str">
            <v>貸倒引当金（長期）</v>
          </cell>
        </row>
        <row r="1075">
          <cell r="A1075" t="str">
            <v>hdr4ka016</v>
          </cell>
          <cell r="C1075" t="str">
            <v>ka026</v>
          </cell>
          <cell r="D1075" t="str">
            <v>会計士調整分－前期修正益</v>
          </cell>
        </row>
        <row r="1076">
          <cell r="A1076" t="str">
            <v>hdr4ka017</v>
          </cell>
          <cell r="C1076" t="str">
            <v>ka027</v>
          </cell>
          <cell r="D1076" t="str">
            <v>会計士調整分－前期修正損</v>
          </cell>
        </row>
        <row r="1077">
          <cell r="A1077" t="str">
            <v>hdr4ka018</v>
          </cell>
          <cell r="C1077" t="str">
            <v>ka028</v>
          </cell>
          <cell r="D1077" t="str">
            <v>会計士調整後の期首剰余金</v>
          </cell>
        </row>
        <row r="1078">
          <cell r="A1078" t="str">
            <v>hdr4ka019</v>
          </cell>
          <cell r="C1078" t="str">
            <v>ka029</v>
          </cell>
          <cell r="D1078" t="str">
            <v>会社名</v>
          </cell>
        </row>
        <row r="1079">
          <cell r="A1079" t="str">
            <v>hdr4ka020</v>
          </cell>
          <cell r="C1079" t="str">
            <v>ka030</v>
          </cell>
          <cell r="D1079" t="str">
            <v>加算</v>
          </cell>
        </row>
        <row r="1080">
          <cell r="A1080" t="str">
            <v>hdr4ka021</v>
          </cell>
          <cell r="C1080" t="str">
            <v>ka031</v>
          </cell>
          <cell r="D1080" t="str">
            <v>課税所得</v>
          </cell>
        </row>
        <row r="1081">
          <cell r="A1081" t="str">
            <v>hdr4ka022</v>
          </cell>
          <cell r="C1081" t="str">
            <v>ka032</v>
          </cell>
          <cell r="D1081" t="str">
            <v>貸倒引当金超過額</v>
          </cell>
        </row>
        <row r="1082">
          <cell r="A1082" t="str">
            <v>hdr4ka023</v>
          </cell>
          <cell r="C1082" t="str">
            <v>ka033</v>
          </cell>
          <cell r="D1082" t="str">
            <v>貸倒引当金超過額認容</v>
          </cell>
        </row>
        <row r="1083">
          <cell r="A1083" t="str">
            <v>hdr4ka024</v>
          </cell>
          <cell r="C1083" t="str">
            <v>ka034</v>
          </cell>
          <cell r="D1083" t="str">
            <v>海外投資等損失準備金取崩額</v>
          </cell>
        </row>
        <row r="1084">
          <cell r="A1084" t="str">
            <v>hdr4ka025</v>
          </cell>
          <cell r="C1084" t="str">
            <v>ka035</v>
          </cell>
          <cell r="D1084" t="str">
            <v>海外投資等損失準備金繰入額</v>
          </cell>
        </row>
        <row r="1085">
          <cell r="A1085" t="str">
            <v>hdr4ka026</v>
          </cell>
          <cell r="C1085" t="str">
            <v>ka036</v>
          </cell>
          <cell r="D1085" t="str">
            <v>開業費</v>
          </cell>
        </row>
        <row r="1086">
          <cell r="A1086" t="str">
            <v>hdr4ka027</v>
          </cell>
          <cell r="C1086" t="str">
            <v>ki001</v>
          </cell>
          <cell r="D1086" t="str">
            <v>開業費－期末</v>
          </cell>
        </row>
        <row r="1087">
          <cell r="A1087" t="str">
            <v>hdr4ka028</v>
          </cell>
          <cell r="C1087" t="str">
            <v>ki002</v>
          </cell>
          <cell r="D1087" t="str">
            <v>加工費用(DWMのみ)</v>
          </cell>
        </row>
        <row r="1088">
          <cell r="A1088" t="str">
            <v>hdr4ka029</v>
          </cell>
          <cell r="C1088" t="str">
            <v>ki003</v>
          </cell>
          <cell r="D1088" t="str">
            <v>（上半期）</v>
          </cell>
        </row>
        <row r="1089">
          <cell r="A1089" t="str">
            <v>hdr4ka030</v>
          </cell>
          <cell r="C1089" t="str">
            <v>ki004</v>
          </cell>
          <cell r="D1089" t="str">
            <v>上期計画ＶＳ下期計画</v>
          </cell>
        </row>
        <row r="1090">
          <cell r="A1090" t="str">
            <v>hdr4ka031</v>
          </cell>
          <cell r="C1090" t="str">
            <v>ki005</v>
          </cell>
          <cell r="D1090" t="str">
            <v>上期実績ＶＳ下期計画</v>
          </cell>
        </row>
        <row r="1091">
          <cell r="A1091" t="str">
            <v>hdr4ka032</v>
          </cell>
          <cell r="C1091" t="str">
            <v>ki006</v>
          </cell>
          <cell r="D1091" t="str">
            <v>海外投資損失準備金</v>
          </cell>
        </row>
        <row r="1092">
          <cell r="A1092" t="str">
            <v>hdr4ka033</v>
          </cell>
          <cell r="C1092" t="str">
            <v>ki007</v>
          </cell>
          <cell r="D1092" t="str">
            <v>過年度税金調整</v>
          </cell>
        </row>
        <row r="1093">
          <cell r="A1093" t="str">
            <v>hdr4ka034</v>
          </cell>
          <cell r="C1093" t="str">
            <v>ki008</v>
          </cell>
          <cell r="D1093" t="str">
            <v>借入金5年以内返済総額</v>
          </cell>
        </row>
        <row r="1094">
          <cell r="A1094" t="str">
            <v>hdr4ka035</v>
          </cell>
          <cell r="C1094" t="str">
            <v>ki009</v>
          </cell>
          <cell r="D1094" t="str">
            <v>環境関連</v>
          </cell>
        </row>
        <row r="1095">
          <cell r="A1095" t="str">
            <v>hdr4ka036</v>
          </cell>
          <cell r="C1095" t="str">
            <v>ki010</v>
          </cell>
          <cell r="D1095" t="str">
            <v>株式</v>
          </cell>
        </row>
        <row r="1096">
          <cell r="A1096" t="str">
            <v>hdr4ke001</v>
          </cell>
          <cell r="C1096" t="str">
            <v>ki011</v>
          </cell>
          <cell r="D1096" t="str">
            <v>経費明細（相手先別）</v>
          </cell>
        </row>
        <row r="1097">
          <cell r="A1097" t="str">
            <v>hdr4ke002</v>
          </cell>
          <cell r="C1097" t="str">
            <v>ki012</v>
          </cell>
          <cell r="D1097" t="str">
            <v>建設仮勘定</v>
          </cell>
        </row>
        <row r="1098">
          <cell r="A1098" t="str">
            <v>hdr4ke003</v>
          </cell>
          <cell r="C1098" t="str">
            <v>ki013</v>
          </cell>
          <cell r="D1098" t="str">
            <v>契約 No．</v>
          </cell>
        </row>
        <row r="1099">
          <cell r="A1099" t="str">
            <v>hdr4ke004</v>
          </cell>
          <cell r="C1099" t="str">
            <v>ki014</v>
          </cell>
          <cell r="D1099" t="str">
            <v>契約書参照</v>
          </cell>
        </row>
        <row r="1100">
          <cell r="A1100" t="str">
            <v>hdr4ke005</v>
          </cell>
          <cell r="C1100" t="str">
            <v>ki015</v>
          </cell>
          <cell r="D1100" t="str">
            <v>契約取消の場合</v>
          </cell>
        </row>
        <row r="1101">
          <cell r="A1101" t="str">
            <v>hdr4ke006</v>
          </cell>
          <cell r="C1101" t="str">
            <v>ki016</v>
          </cell>
          <cell r="D1101" t="str">
            <v>契約書参照</v>
          </cell>
        </row>
        <row r="1102">
          <cell r="A1102" t="str">
            <v>hdr4ke007</v>
          </cell>
          <cell r="C1102" t="str">
            <v>gi001</v>
          </cell>
          <cell r="D1102" t="str">
            <v>研究開発</v>
          </cell>
        </row>
        <row r="1103">
          <cell r="A1103" t="str">
            <v>hdr4ke008</v>
          </cell>
          <cell r="C1103" t="str">
            <v>ku001</v>
          </cell>
          <cell r="D1103" t="str">
            <v>建設仮勘定の振替</v>
          </cell>
        </row>
        <row r="1104">
          <cell r="A1104" t="str">
            <v>hdr4ke009</v>
          </cell>
          <cell r="C1104" t="str">
            <v>ku002</v>
          </cell>
          <cell r="D1104" t="str">
            <v>経費計</v>
          </cell>
        </row>
        <row r="1105">
          <cell r="A1105" t="str">
            <v>hdr4ke010</v>
          </cell>
          <cell r="C1105" t="str">
            <v>ku003</v>
          </cell>
          <cell r="D1105" t="str">
            <v>建設仮勘定残高（連結会社のみ）</v>
          </cell>
        </row>
        <row r="1106">
          <cell r="A1106" t="str">
            <v>hdr4ke011</v>
          </cell>
          <cell r="C1106" t="str">
            <v>ku004</v>
          </cell>
          <cell r="D1106" t="str">
            <v>建設仮勘定－期首</v>
          </cell>
        </row>
        <row r="1107">
          <cell r="A1107" t="str">
            <v>hdr4ke012</v>
          </cell>
          <cell r="C1107" t="str">
            <v>ku005</v>
          </cell>
          <cell r="D1107" t="str">
            <v>経営課題・リスク等</v>
          </cell>
        </row>
        <row r="1108">
          <cell r="A1108" t="str">
            <v>hdr4ke013</v>
          </cell>
          <cell r="C1108" t="str">
            <v>ku006</v>
          </cell>
          <cell r="D1108" t="str">
            <v>経費</v>
          </cell>
        </row>
        <row r="1109">
          <cell r="A1109" t="str">
            <v>hdr4ke014</v>
          </cell>
          <cell r="C1109" t="str">
            <v>ky001</v>
          </cell>
          <cell r="D1109" t="str">
            <v>(計画)</v>
          </cell>
        </row>
        <row r="1110">
          <cell r="A1110" t="str">
            <v>hdr4ke015</v>
          </cell>
          <cell r="C1110" t="str">
            <v>ky002</v>
          </cell>
          <cell r="D1110" t="str">
            <v>契約継続中</v>
          </cell>
        </row>
        <row r="1111">
          <cell r="A1111" t="str">
            <v>hdr4ke016</v>
          </cell>
          <cell r="C1111" t="str">
            <v>gu001</v>
          </cell>
          <cell r="D1111" t="str">
            <v>契約更新中</v>
          </cell>
        </row>
        <row r="1112">
          <cell r="A1112" t="str">
            <v>hdr4ke017</v>
          </cell>
          <cell r="C1112" t="str">
            <v>gu002</v>
          </cell>
          <cell r="D1112" t="str">
            <v>契約終了</v>
          </cell>
        </row>
        <row r="1113">
          <cell r="A1113" t="str">
            <v>hdr4ki001</v>
          </cell>
          <cell r="C1113" t="str">
            <v>ke001</v>
          </cell>
          <cell r="D1113" t="str">
            <v>期日内売掛債権</v>
          </cell>
        </row>
        <row r="1114">
          <cell r="A1114" t="str">
            <v>hdr4ki002</v>
          </cell>
          <cell r="C1114" t="str">
            <v>ke002</v>
          </cell>
          <cell r="D1114" t="str">
            <v>金額</v>
          </cell>
        </row>
        <row r="1115">
          <cell r="A1115" t="str">
            <v>hdr4ki003</v>
          </cell>
          <cell r="C1115" t="str">
            <v>ke003</v>
          </cell>
          <cell r="D1115" t="str">
            <v>期間</v>
          </cell>
        </row>
        <row r="1116">
          <cell r="A1116" t="str">
            <v>hdr4ki004</v>
          </cell>
          <cell r="C1116" t="str">
            <v>ke004</v>
          </cell>
          <cell r="D1116" t="str">
            <v>記帳通貨</v>
          </cell>
        </row>
        <row r="1117">
          <cell r="A1117" t="str">
            <v>hdr4ki005</v>
          </cell>
          <cell r="C1117" t="str">
            <v>ke005</v>
          </cell>
          <cell r="D1117" t="str">
            <v>期首設定シート</v>
          </cell>
        </row>
        <row r="1118">
          <cell r="A1118" t="str">
            <v>hdr4ki006</v>
          </cell>
          <cell r="C1118" t="str">
            <v>ke006</v>
          </cell>
          <cell r="D1118" t="str">
            <v>期首棚卸高</v>
          </cell>
        </row>
        <row r="1119">
          <cell r="A1119" t="str">
            <v>hdr4ki007</v>
          </cell>
          <cell r="C1119" t="str">
            <v>ke007</v>
          </cell>
          <cell r="D1119" t="str">
            <v>期首棚卸調整額</v>
          </cell>
        </row>
        <row r="1120">
          <cell r="A1120" t="str">
            <v>hdr4ki008</v>
          </cell>
          <cell r="C1120" t="str">
            <v>ke008</v>
          </cell>
          <cell r="D1120" t="str">
            <v>期末棚卸高</v>
          </cell>
        </row>
        <row r="1121">
          <cell r="A1121" t="str">
            <v>hdr4ki009</v>
          </cell>
          <cell r="C1121" t="str">
            <v>ke009</v>
          </cell>
          <cell r="D1121" t="str">
            <v>期末棚卸調整額</v>
          </cell>
        </row>
        <row r="1122">
          <cell r="A1122" t="str">
            <v>hdr4ki010</v>
          </cell>
          <cell r="C1122" t="str">
            <v>ke010</v>
          </cell>
          <cell r="D1122" t="str">
            <v>期首</v>
          </cell>
        </row>
        <row r="1123">
          <cell r="A1123" t="str">
            <v>hdr4ki011</v>
          </cell>
          <cell r="C1123" t="str">
            <v>ke011</v>
          </cell>
          <cell r="D1123" t="str">
            <v>期末</v>
          </cell>
        </row>
        <row r="1124">
          <cell r="A1124" t="str">
            <v>hdr4ki012</v>
          </cell>
          <cell r="C1124" t="str">
            <v>ke012</v>
          </cell>
          <cell r="D1124" t="str">
            <v>機械及び装置</v>
          </cell>
        </row>
        <row r="1125">
          <cell r="A1125" t="str">
            <v>hdr4ki013</v>
          </cell>
          <cell r="C1125" t="str">
            <v>ke013</v>
          </cell>
          <cell r="D1125" t="str">
            <v>機械及び装置購入明細（連結会社のみ）</v>
          </cell>
        </row>
        <row r="1126">
          <cell r="A1126" t="str">
            <v>hdr4ki014</v>
          </cell>
          <cell r="C1126" t="str">
            <v>ke014</v>
          </cell>
          <cell r="D1126" t="str">
            <v>機械及び装置除却明細（連結会社のみ）</v>
          </cell>
        </row>
        <row r="1127">
          <cell r="A1127" t="str">
            <v>hdr4ki015</v>
          </cell>
          <cell r="C1127" t="str">
            <v>ke015</v>
          </cell>
          <cell r="D1127" t="str">
            <v>期末所有の土地</v>
          </cell>
        </row>
        <row r="1128">
          <cell r="A1128" t="str">
            <v>hdr4ki016</v>
          </cell>
          <cell r="C1128" t="str">
            <v>ke016</v>
          </cell>
          <cell r="D1128" t="str">
            <v>期末賃貸の土地</v>
          </cell>
        </row>
        <row r="1129">
          <cell r="A1129" t="str">
            <v>hdr4ko001</v>
          </cell>
          <cell r="C1129" t="str">
            <v>ke017</v>
          </cell>
          <cell r="D1129" t="str">
            <v>固定資産購入明細（連結会社のみ）</v>
          </cell>
        </row>
        <row r="1130">
          <cell r="A1130" t="str">
            <v>hdr4ko002</v>
          </cell>
          <cell r="C1130" t="str">
            <v>ge001</v>
          </cell>
          <cell r="D1130" t="str">
            <v>固定資産除却明細（連結会社のみ）</v>
          </cell>
        </row>
        <row r="1131">
          <cell r="A1131" t="str">
            <v>hdr4ko003</v>
          </cell>
          <cell r="C1131" t="str">
            <v>ge002</v>
          </cell>
          <cell r="D1131" t="str">
            <v>固定資産増減明細</v>
          </cell>
        </row>
        <row r="1132">
          <cell r="A1132" t="str">
            <v>hdr4ko004</v>
          </cell>
          <cell r="C1132" t="str">
            <v>ge003</v>
          </cell>
          <cell r="D1132" t="str">
            <v>顧客名</v>
          </cell>
        </row>
        <row r="1133">
          <cell r="A1133" t="str">
            <v>hdr4ko005</v>
          </cell>
          <cell r="C1133" t="str">
            <v>ge004</v>
          </cell>
          <cell r="D1133" t="str">
            <v>構成比率</v>
          </cell>
        </row>
        <row r="1134">
          <cell r="A1134" t="str">
            <v>hdr4ko006</v>
          </cell>
          <cell r="C1134" t="str">
            <v>ge005</v>
          </cell>
          <cell r="D1134" t="str">
            <v>工具・機器部門</v>
          </cell>
        </row>
        <row r="1135">
          <cell r="A1135" t="str">
            <v>hdr4ko007</v>
          </cell>
          <cell r="C1135" t="str">
            <v>ge006</v>
          </cell>
          <cell r="D1135" t="str">
            <v>行使価格 （金額）</v>
          </cell>
        </row>
        <row r="1136">
          <cell r="A1136" t="str">
            <v>hdr4ko008</v>
          </cell>
          <cell r="C1136" t="str">
            <v>ge007</v>
          </cell>
          <cell r="D1136" t="str">
            <v>購入</v>
          </cell>
        </row>
        <row r="1137">
          <cell r="A1137" t="str">
            <v>hdr4ko009</v>
          </cell>
          <cell r="C1137" t="str">
            <v>ge008</v>
          </cell>
          <cell r="D1137" t="str">
            <v>固定資産へ振替</v>
          </cell>
        </row>
        <row r="1138">
          <cell r="A1138" t="str">
            <v>hdr4ko010</v>
          </cell>
          <cell r="C1138" t="str">
            <v>ge009</v>
          </cell>
          <cell r="D1138" t="str">
            <v>構築物</v>
          </cell>
        </row>
        <row r="1139">
          <cell r="A1139" t="str">
            <v>hdr4ko011</v>
          </cell>
          <cell r="C1139" t="str">
            <v>ge010</v>
          </cell>
          <cell r="D1139" t="str">
            <v>工具・器具備品</v>
          </cell>
        </row>
        <row r="1140">
          <cell r="A1140" t="str">
            <v>hdr4ko012</v>
          </cell>
          <cell r="C1140" t="str">
            <v>ge011</v>
          </cell>
          <cell r="D1140" t="str">
            <v>購入年月</v>
          </cell>
        </row>
        <row r="1141">
          <cell r="A1141" t="str">
            <v>hdr4ko013</v>
          </cell>
          <cell r="C1141" t="str">
            <v>ge012</v>
          </cell>
          <cell r="D1141" t="str">
            <v>購入元</v>
          </cell>
        </row>
        <row r="1142">
          <cell r="A1142" t="str">
            <v>hdr4ko014</v>
          </cell>
          <cell r="C1142" t="str">
            <v>ge013</v>
          </cell>
          <cell r="D1142" t="str">
            <v>購入金額</v>
          </cell>
        </row>
        <row r="1143">
          <cell r="A1143" t="str">
            <v>hdr4ko015</v>
          </cell>
          <cell r="C1143" t="str">
            <v>ge014</v>
          </cell>
          <cell r="D1143" t="str">
            <v>工具・器具備品購入明細（連結会社のみ）</v>
          </cell>
        </row>
        <row r="1144">
          <cell r="A1144" t="str">
            <v>hdr4ko016</v>
          </cell>
          <cell r="C1144" t="str">
            <v>ge015</v>
          </cell>
          <cell r="D1144" t="str">
            <v>工具･機器備品除却明細（連結会社のみ）</v>
          </cell>
        </row>
        <row r="1145">
          <cell r="A1145" t="str">
            <v>hdr4ko017</v>
          </cell>
          <cell r="C1145" t="str">
            <v>ge016</v>
          </cell>
          <cell r="D1145" t="str">
            <v>項目</v>
          </cell>
        </row>
        <row r="1146">
          <cell r="A1146" t="str">
            <v>hdr4ko018</v>
          </cell>
          <cell r="C1146" t="str">
            <v>ko001</v>
          </cell>
          <cell r="D1146" t="str">
            <v>購入年月Code</v>
          </cell>
        </row>
        <row r="1147">
          <cell r="A1147" t="str">
            <v>hdr4ko019</v>
          </cell>
          <cell r="C1147" t="str">
            <v>ko002</v>
          </cell>
          <cell r="D1147" t="str">
            <v>購入元Code</v>
          </cell>
        </row>
        <row r="1148">
          <cell r="A1148" t="str">
            <v>hdr4ko020</v>
          </cell>
          <cell r="C1148" t="str">
            <v>ko003</v>
          </cell>
          <cell r="D1148" t="str">
            <v>固定</v>
          </cell>
        </row>
        <row r="1149">
          <cell r="A1149" t="str">
            <v>hdr4ko021</v>
          </cell>
          <cell r="C1149" t="str">
            <v>ko004</v>
          </cell>
          <cell r="D1149" t="str">
            <v>固定資産処分益(売却益)の内訳</v>
          </cell>
        </row>
        <row r="1150">
          <cell r="A1150" t="str">
            <v>hdr4ko022</v>
          </cell>
          <cell r="C1150" t="str">
            <v>ko005</v>
          </cell>
          <cell r="D1150" t="str">
            <v>固定資産処分損(売却損･除却損)の内訳</v>
          </cell>
        </row>
        <row r="1151">
          <cell r="A1151" t="str">
            <v>hdr4ko023</v>
          </cell>
          <cell r="C1151" t="str">
            <v>ko006</v>
          </cell>
          <cell r="D1151" t="str">
            <v>後発事象</v>
          </cell>
        </row>
        <row r="1152">
          <cell r="A1152" t="str">
            <v>hdr4ku001</v>
          </cell>
          <cell r="C1152" t="str">
            <v>ko007</v>
          </cell>
          <cell r="D1152" t="str">
            <v>繰延税金資産</v>
          </cell>
        </row>
        <row r="1153">
          <cell r="A1153" t="str">
            <v>hdr4ku002</v>
          </cell>
          <cell r="C1153" t="str">
            <v>ko008</v>
          </cell>
          <cell r="D1153" t="str">
            <v>繰延税金負債</v>
          </cell>
        </row>
        <row r="1154">
          <cell r="A1154" t="str">
            <v>hdr4ku003</v>
          </cell>
          <cell r="C1154" t="str">
            <v>ko009</v>
          </cell>
          <cell r="D1154" t="str">
            <v>繰越欠損金</v>
          </cell>
        </row>
        <row r="1155">
          <cell r="A1155" t="str">
            <v>hdr4ku004</v>
          </cell>
          <cell r="C1155" t="str">
            <v>ko010</v>
          </cell>
          <cell r="D1155" t="str">
            <v>繰越税額控除(税額記入)</v>
          </cell>
        </row>
        <row r="1156">
          <cell r="A1156" t="str">
            <v>hdr4ku005</v>
          </cell>
          <cell r="C1156" t="str">
            <v>ko011</v>
          </cell>
          <cell r="D1156" t="str">
            <v>(繰延税金資産負債未計上)</v>
          </cell>
        </row>
        <row r="1157">
          <cell r="A1157" t="str">
            <v>hdr4ku006</v>
          </cell>
          <cell r="C1157" t="str">
            <v>ko012</v>
          </cell>
          <cell r="D1157" t="str">
            <v>区分</v>
          </cell>
        </row>
        <row r="1158">
          <cell r="A1158" t="str">
            <v>hdr4ky001</v>
          </cell>
          <cell r="C1158" t="str">
            <v>ko013</v>
          </cell>
          <cell r="D1158" t="str">
            <v>客先</v>
          </cell>
        </row>
        <row r="1159">
          <cell r="A1159" t="str">
            <v>hdr4ky002</v>
          </cell>
          <cell r="C1159" t="str">
            <v>ko014</v>
          </cell>
          <cell r="D1159" t="str">
            <v>供給材料費割合計算書(工場のみ)</v>
          </cell>
        </row>
        <row r="1160">
          <cell r="A1160" t="str">
            <v>hdr4ma001</v>
          </cell>
          <cell r="C1160" t="str">
            <v>ko015</v>
          </cell>
          <cell r="D1160" t="str">
            <v>前払リース料</v>
          </cell>
        </row>
        <row r="1161">
          <cell r="A1161" t="str">
            <v>hdr4me001</v>
          </cell>
          <cell r="C1161" t="str">
            <v>ko016</v>
          </cell>
          <cell r="D1161" t="str">
            <v>明細レポート</v>
          </cell>
        </row>
        <row r="1162">
          <cell r="A1162" t="str">
            <v>hdr4me002</v>
          </cell>
          <cell r="C1162" t="str">
            <v>ko017</v>
          </cell>
          <cell r="D1162" t="str">
            <v>(面積㎡)</v>
          </cell>
        </row>
        <row r="1163">
          <cell r="A1163" t="str">
            <v>hdr4mi001</v>
          </cell>
          <cell r="C1163" t="str">
            <v>ko018</v>
          </cell>
          <cell r="D1163" t="str">
            <v>未着品</v>
          </cell>
        </row>
        <row r="1164">
          <cell r="A1164" t="str">
            <v>hdr4mi002</v>
          </cell>
          <cell r="C1164" t="str">
            <v>ko019</v>
          </cell>
          <cell r="D1164" t="str">
            <v>未払法人税</v>
          </cell>
        </row>
        <row r="1165">
          <cell r="A1165" t="str">
            <v>hdr4mi003</v>
          </cell>
          <cell r="C1165" t="str">
            <v>ko020</v>
          </cell>
          <cell r="D1165" t="str">
            <v>未払事業税</v>
          </cell>
        </row>
        <row r="1166">
          <cell r="A1166" t="str">
            <v>hdr4mi004</v>
          </cell>
          <cell r="C1166" t="str">
            <v>ko021</v>
          </cell>
          <cell r="D1166" t="str">
            <v>未払配当金</v>
          </cell>
        </row>
        <row r="1167">
          <cell r="A1167" t="str">
            <v>hdr4mi005</v>
          </cell>
          <cell r="C1167" t="str">
            <v>ko022</v>
          </cell>
          <cell r="D1167" t="str">
            <v>見積現金購入価額</v>
          </cell>
        </row>
        <row r="1168">
          <cell r="A1168" t="str">
            <v>hdr4mi006</v>
          </cell>
          <cell r="C1168" t="str">
            <v>ko023</v>
          </cell>
          <cell r="D1168" t="str">
            <v>未払設備金</v>
          </cell>
        </row>
        <row r="1169">
          <cell r="A1169" t="str">
            <v>hdr4mi007</v>
          </cell>
          <cell r="C1169" t="str">
            <v>go001</v>
          </cell>
          <cell r="D1169" t="str">
            <v>未払利息</v>
          </cell>
        </row>
        <row r="1170">
          <cell r="A1170" t="str">
            <v>hdr4mi008</v>
          </cell>
          <cell r="C1170" t="str">
            <v>go002</v>
          </cell>
          <cell r="D1170" t="str">
            <v>未実現為替レート差損</v>
          </cell>
        </row>
        <row r="1171">
          <cell r="A1171" t="str">
            <v>hdr4mi009</v>
          </cell>
          <cell r="C1171" t="str">
            <v>sa001</v>
          </cell>
          <cell r="D1171" t="str">
            <v>未控除の減価償却費(MLM)</v>
          </cell>
        </row>
        <row r="1172">
          <cell r="A1172" t="str">
            <v>hdr4mi010</v>
          </cell>
          <cell r="C1172" t="str">
            <v>sa002</v>
          </cell>
          <cell r="D1172" t="str">
            <v>未控除の再投資控除(MLM)</v>
          </cell>
        </row>
        <row r="1173">
          <cell r="A1173" t="str">
            <v>hdr4mi011</v>
          </cell>
          <cell r="C1173" t="str">
            <v>sa003</v>
          </cell>
          <cell r="D1173" t="str">
            <v>未実現為替レート差益</v>
          </cell>
        </row>
        <row r="1174">
          <cell r="A1174" t="str">
            <v>hdr4mi012</v>
          </cell>
          <cell r="C1174" t="str">
            <v>sa004</v>
          </cell>
          <cell r="D1174" t="str">
            <v>未実現為替レート差損益(TWM)</v>
          </cell>
        </row>
        <row r="1175">
          <cell r="A1175" t="str">
            <v>hdr4mi013</v>
          </cell>
          <cell r="C1175" t="str">
            <v>sa005</v>
          </cell>
          <cell r="D1175" t="str">
            <v>未分配利益課税(TWM,TKM)</v>
          </cell>
        </row>
        <row r="1176">
          <cell r="A1176" t="str">
            <v>hdr4mi014</v>
          </cell>
          <cell r="C1176" t="str">
            <v>sa006</v>
          </cell>
          <cell r="D1176" t="str">
            <v>見積実効税率</v>
          </cell>
        </row>
        <row r="1177">
          <cell r="A1177" t="str">
            <v>hdr4mi015</v>
          </cell>
          <cell r="C1177" t="str">
            <v>sa007</v>
          </cell>
          <cell r="D1177" t="str">
            <v>未経過リース料</v>
          </cell>
        </row>
        <row r="1178">
          <cell r="A1178" t="str">
            <v>hdr4mo001</v>
          </cell>
          <cell r="C1178" t="str">
            <v>sa008</v>
          </cell>
          <cell r="D1178" t="str">
            <v>目次</v>
          </cell>
        </row>
        <row r="1179">
          <cell r="A1179" t="str">
            <v>hdr4mu001</v>
          </cell>
          <cell r="C1179" t="str">
            <v>sa009</v>
          </cell>
          <cell r="D1179" t="str">
            <v>無形固定資産</v>
          </cell>
        </row>
        <row r="1180">
          <cell r="A1180" t="str">
            <v>hdr4na001</v>
          </cell>
          <cell r="C1180" t="str">
            <v>sa010</v>
          </cell>
          <cell r="D1180" t="str">
            <v>内容</v>
          </cell>
        </row>
        <row r="1181">
          <cell r="A1181" t="str">
            <v>hdr4ne001</v>
          </cell>
          <cell r="C1181" t="str">
            <v>sa011</v>
          </cell>
          <cell r="D1181" t="str">
            <v>年次</v>
          </cell>
        </row>
        <row r="1182">
          <cell r="A1182" t="str">
            <v>hdr4ne002</v>
          </cell>
          <cell r="C1182" t="str">
            <v>sa012</v>
          </cell>
          <cell r="D1182" t="str">
            <v>（年間）</v>
          </cell>
        </row>
        <row r="1183">
          <cell r="A1183" t="str">
            <v>hdr4ne003</v>
          </cell>
          <cell r="C1183" t="str">
            <v>za001</v>
          </cell>
          <cell r="D1183" t="str">
            <v>年間計画ＶＳ前期実績</v>
          </cell>
        </row>
        <row r="1184">
          <cell r="A1184" t="str">
            <v>hdr4ne004</v>
          </cell>
          <cell r="C1184" t="str">
            <v>za002</v>
          </cell>
          <cell r="D1184" t="str">
            <v>年次決算報告書</v>
          </cell>
        </row>
        <row r="1185">
          <cell r="A1185" t="str">
            <v>hdr4ne005</v>
          </cell>
          <cell r="C1185" t="str">
            <v>za003</v>
          </cell>
          <cell r="D1185" t="str">
            <v>年間見通し</v>
          </cell>
        </row>
        <row r="1186">
          <cell r="A1186" t="str">
            <v>hdr4ni001</v>
          </cell>
          <cell r="C1186" t="str">
            <v>za004</v>
          </cell>
          <cell r="D1186" t="str">
            <v>日報記号</v>
          </cell>
        </row>
        <row r="1187">
          <cell r="A1187" t="str">
            <v>hdr4ni002</v>
          </cell>
          <cell r="C1187" t="str">
            <v>za005</v>
          </cell>
          <cell r="D1187" t="str">
            <v>日本</v>
          </cell>
        </row>
        <row r="1188">
          <cell r="A1188" t="str">
            <v>hdr4ny001</v>
          </cell>
          <cell r="C1188" t="str">
            <v>za006</v>
          </cell>
          <cell r="D1188" t="str">
            <v>入力シート</v>
          </cell>
        </row>
        <row r="1189">
          <cell r="A1189" t="str">
            <v>hdr4ny002</v>
          </cell>
          <cell r="C1189" t="str">
            <v>za007</v>
          </cell>
          <cell r="D1189" t="str">
            <v>入力必須項目</v>
          </cell>
        </row>
        <row r="1190">
          <cell r="A1190" t="str">
            <v>hdr4re001</v>
          </cell>
          <cell r="C1190" t="str">
            <v>si001</v>
          </cell>
          <cell r="D1190" t="str">
            <v>連結レポート</v>
          </cell>
        </row>
        <row r="1191">
          <cell r="A1191" t="str">
            <v>hdr4re002</v>
          </cell>
          <cell r="C1191" t="str">
            <v>si002</v>
          </cell>
          <cell r="D1191" t="str">
            <v>連結勘定コード</v>
          </cell>
        </row>
        <row r="1192">
          <cell r="A1192" t="str">
            <v>hdr4re003</v>
          </cell>
          <cell r="C1192" t="str">
            <v>si003</v>
          </cell>
          <cell r="D1192" t="str">
            <v>連結勘定名称</v>
          </cell>
        </row>
        <row r="1193">
          <cell r="A1193" t="str">
            <v>hdr4re004</v>
          </cell>
          <cell r="C1193" t="str">
            <v>si004</v>
          </cell>
          <cell r="D1193" t="str">
            <v>連結子会社小計</v>
          </cell>
        </row>
        <row r="1194">
          <cell r="A1194" t="str">
            <v>hdr4ri001</v>
          </cell>
          <cell r="C1194" t="str">
            <v>si005</v>
          </cell>
          <cell r="D1194" t="str">
            <v>利益処分・資本増減明細</v>
          </cell>
        </row>
        <row r="1195">
          <cell r="A1195" t="str">
            <v>hdr4ri002</v>
          </cell>
          <cell r="C1195" t="str">
            <v>si006</v>
          </cell>
          <cell r="D1195" t="str">
            <v>利益準備金</v>
          </cell>
        </row>
        <row r="1196">
          <cell r="A1196" t="str">
            <v>hdr4ri003</v>
          </cell>
          <cell r="C1196" t="str">
            <v>si007</v>
          </cell>
          <cell r="D1196" t="str">
            <v>利益準備金－期末</v>
          </cell>
        </row>
        <row r="1197">
          <cell r="A1197" t="str">
            <v>hdr4ri004</v>
          </cell>
          <cell r="C1197" t="str">
            <v>si008</v>
          </cell>
          <cell r="D1197" t="str">
            <v>利益計画の要約</v>
          </cell>
        </row>
        <row r="1198">
          <cell r="A1198" t="str">
            <v>hdr4ri005</v>
          </cell>
          <cell r="C1198" t="str">
            <v>si009</v>
          </cell>
          <cell r="D1198" t="str">
            <v>利益計画の概況</v>
          </cell>
        </row>
        <row r="1199">
          <cell r="A1199" t="str">
            <v>hdr4ri006</v>
          </cell>
          <cell r="C1199" t="str">
            <v>si010</v>
          </cell>
          <cell r="D1199" t="str">
            <v>（率）</v>
          </cell>
        </row>
        <row r="1200">
          <cell r="A1200" t="str">
            <v>hdr4ri007</v>
          </cell>
          <cell r="C1200" t="str">
            <v>si011</v>
          </cell>
          <cell r="D1200" t="str">
            <v>(理由及び設備の内容)</v>
          </cell>
        </row>
        <row r="1201">
          <cell r="A1201" t="str">
            <v>hdr4ro001</v>
          </cell>
          <cell r="C1201" t="str">
            <v>si012</v>
          </cell>
          <cell r="D1201" t="str">
            <v>労務費計</v>
          </cell>
        </row>
        <row r="1202">
          <cell r="A1202" t="str">
            <v>hdr4ro002</v>
          </cell>
          <cell r="C1202" t="str">
            <v>si013</v>
          </cell>
          <cell r="D1202" t="str">
            <v>労務費</v>
          </cell>
        </row>
        <row r="1203">
          <cell r="A1203" t="str">
            <v>hdr4ro003</v>
          </cell>
          <cell r="C1203" t="str">
            <v>si014</v>
          </cell>
          <cell r="D1203" t="str">
            <v>労働時間内訳</v>
          </cell>
        </row>
        <row r="1204">
          <cell r="A1204" t="str">
            <v>hdr4ru001</v>
          </cell>
          <cell r="C1204" t="str">
            <v>si015</v>
          </cell>
          <cell r="D1204" t="str">
            <v>累計支払リース料</v>
          </cell>
        </row>
        <row r="1205">
          <cell r="A1205" t="str">
            <v>hdr4ry001</v>
          </cell>
          <cell r="C1205" t="str">
            <v>si016</v>
          </cell>
          <cell r="D1205" t="str">
            <v>旅費</v>
          </cell>
        </row>
        <row r="1206">
          <cell r="A1206" t="str">
            <v>hdr4ry002</v>
          </cell>
          <cell r="C1206" t="str">
            <v>si017</v>
          </cell>
          <cell r="D1206" t="str">
            <v>流動</v>
          </cell>
        </row>
        <row r="1207">
          <cell r="A1207" t="str">
            <v>hdr4sa001</v>
          </cell>
          <cell r="C1207" t="str">
            <v>si018</v>
          </cell>
          <cell r="D1207" t="str">
            <v>差額</v>
          </cell>
        </row>
        <row r="1208">
          <cell r="A1208" t="str">
            <v>hdr4sa002</v>
          </cell>
          <cell r="C1208" t="str">
            <v>si019</v>
          </cell>
          <cell r="D1208" t="str">
            <v>債権明細(相手先別）</v>
          </cell>
        </row>
        <row r="1209">
          <cell r="A1209" t="str">
            <v>hdr4sa003</v>
          </cell>
          <cell r="C1209" t="str">
            <v>si020</v>
          </cell>
          <cell r="D1209" t="str">
            <v>債務明細（相手先別）</v>
          </cell>
        </row>
        <row r="1210">
          <cell r="A1210" t="str">
            <v>hdr4sa004</v>
          </cell>
          <cell r="C1210" t="str">
            <v>si021</v>
          </cell>
          <cell r="D1210" t="str">
            <v>再検／選別／手直</v>
          </cell>
        </row>
        <row r="1211">
          <cell r="A1211" t="str">
            <v>hdr4sa005</v>
          </cell>
          <cell r="C1211" t="str">
            <v>si022</v>
          </cell>
          <cell r="D1211" t="str">
            <v>作業日／内容</v>
          </cell>
        </row>
        <row r="1212">
          <cell r="A1212" t="str">
            <v>hdr4sa006</v>
          </cell>
          <cell r="C1212" t="str">
            <v>si023</v>
          </cell>
          <cell r="D1212" t="str">
            <v>再リース</v>
          </cell>
        </row>
        <row r="1213">
          <cell r="A1213" t="str">
            <v>hdr4sa007</v>
          </cell>
          <cell r="C1213" t="str">
            <v>si024</v>
          </cell>
          <cell r="D1213" t="str">
            <v>作成日</v>
          </cell>
        </row>
        <row r="1214">
          <cell r="A1214" t="str">
            <v>hdr4sa008</v>
          </cell>
          <cell r="C1214" t="str">
            <v>si025</v>
          </cell>
          <cell r="D1214" t="str">
            <v>債務保証</v>
          </cell>
        </row>
        <row r="1215">
          <cell r="A1215" t="str">
            <v>hdr4sa009</v>
          </cell>
          <cell r="C1215" t="str">
            <v>si026</v>
          </cell>
          <cell r="D1215" t="str">
            <v>&lt;債務保証残高&gt;</v>
          </cell>
        </row>
        <row r="1216">
          <cell r="A1216" t="str">
            <v>hdr4sa010</v>
          </cell>
          <cell r="C1216" t="str">
            <v>si027</v>
          </cell>
          <cell r="D1216" t="str">
            <v>債権</v>
          </cell>
        </row>
        <row r="1217">
          <cell r="A1217" t="str">
            <v>hdr4sa011</v>
          </cell>
          <cell r="C1217" t="str">
            <v>si028</v>
          </cell>
          <cell r="D1217" t="str">
            <v>算定方法</v>
          </cell>
        </row>
        <row r="1218">
          <cell r="A1218" t="str">
            <v>hdr4sa012</v>
          </cell>
          <cell r="C1218" t="str">
            <v>si029</v>
          </cell>
          <cell r="D1218" t="str">
            <v>債券</v>
          </cell>
        </row>
        <row r="1219">
          <cell r="A1219" t="str">
            <v>hdr4se001</v>
          </cell>
          <cell r="C1219" t="str">
            <v>ji001</v>
          </cell>
          <cell r="D1219" t="str">
            <v>正常在庫</v>
          </cell>
        </row>
        <row r="1220">
          <cell r="A1220" t="str">
            <v>hdr4se002</v>
          </cell>
          <cell r="C1220" t="str">
            <v>ji002</v>
          </cell>
          <cell r="D1220" t="str">
            <v>製造経費</v>
          </cell>
        </row>
        <row r="1221">
          <cell r="A1221" t="str">
            <v>hdr4se003</v>
          </cell>
          <cell r="C1221" t="str">
            <v>ji003</v>
          </cell>
          <cell r="D1221" t="str">
            <v>生産機器</v>
          </cell>
        </row>
        <row r="1222">
          <cell r="A1222" t="str">
            <v>hdr4se004</v>
          </cell>
          <cell r="C1222" t="str">
            <v>ji004</v>
          </cell>
          <cell r="D1222" t="str">
            <v>製造経費明細</v>
          </cell>
        </row>
        <row r="1223">
          <cell r="A1223" t="str">
            <v>hdr4se005</v>
          </cell>
          <cell r="C1223" t="str">
            <v>ji005</v>
          </cell>
          <cell r="D1223" t="str">
            <v>製造経費明細（部門別）</v>
          </cell>
        </row>
        <row r="1224">
          <cell r="A1224" t="str">
            <v>hdr4se006</v>
          </cell>
          <cell r="C1224" t="str">
            <v>ji006</v>
          </cell>
          <cell r="D1224" t="str">
            <v>製造原価報告書</v>
          </cell>
        </row>
        <row r="1225">
          <cell r="A1225" t="str">
            <v>hdr4se007</v>
          </cell>
          <cell r="C1225" t="str">
            <v>ji007</v>
          </cell>
          <cell r="D1225" t="str">
            <v>製造原価報告書（部門別）</v>
          </cell>
        </row>
        <row r="1226">
          <cell r="A1226" t="str">
            <v>hdr4se008</v>
          </cell>
          <cell r="C1226" t="str">
            <v>ji008</v>
          </cell>
          <cell r="D1226" t="str">
            <v>製品</v>
          </cell>
        </row>
        <row r="1227">
          <cell r="A1227" t="str">
            <v>hdr4se009</v>
          </cell>
          <cell r="C1227" t="str">
            <v>ji009</v>
          </cell>
          <cell r="D1227" t="str">
            <v>製品・商品(モーター)</v>
          </cell>
        </row>
        <row r="1228">
          <cell r="A1228" t="str">
            <v>hdr4se010</v>
          </cell>
          <cell r="C1228" t="str">
            <v>ji010</v>
          </cell>
          <cell r="D1228" t="str">
            <v>責任区分</v>
          </cell>
        </row>
        <row r="1229">
          <cell r="A1229" t="str">
            <v>hdr4se011</v>
          </cell>
          <cell r="C1229" t="str">
            <v>jy001</v>
          </cell>
          <cell r="D1229" t="str">
            <v>生産地</v>
          </cell>
        </row>
        <row r="1230">
          <cell r="A1230" t="str">
            <v>hdr4se012</v>
          </cell>
          <cell r="C1230" t="str">
            <v>jy002</v>
          </cell>
          <cell r="D1230" t="str">
            <v>製品売上</v>
          </cell>
        </row>
        <row r="1231">
          <cell r="A1231" t="str">
            <v>hdr4se013</v>
          </cell>
          <cell r="C1231" t="str">
            <v>jy003</v>
          </cell>
          <cell r="D1231" t="str">
            <v>製品売上原価</v>
          </cell>
        </row>
        <row r="1232">
          <cell r="A1232" t="str">
            <v>hdr4se014</v>
          </cell>
          <cell r="C1232" t="str">
            <v>jy004</v>
          </cell>
          <cell r="D1232" t="str">
            <v>製造経費明細（相手先別）</v>
          </cell>
        </row>
        <row r="1233">
          <cell r="A1233" t="str">
            <v>hdr4se015</v>
          </cell>
          <cell r="C1233" t="str">
            <v>jy005</v>
          </cell>
          <cell r="D1233" t="str">
            <v>責任者印</v>
          </cell>
        </row>
        <row r="1234">
          <cell r="A1234" t="str">
            <v>hdr4se016</v>
          </cell>
          <cell r="C1234" t="str">
            <v>jy006</v>
          </cell>
          <cell r="D1234" t="str">
            <v>製造経費合計</v>
          </cell>
        </row>
        <row r="1235">
          <cell r="A1235" t="str">
            <v>hdr4se017</v>
          </cell>
          <cell r="C1235" t="str">
            <v>sy001</v>
          </cell>
          <cell r="D1235" t="str">
            <v>製造総費用</v>
          </cell>
        </row>
        <row r="1236">
          <cell r="A1236" t="str">
            <v>hdr4se018</v>
          </cell>
          <cell r="C1236" t="str">
            <v>sy002</v>
          </cell>
          <cell r="D1236" t="str">
            <v>製造間接費</v>
          </cell>
        </row>
        <row r="1237">
          <cell r="A1237" t="str">
            <v>hdr4se019</v>
          </cell>
          <cell r="C1237" t="str">
            <v>sy003</v>
          </cell>
          <cell r="D1237" t="str">
            <v>製造直接（人）</v>
          </cell>
        </row>
        <row r="1238">
          <cell r="A1238" t="str">
            <v>hdr4se020</v>
          </cell>
          <cell r="C1238" t="str">
            <v>sy004</v>
          </cell>
          <cell r="D1238" t="str">
            <v>製造間接（人）</v>
          </cell>
        </row>
        <row r="1239">
          <cell r="A1239" t="str">
            <v>hdr4se021</v>
          </cell>
          <cell r="C1239" t="str">
            <v>sy005</v>
          </cell>
          <cell r="D1239" t="str">
            <v>政府向罰金</v>
          </cell>
        </row>
        <row r="1240">
          <cell r="A1240" t="str">
            <v>hdr4se022</v>
          </cell>
          <cell r="C1240" t="str">
            <v>sy006</v>
          </cell>
          <cell r="D1240" t="str">
            <v>生産者利益オフショア(HKM,HKSEIKO)</v>
          </cell>
        </row>
        <row r="1241">
          <cell r="A1241" t="str">
            <v>hdr4se023</v>
          </cell>
          <cell r="C1241" t="str">
            <v>sy007</v>
          </cell>
          <cell r="D1241" t="str">
            <v>設備投資明細</v>
          </cell>
        </row>
        <row r="1242">
          <cell r="A1242" t="str">
            <v>hdr4se024</v>
          </cell>
          <cell r="C1242" t="str">
            <v>sy008</v>
          </cell>
          <cell r="D1242" t="str">
            <v>設備投資</v>
          </cell>
        </row>
        <row r="1243">
          <cell r="A1243" t="str">
            <v>hdr4se025</v>
          </cell>
          <cell r="C1243" t="str">
            <v>sy009</v>
          </cell>
          <cell r="D1243" t="str">
            <v>設備の売却・除却等</v>
          </cell>
        </row>
        <row r="1244">
          <cell r="A1244" t="str">
            <v>hdr4se026</v>
          </cell>
          <cell r="C1244" t="str">
            <v>sy010</v>
          </cell>
          <cell r="D1244" t="str">
            <v>設備の新設・改修等</v>
          </cell>
        </row>
        <row r="1245">
          <cell r="A1245" t="str">
            <v>hdr4se027</v>
          </cell>
          <cell r="C1245" t="str">
            <v>sy011</v>
          </cell>
          <cell r="D1245" t="str">
            <v>生産能力の増強・維持</v>
          </cell>
        </row>
        <row r="1246">
          <cell r="A1246" t="str">
            <v>hdr4si001</v>
          </cell>
          <cell r="C1246" t="str">
            <v>sy012</v>
          </cell>
          <cell r="D1246" t="str">
            <v>仕掛品</v>
          </cell>
        </row>
        <row r="1247">
          <cell r="A1247" t="str">
            <v>hdr4si002</v>
          </cell>
          <cell r="C1247" t="str">
            <v>sy013</v>
          </cell>
          <cell r="D1247" t="str">
            <v>仕入先</v>
          </cell>
        </row>
        <row r="1248">
          <cell r="A1248" t="str">
            <v>hdr4si003</v>
          </cell>
          <cell r="C1248" t="str">
            <v>sy014</v>
          </cell>
          <cell r="D1248" t="str">
            <v>四半期</v>
          </cell>
        </row>
        <row r="1249">
          <cell r="A1249" t="str">
            <v>hdr4si004</v>
          </cell>
          <cell r="C1249" t="str">
            <v>sy015</v>
          </cell>
          <cell r="D1249" t="str">
            <v>資産・負債増減明細</v>
          </cell>
        </row>
        <row r="1250">
          <cell r="A1250" t="str">
            <v>hdr4si005</v>
          </cell>
          <cell r="C1250" t="str">
            <v>sy016</v>
          </cell>
          <cell r="D1250" t="str">
            <v>支払賠償金</v>
          </cell>
        </row>
        <row r="1251">
          <cell r="A1251" t="str">
            <v>hdr4si006</v>
          </cell>
          <cell r="C1251" t="str">
            <v>sy017</v>
          </cell>
          <cell r="D1251" t="str">
            <v>支払賠償金・旅費明細</v>
          </cell>
        </row>
        <row r="1252">
          <cell r="A1252" t="str">
            <v>hdr4si007</v>
          </cell>
          <cell r="C1252" t="str">
            <v>sy018</v>
          </cell>
          <cell r="D1252" t="str">
            <v>資本金</v>
          </cell>
        </row>
        <row r="1253">
          <cell r="A1253" t="str">
            <v>hdr4si008</v>
          </cell>
          <cell r="C1253" t="str">
            <v>sy019</v>
          </cell>
          <cell r="D1253" t="str">
            <v>資本準備金</v>
          </cell>
        </row>
        <row r="1254">
          <cell r="A1254" t="str">
            <v>hdr4si009</v>
          </cell>
          <cell r="C1254" t="str">
            <v>se001</v>
          </cell>
          <cell r="D1254" t="str">
            <v>支払スケジュール</v>
          </cell>
        </row>
        <row r="1255">
          <cell r="A1255" t="str">
            <v>hdr4si010</v>
          </cell>
          <cell r="C1255" t="str">
            <v>se002</v>
          </cell>
          <cell r="D1255" t="str">
            <v>支払回数</v>
          </cell>
        </row>
        <row r="1256">
          <cell r="A1256" t="str">
            <v>hdr4si011</v>
          </cell>
          <cell r="C1256" t="str">
            <v>se003</v>
          </cell>
          <cell r="D1256" t="str">
            <v>支払間隔 （月数）</v>
          </cell>
        </row>
        <row r="1257">
          <cell r="A1257" t="str">
            <v>hdr4si012</v>
          </cell>
          <cell r="C1257" t="str">
            <v>se004</v>
          </cell>
          <cell r="D1257" t="str">
            <v>支払開始年月</v>
          </cell>
        </row>
        <row r="1258">
          <cell r="A1258" t="str">
            <v>hdr4si013</v>
          </cell>
          <cell r="C1258" t="str">
            <v>se005</v>
          </cell>
          <cell r="D1258" t="str">
            <v>支払終了年月</v>
          </cell>
        </row>
        <row r="1259">
          <cell r="A1259" t="str">
            <v>hdr4si014</v>
          </cell>
          <cell r="C1259" t="str">
            <v>se006</v>
          </cell>
          <cell r="D1259" t="str">
            <v>新規・変更</v>
          </cell>
        </row>
        <row r="1260">
          <cell r="A1260" t="str">
            <v>hdr4si015</v>
          </cell>
          <cell r="C1260" t="str">
            <v>se007</v>
          </cell>
          <cell r="D1260" t="str">
            <v>支払元／配当額</v>
          </cell>
        </row>
        <row r="1261">
          <cell r="A1261" t="str">
            <v>hdr4si016</v>
          </cell>
          <cell r="C1261" t="str">
            <v>se008</v>
          </cell>
          <cell r="D1261" t="str">
            <v>仕入商品支払手数料</v>
          </cell>
        </row>
        <row r="1262">
          <cell r="A1262" t="str">
            <v>hdr4si017</v>
          </cell>
          <cell r="C1262" t="str">
            <v>se009</v>
          </cell>
          <cell r="D1262" t="str">
            <v>支援収入</v>
          </cell>
        </row>
        <row r="1263">
          <cell r="A1263" t="str">
            <v>hdr4si018</v>
          </cell>
          <cell r="C1263" t="str">
            <v>se010</v>
          </cell>
          <cell r="D1263" t="str">
            <v>仕掛品－期首</v>
          </cell>
        </row>
        <row r="1264">
          <cell r="A1264" t="str">
            <v>hdr4si019</v>
          </cell>
          <cell r="C1264" t="str">
            <v>se011</v>
          </cell>
          <cell r="D1264" t="str">
            <v>施設利用権</v>
          </cell>
        </row>
        <row r="1265">
          <cell r="A1265" t="str">
            <v>hdr4si020</v>
          </cell>
          <cell r="C1265" t="str">
            <v>se012</v>
          </cell>
          <cell r="D1265" t="str">
            <v>資本金－期末</v>
          </cell>
        </row>
        <row r="1266">
          <cell r="A1266" t="str">
            <v>hdr4si021</v>
          </cell>
          <cell r="C1266" t="str">
            <v>se013</v>
          </cell>
          <cell r="D1266" t="str">
            <v>資本準備金－期末</v>
          </cell>
        </row>
        <row r="1267">
          <cell r="A1267" t="str">
            <v>hdr4si022</v>
          </cell>
          <cell r="C1267" t="str">
            <v>se014</v>
          </cell>
          <cell r="D1267" t="str">
            <v>施設利用権－減価償却累計額－期首</v>
          </cell>
        </row>
        <row r="1268">
          <cell r="A1268" t="str">
            <v>hdr4si023</v>
          </cell>
          <cell r="C1268" t="str">
            <v>se015</v>
          </cell>
          <cell r="D1268" t="str">
            <v>新契約No.</v>
          </cell>
        </row>
        <row r="1269">
          <cell r="A1269" t="str">
            <v>hdr4si024</v>
          </cell>
          <cell r="C1269" t="str">
            <v>se016</v>
          </cell>
          <cell r="D1269" t="str">
            <v>支援/加工費明細（DGM/DWM/TWM/TKMのみ）</v>
          </cell>
        </row>
        <row r="1270">
          <cell r="A1270" t="str">
            <v>hdr4si025</v>
          </cell>
          <cell r="C1270" t="str">
            <v>se017</v>
          </cell>
          <cell r="D1270" t="str">
            <v>支援/加工費用</v>
          </cell>
        </row>
        <row r="1271">
          <cell r="A1271" t="str">
            <v>hdr4si026</v>
          </cell>
          <cell r="C1271" t="str">
            <v>se018</v>
          </cell>
          <cell r="D1271" t="str">
            <v>支援費</v>
          </cell>
        </row>
        <row r="1272">
          <cell r="A1272" t="str">
            <v>hdr4si027</v>
          </cell>
          <cell r="C1272" t="str">
            <v>se019</v>
          </cell>
          <cell r="D1272" t="str">
            <v>（下半期）</v>
          </cell>
        </row>
        <row r="1273">
          <cell r="A1273" t="str">
            <v>hdr4si028</v>
          </cell>
          <cell r="C1273" t="str">
            <v>se020</v>
          </cell>
          <cell r="D1273" t="str">
            <v>資産で計上</v>
          </cell>
        </row>
        <row r="1274">
          <cell r="A1274" t="str">
            <v>hdr4si029</v>
          </cell>
          <cell r="C1274" t="str">
            <v>se021</v>
          </cell>
          <cell r="D1274" t="str">
            <v>新製品の生産</v>
          </cell>
        </row>
        <row r="1275">
          <cell r="A1275" t="str">
            <v>hdr4so001</v>
          </cell>
          <cell r="C1275" t="str">
            <v>se022</v>
          </cell>
          <cell r="D1275" t="str">
            <v>損益計算書  （前期対比）</v>
          </cell>
        </row>
        <row r="1276">
          <cell r="A1276" t="str">
            <v>hdr4so002</v>
          </cell>
          <cell r="C1276" t="str">
            <v>se023</v>
          </cell>
          <cell r="D1276" t="str">
            <v>損益計算書  （予算対比）</v>
          </cell>
        </row>
        <row r="1277">
          <cell r="A1277" t="str">
            <v>hdr4so003</v>
          </cell>
          <cell r="C1277" t="str">
            <v>se024</v>
          </cell>
          <cell r="D1277" t="str">
            <v>その他</v>
          </cell>
        </row>
        <row r="1278">
          <cell r="A1278" t="str">
            <v>hdr4so004</v>
          </cell>
          <cell r="C1278" t="str">
            <v>se025</v>
          </cell>
          <cell r="D1278" t="str">
            <v>その他固定負債</v>
          </cell>
        </row>
        <row r="1279">
          <cell r="A1279" t="str">
            <v>hdr4so005</v>
          </cell>
          <cell r="C1279" t="str">
            <v>se026</v>
          </cell>
          <cell r="D1279" t="str">
            <v>総合計</v>
          </cell>
        </row>
        <row r="1280">
          <cell r="A1280" t="str">
            <v>hdr4so006</v>
          </cell>
          <cell r="C1280" t="str">
            <v>se027</v>
          </cell>
          <cell r="D1280" t="str">
            <v>その他（科目振替）</v>
          </cell>
        </row>
        <row r="1281">
          <cell r="A1281" t="str">
            <v>hdr4so007</v>
          </cell>
          <cell r="C1281" t="str">
            <v>ze001</v>
          </cell>
          <cell r="D1281" t="str">
            <v>その他無形固定資産</v>
          </cell>
        </row>
        <row r="1282">
          <cell r="A1282" t="str">
            <v>hdr4so008</v>
          </cell>
          <cell r="C1282" t="str">
            <v>ze002</v>
          </cell>
          <cell r="D1282" t="str">
            <v>その他固定負債－期末</v>
          </cell>
        </row>
        <row r="1283">
          <cell r="A1283" t="str">
            <v>hdr4so009</v>
          </cell>
          <cell r="C1283" t="str">
            <v>ze003</v>
          </cell>
          <cell r="D1283" t="str">
            <v>その他の項目</v>
          </cell>
        </row>
        <row r="1284">
          <cell r="A1284" t="str">
            <v>hdr4so010</v>
          </cell>
          <cell r="C1284" t="str">
            <v>ze004</v>
          </cell>
          <cell r="D1284" t="str">
            <v>その他の投資</v>
          </cell>
        </row>
        <row r="1285">
          <cell r="A1285" t="str">
            <v>hdr4so011</v>
          </cell>
          <cell r="C1285" t="str">
            <v>ze005</v>
          </cell>
          <cell r="D1285" t="str">
            <v>その他の投資－期末</v>
          </cell>
        </row>
        <row r="1286">
          <cell r="A1286" t="str">
            <v>hdr4so012</v>
          </cell>
          <cell r="C1286" t="str">
            <v>ze006</v>
          </cell>
          <cell r="D1286" t="str">
            <v>その他の注記事項</v>
          </cell>
        </row>
        <row r="1287">
          <cell r="A1287" t="str">
            <v>hdr4so013</v>
          </cell>
          <cell r="C1287" t="str">
            <v>ze007</v>
          </cell>
          <cell r="D1287" t="str">
            <v>損益計算書に関する事項</v>
          </cell>
        </row>
        <row r="1288">
          <cell r="A1288" t="str">
            <v>hdr4sy001</v>
          </cell>
          <cell r="C1288" t="str">
            <v>ze008</v>
          </cell>
          <cell r="D1288" t="str">
            <v>主要増減分析</v>
          </cell>
        </row>
        <row r="1289">
          <cell r="A1289" t="str">
            <v>hdr4sy002</v>
          </cell>
          <cell r="C1289" t="str">
            <v>ze009</v>
          </cell>
          <cell r="D1289" t="str">
            <v>収集のタイミング</v>
          </cell>
        </row>
        <row r="1290">
          <cell r="A1290" t="str">
            <v>hdr4sy003</v>
          </cell>
          <cell r="C1290" t="str">
            <v>ze010</v>
          </cell>
          <cell r="D1290" t="str">
            <v>商品</v>
          </cell>
        </row>
        <row r="1291">
          <cell r="A1291" t="str">
            <v>hdr4sy004</v>
          </cell>
          <cell r="C1291" t="str">
            <v>ze011</v>
          </cell>
          <cell r="D1291" t="str">
            <v>商品モーター売上・売上原価明細（生産地別）</v>
          </cell>
        </row>
        <row r="1292">
          <cell r="A1292" t="str">
            <v>hdr4sy005</v>
          </cell>
          <cell r="C1292" t="str">
            <v>ze012</v>
          </cell>
          <cell r="D1292" t="str">
            <v>商品売上</v>
          </cell>
        </row>
        <row r="1293">
          <cell r="A1293" t="str">
            <v>hdr4sy006</v>
          </cell>
          <cell r="C1293" t="str">
            <v>zo001</v>
          </cell>
          <cell r="D1293" t="str">
            <v>商品売上原価</v>
          </cell>
        </row>
        <row r="1294">
          <cell r="A1294" t="str">
            <v>hdr4sy007</v>
          </cell>
          <cell r="C1294" t="str">
            <v>zo002</v>
          </cell>
          <cell r="D1294" t="str">
            <v>取得原価</v>
          </cell>
        </row>
        <row r="1295">
          <cell r="A1295" t="str">
            <v>hdr4sy008</v>
          </cell>
          <cell r="C1295" t="str">
            <v>zo003</v>
          </cell>
          <cell r="D1295" t="str">
            <v>取得</v>
          </cell>
        </row>
        <row r="1296">
          <cell r="A1296" t="str">
            <v>hdr4sy009</v>
          </cell>
          <cell r="C1296" t="str">
            <v>zo004</v>
          </cell>
          <cell r="D1296" t="str">
            <v>出資金</v>
          </cell>
        </row>
        <row r="1297">
          <cell r="A1297" t="str">
            <v>hdr4sy010</v>
          </cell>
          <cell r="C1297" t="str">
            <v>so001</v>
          </cell>
          <cell r="D1297" t="str">
            <v>少額資産</v>
          </cell>
        </row>
        <row r="1298">
          <cell r="A1298" t="str">
            <v>hdr4sy011</v>
          </cell>
          <cell r="C1298" t="str">
            <v>so002</v>
          </cell>
          <cell r="D1298" t="str">
            <v>所有権移転条項</v>
          </cell>
        </row>
        <row r="1299">
          <cell r="A1299" t="str">
            <v>hdr4sy012</v>
          </cell>
          <cell r="C1299" t="str">
            <v>so003</v>
          </cell>
          <cell r="D1299" t="str">
            <v>詳細</v>
          </cell>
        </row>
        <row r="1300">
          <cell r="A1300" t="str">
            <v>hdr4sy013</v>
          </cell>
          <cell r="C1300" t="str">
            <v>so004</v>
          </cell>
          <cell r="D1300" t="str">
            <v>車輌運搬具</v>
          </cell>
        </row>
        <row r="1301">
          <cell r="A1301" t="str">
            <v>hdr4sy014</v>
          </cell>
          <cell r="C1301" t="str">
            <v>so005</v>
          </cell>
          <cell r="D1301" t="str">
            <v>出資金－期末</v>
          </cell>
        </row>
        <row r="1302">
          <cell r="A1302" t="str">
            <v>hdr4sy015</v>
          </cell>
          <cell r="C1302" t="str">
            <v>so006</v>
          </cell>
          <cell r="D1302" t="str">
            <v>賞与引当金超過額</v>
          </cell>
        </row>
        <row r="1303">
          <cell r="A1303" t="str">
            <v>hdr4sy016</v>
          </cell>
          <cell r="C1303" t="str">
            <v>so007</v>
          </cell>
          <cell r="D1303" t="str">
            <v>賞与引当金超過額認容</v>
          </cell>
        </row>
        <row r="1304">
          <cell r="A1304" t="str">
            <v>hdr4sy017</v>
          </cell>
          <cell r="C1304" t="str">
            <v>so008</v>
          </cell>
          <cell r="D1304" t="str">
            <v>主要経営指標</v>
          </cell>
        </row>
        <row r="1305">
          <cell r="A1305" t="str">
            <v>hdr4sy018</v>
          </cell>
          <cell r="C1305" t="str">
            <v>so009</v>
          </cell>
          <cell r="D1305" t="str">
            <v>主要な設備の取得内容</v>
          </cell>
        </row>
        <row r="1306">
          <cell r="A1306" t="str">
            <v>hdr4sy019</v>
          </cell>
          <cell r="C1306" t="str">
            <v>so010</v>
          </cell>
          <cell r="D1306" t="str">
            <v>主要な設備の売却･除却内容</v>
          </cell>
        </row>
        <row r="1307">
          <cell r="A1307" t="str">
            <v>hdr4ta001</v>
          </cell>
          <cell r="C1307" t="str">
            <v>so011</v>
          </cell>
          <cell r="D1307" t="str">
            <v>他工場責任</v>
          </cell>
        </row>
        <row r="1308">
          <cell r="A1308" t="str">
            <v>hdr4ta002</v>
          </cell>
          <cell r="C1308" t="str">
            <v>so012</v>
          </cell>
          <cell r="D1308" t="str">
            <v>滞留月数</v>
          </cell>
        </row>
        <row r="1309">
          <cell r="A1309" t="str">
            <v>hdr4ta003</v>
          </cell>
          <cell r="C1309" t="str">
            <v>so013</v>
          </cell>
          <cell r="D1309" t="str">
            <v>滞留棚卸資産リスト</v>
          </cell>
        </row>
        <row r="1310">
          <cell r="A1310" t="str">
            <v>hdr4ta004</v>
          </cell>
          <cell r="C1310" t="str">
            <v>ta001</v>
          </cell>
          <cell r="D1310" t="str">
            <v>滞留理由及び売上可能性</v>
          </cell>
        </row>
        <row r="1311">
          <cell r="A1311" t="str">
            <v>hdr4ta005</v>
          </cell>
          <cell r="C1311" t="str">
            <v>ta002</v>
          </cell>
          <cell r="D1311" t="str">
            <v>貸借対照表 （資産）</v>
          </cell>
        </row>
        <row r="1312">
          <cell r="A1312" t="str">
            <v>hdr4ta006</v>
          </cell>
          <cell r="C1312" t="str">
            <v>ta003</v>
          </cell>
          <cell r="D1312" t="str">
            <v>貸借対照表 （負債･資本）</v>
          </cell>
        </row>
        <row r="1313">
          <cell r="A1313" t="str">
            <v>hdr4ta007</v>
          </cell>
          <cell r="C1313" t="str">
            <v>ta004</v>
          </cell>
          <cell r="D1313" t="str">
            <v>棚卸資産残高明細 （品目別）</v>
          </cell>
        </row>
        <row r="1314">
          <cell r="A1314" t="str">
            <v>hdr4ta008</v>
          </cell>
          <cell r="C1314" t="str">
            <v>ta005</v>
          </cell>
          <cell r="D1314" t="str">
            <v>棚卸資産滞留明細</v>
          </cell>
        </row>
        <row r="1315">
          <cell r="A1315" t="str">
            <v>hdr4ta009</v>
          </cell>
          <cell r="C1315" t="str">
            <v>ta006</v>
          </cell>
          <cell r="D1315" t="str">
            <v>棚卸資産滞留明細</v>
          </cell>
        </row>
        <row r="1316">
          <cell r="A1316" t="str">
            <v>hdr4ta010</v>
          </cell>
          <cell r="C1316" t="str">
            <v>ta007</v>
          </cell>
          <cell r="D1316" t="str">
            <v>棚卸資産廃棄損</v>
          </cell>
        </row>
        <row r="1317">
          <cell r="A1317" t="str">
            <v>hdr4ta011</v>
          </cell>
          <cell r="C1317" t="str">
            <v>ta008</v>
          </cell>
          <cell r="D1317" t="str">
            <v>棚卸資産廃棄損明細</v>
          </cell>
        </row>
        <row r="1318">
          <cell r="A1318" t="str">
            <v>hdr4ta012</v>
          </cell>
          <cell r="C1318" t="str">
            <v>ta009</v>
          </cell>
          <cell r="D1318" t="str">
            <v>棚卸資産評価損</v>
          </cell>
        </row>
        <row r="1319">
          <cell r="A1319" t="str">
            <v>hdr4ta013</v>
          </cell>
          <cell r="C1319" t="str">
            <v>ta010</v>
          </cell>
          <cell r="D1319" t="str">
            <v>棚卸資産評価損明細</v>
          </cell>
        </row>
        <row r="1320">
          <cell r="A1320" t="str">
            <v>hdr4ta014</v>
          </cell>
          <cell r="C1320" t="str">
            <v>ta011</v>
          </cell>
          <cell r="D1320" t="str">
            <v>滞留在庫</v>
          </cell>
        </row>
        <row r="1321">
          <cell r="A1321" t="str">
            <v>hdr4ta015</v>
          </cell>
          <cell r="C1321" t="str">
            <v>ta012</v>
          </cell>
          <cell r="D1321" t="str">
            <v>短期</v>
          </cell>
        </row>
        <row r="1322">
          <cell r="A1322" t="str">
            <v>hdr4ta016</v>
          </cell>
          <cell r="C1322" t="str">
            <v>ta013</v>
          </cell>
          <cell r="D1322" t="str">
            <v>短期貸付金</v>
          </cell>
        </row>
        <row r="1323">
          <cell r="A1323" t="str">
            <v>hdr4ta017</v>
          </cell>
          <cell r="C1323" t="str">
            <v>ta014</v>
          </cell>
          <cell r="D1323" t="str">
            <v>短期借入金</v>
          </cell>
        </row>
        <row r="1324">
          <cell r="A1324" t="str">
            <v>hdr4ta018</v>
          </cell>
          <cell r="C1324" t="str">
            <v>ta015</v>
          </cell>
          <cell r="D1324" t="str">
            <v>退職給与引当金</v>
          </cell>
        </row>
        <row r="1325">
          <cell r="A1325" t="str">
            <v>hdr4ta019</v>
          </cell>
          <cell r="C1325" t="str">
            <v>ta016</v>
          </cell>
          <cell r="D1325" t="str">
            <v>棚卸資産</v>
          </cell>
        </row>
        <row r="1326">
          <cell r="A1326" t="str">
            <v>hdr4ta020</v>
          </cell>
          <cell r="C1326" t="str">
            <v>ta017</v>
          </cell>
          <cell r="D1326" t="str">
            <v>建物</v>
          </cell>
        </row>
        <row r="1327">
          <cell r="A1327" t="str">
            <v>hdr4ta021</v>
          </cell>
          <cell r="C1327" t="str">
            <v>ta018</v>
          </cell>
          <cell r="D1327" t="str">
            <v>短期貸付金－期末</v>
          </cell>
        </row>
        <row r="1328">
          <cell r="A1328" t="str">
            <v>hdr4ta022</v>
          </cell>
          <cell r="C1328" t="str">
            <v>ta019</v>
          </cell>
          <cell r="D1328" t="str">
            <v>短期借入金－期末</v>
          </cell>
        </row>
        <row r="1329">
          <cell r="A1329" t="str">
            <v>hdr4ta023</v>
          </cell>
          <cell r="C1329" t="str">
            <v>ta020</v>
          </cell>
          <cell r="D1329" t="str">
            <v>退職給与引当金－期末</v>
          </cell>
        </row>
        <row r="1330">
          <cell r="A1330" t="str">
            <v>hdr4ta024</v>
          </cell>
          <cell r="C1330" t="str">
            <v>ta021</v>
          </cell>
          <cell r="D1330" t="str">
            <v>棚卸資産評価損認容</v>
          </cell>
        </row>
        <row r="1331">
          <cell r="A1331" t="str">
            <v>hdr4ta025</v>
          </cell>
          <cell r="C1331" t="str">
            <v>ta022</v>
          </cell>
          <cell r="D1331" t="str">
            <v>退職給与引当金超過額</v>
          </cell>
        </row>
        <row r="1332">
          <cell r="A1332" t="str">
            <v>hdr4ta026</v>
          </cell>
          <cell r="C1332" t="str">
            <v>ta023</v>
          </cell>
          <cell r="D1332" t="str">
            <v>退職給与引当金超過額認容</v>
          </cell>
        </row>
        <row r="1333">
          <cell r="A1333" t="str">
            <v>hdr4ta027</v>
          </cell>
          <cell r="C1333" t="str">
            <v>ta024</v>
          </cell>
          <cell r="D1333" t="str">
            <v>建物－取得原価－期首</v>
          </cell>
        </row>
        <row r="1334">
          <cell r="A1334" t="str">
            <v>hdr4ta028</v>
          </cell>
          <cell r="C1334" t="str">
            <v>ta025</v>
          </cell>
          <cell r="D1334" t="str">
            <v>建物－減価償却累計額－期首</v>
          </cell>
        </row>
        <row r="1335">
          <cell r="A1335" t="str">
            <v>hdr4ta029</v>
          </cell>
          <cell r="C1335" t="str">
            <v>ta026</v>
          </cell>
          <cell r="D1335" t="str">
            <v>短期貸付金－ｸﾞﾙｰﾌﾟ－期首</v>
          </cell>
        </row>
        <row r="1336">
          <cell r="A1336" t="str">
            <v>hdr4ta030</v>
          </cell>
          <cell r="C1336" t="str">
            <v>ta027</v>
          </cell>
          <cell r="D1336" t="str">
            <v>短期貸付金－一般－期首</v>
          </cell>
        </row>
        <row r="1337">
          <cell r="A1337" t="str">
            <v>hdr4ta031</v>
          </cell>
          <cell r="C1337" t="str">
            <v>ta028</v>
          </cell>
          <cell r="D1337" t="str">
            <v>短期借入金－ｸﾞﾙｰﾌﾟ－期首</v>
          </cell>
        </row>
        <row r="1338">
          <cell r="A1338" t="str">
            <v>hdr4ta032</v>
          </cell>
          <cell r="C1338" t="str">
            <v>ta029</v>
          </cell>
          <cell r="D1338" t="str">
            <v>短期借入金－一般－期首</v>
          </cell>
        </row>
        <row r="1339">
          <cell r="A1339" t="str">
            <v>hdr4ta033</v>
          </cell>
          <cell r="C1339" t="str">
            <v>ta030</v>
          </cell>
          <cell r="D1339" t="str">
            <v>耐用年数</v>
          </cell>
        </row>
        <row r="1340">
          <cell r="A1340" t="str">
            <v>hdr4ta034</v>
          </cell>
          <cell r="C1340" t="str">
            <v>ta031</v>
          </cell>
          <cell r="D1340" t="str">
            <v>棚卸資産廃棄損</v>
          </cell>
        </row>
        <row r="1341">
          <cell r="A1341" t="str">
            <v>hdr4ta035</v>
          </cell>
          <cell r="C1341" t="str">
            <v>ta032</v>
          </cell>
          <cell r="D1341" t="str">
            <v>棚卸資産評価損</v>
          </cell>
        </row>
        <row r="1342">
          <cell r="A1342" t="str">
            <v>hdr4ta036</v>
          </cell>
          <cell r="C1342" t="str">
            <v>ta033</v>
          </cell>
          <cell r="D1342" t="str">
            <v>短期貸付金－ｸﾞﾙｰﾌﾟ</v>
          </cell>
        </row>
        <row r="1343">
          <cell r="A1343" t="str">
            <v>hdr4ta037</v>
          </cell>
          <cell r="C1343" t="str">
            <v>ta034</v>
          </cell>
          <cell r="D1343" t="str">
            <v>短期貸付金－一般</v>
          </cell>
        </row>
        <row r="1344">
          <cell r="A1344" t="str">
            <v>hdr4ta038</v>
          </cell>
          <cell r="C1344" t="str">
            <v>ta035</v>
          </cell>
          <cell r="D1344" t="str">
            <v>短期借入金－ｸﾞﾙｰﾌﾟ</v>
          </cell>
        </row>
        <row r="1345">
          <cell r="A1345" t="str">
            <v>hdr4ta039</v>
          </cell>
          <cell r="C1345" t="str">
            <v>ta036</v>
          </cell>
          <cell r="D1345" t="str">
            <v>短期借入金－一般</v>
          </cell>
        </row>
        <row r="1346">
          <cell r="A1346" t="str">
            <v>hdr4ta040</v>
          </cell>
          <cell r="C1346" t="str">
            <v>ta037</v>
          </cell>
          <cell r="D1346" t="str">
            <v>退休準備基金(TWM)</v>
          </cell>
        </row>
        <row r="1347">
          <cell r="A1347" t="str">
            <v>hdr4ta041</v>
          </cell>
          <cell r="C1347" t="str">
            <v>ta038</v>
          </cell>
          <cell r="D1347" t="str">
            <v>短期票券利息収入(TWM)</v>
          </cell>
        </row>
        <row r="1348">
          <cell r="A1348" t="str">
            <v>hdr4ta042</v>
          </cell>
          <cell r="C1348" t="str">
            <v>ta039</v>
          </cell>
          <cell r="D1348" t="str">
            <v>貸借対照表に関する事項</v>
          </cell>
        </row>
        <row r="1349">
          <cell r="A1349" t="str">
            <v>hdr4ta043</v>
          </cell>
          <cell r="C1349" t="str">
            <v>ta040</v>
          </cell>
          <cell r="D1349" t="str">
            <v>&lt;担保資産残高&gt;</v>
          </cell>
        </row>
        <row r="1350">
          <cell r="A1350" t="str">
            <v>hdr4ta044</v>
          </cell>
          <cell r="C1350" t="str">
            <v>ta041</v>
          </cell>
          <cell r="D1350" t="str">
            <v>&lt;担保付債務残高&gt;</v>
          </cell>
        </row>
        <row r="1351">
          <cell r="A1351" t="str">
            <v>hdr4te001</v>
          </cell>
          <cell r="C1351" t="str">
            <v>ta042</v>
          </cell>
          <cell r="D1351" t="str">
            <v>転換社債</v>
          </cell>
        </row>
        <row r="1352">
          <cell r="A1352" t="str">
            <v>hdr4te002</v>
          </cell>
          <cell r="C1352" t="str">
            <v>ta043</v>
          </cell>
          <cell r="D1352" t="str">
            <v>摘要</v>
          </cell>
        </row>
        <row r="1353">
          <cell r="A1353" t="str">
            <v>hdr4te003</v>
          </cell>
          <cell r="C1353" t="str">
            <v>ta044</v>
          </cell>
          <cell r="D1353" t="str">
            <v>転リース</v>
          </cell>
        </row>
        <row r="1354">
          <cell r="A1354" t="str">
            <v>hdr4te004</v>
          </cell>
          <cell r="C1354" t="str">
            <v>ti001</v>
          </cell>
          <cell r="D1354" t="str">
            <v>転換社債－期末</v>
          </cell>
        </row>
        <row r="1355">
          <cell r="A1355" t="str">
            <v>hdr4te005</v>
          </cell>
          <cell r="C1355" t="str">
            <v>ti002</v>
          </cell>
          <cell r="D1355" t="str">
            <v>定率法(D)/定額法(S)</v>
          </cell>
        </row>
        <row r="1356">
          <cell r="A1356" t="str">
            <v>hdr4te006</v>
          </cell>
          <cell r="C1356" t="str">
            <v>ti003</v>
          </cell>
          <cell r="D1356" t="str">
            <v>手形割引高</v>
          </cell>
        </row>
        <row r="1357">
          <cell r="A1357" t="str">
            <v>hdr4ti001</v>
          </cell>
          <cell r="C1357" t="str">
            <v>ti004</v>
          </cell>
          <cell r="D1357" t="str">
            <v>遅延日数</v>
          </cell>
        </row>
        <row r="1358">
          <cell r="A1358" t="str">
            <v>hdr4ti002</v>
          </cell>
          <cell r="C1358" t="str">
            <v>ti005</v>
          </cell>
          <cell r="D1358" t="str">
            <v>遅延顧客リスト</v>
          </cell>
        </row>
        <row r="1359">
          <cell r="A1359" t="str">
            <v>hdr4ti003</v>
          </cell>
          <cell r="C1359" t="str">
            <v>ti006</v>
          </cell>
          <cell r="D1359" t="str">
            <v>遅延理由及び回収可能性</v>
          </cell>
        </row>
        <row r="1360">
          <cell r="A1360" t="str">
            <v>hdr4ti004</v>
          </cell>
          <cell r="C1360" t="str">
            <v>te001</v>
          </cell>
          <cell r="D1360" t="str">
            <v>遅延売掛金</v>
          </cell>
        </row>
        <row r="1361">
          <cell r="A1361" t="str">
            <v>hdr4ti005</v>
          </cell>
          <cell r="C1361" t="str">
            <v>te002</v>
          </cell>
          <cell r="D1361" t="str">
            <v>賃上実施月</v>
          </cell>
        </row>
        <row r="1362">
          <cell r="A1362" t="str">
            <v>hdr4ti006</v>
          </cell>
          <cell r="C1362" t="str">
            <v>te003</v>
          </cell>
          <cell r="D1362" t="str">
            <v>賃貸収入(MLM)</v>
          </cell>
        </row>
        <row r="1363">
          <cell r="A1363" t="str">
            <v>hdr4to001</v>
          </cell>
          <cell r="C1363" t="str">
            <v>te004</v>
          </cell>
          <cell r="D1363" t="str">
            <v>当期</v>
          </cell>
        </row>
        <row r="1364">
          <cell r="A1364" t="str">
            <v>hdr4to002</v>
          </cell>
          <cell r="C1364" t="str">
            <v>te005</v>
          </cell>
          <cell r="D1364" t="str">
            <v>当月の主要事象</v>
          </cell>
        </row>
        <row r="1365">
          <cell r="A1365" t="str">
            <v>hdr4to003</v>
          </cell>
          <cell r="C1365" t="str">
            <v>te006</v>
          </cell>
          <cell r="D1365" t="str">
            <v>当月振替</v>
          </cell>
        </row>
        <row r="1366">
          <cell r="A1366" t="str">
            <v>hdr4to004</v>
          </cell>
          <cell r="C1366" t="str">
            <v>de001</v>
          </cell>
          <cell r="D1366" t="str">
            <v>当月発生</v>
          </cell>
        </row>
        <row r="1367">
          <cell r="A1367" t="str">
            <v>hdr4to005</v>
          </cell>
          <cell r="C1367" t="str">
            <v>de002</v>
          </cell>
          <cell r="D1367" t="str">
            <v>当月末現在</v>
          </cell>
        </row>
        <row r="1368">
          <cell r="A1368" t="str">
            <v>hdr4to006</v>
          </cell>
          <cell r="C1368" t="str">
            <v>de003</v>
          </cell>
          <cell r="D1368" t="str">
            <v>取引通貨明細</v>
          </cell>
        </row>
        <row r="1369">
          <cell r="A1369" t="str">
            <v>hdr4to007</v>
          </cell>
          <cell r="C1369" t="str">
            <v>ty001</v>
          </cell>
          <cell r="D1369" t="str">
            <v>取引通貨</v>
          </cell>
        </row>
        <row r="1370">
          <cell r="A1370" t="str">
            <v>hdr4to008</v>
          </cell>
          <cell r="C1370" t="str">
            <v>ty002</v>
          </cell>
          <cell r="D1370" t="str">
            <v>取引通貨コード</v>
          </cell>
        </row>
        <row r="1371">
          <cell r="A1371" t="str">
            <v>hdr4to009</v>
          </cell>
          <cell r="C1371" t="str">
            <v>ty003</v>
          </cell>
          <cell r="D1371" t="str">
            <v>投資有価証券</v>
          </cell>
        </row>
        <row r="1372">
          <cell r="A1372" t="str">
            <v>hdr4to010</v>
          </cell>
          <cell r="C1372" t="str">
            <v>ty004</v>
          </cell>
          <cell r="D1372" t="str">
            <v>特別仕様</v>
          </cell>
        </row>
        <row r="1373">
          <cell r="A1373" t="str">
            <v>hdr4to011</v>
          </cell>
          <cell r="C1373" t="str">
            <v>ty005</v>
          </cell>
          <cell r="D1373" t="str">
            <v>東南アジア</v>
          </cell>
        </row>
        <row r="1374">
          <cell r="A1374" t="str">
            <v>hdr4to012</v>
          </cell>
          <cell r="C1374" t="str">
            <v>ty006</v>
          </cell>
          <cell r="D1374" t="str">
            <v>当期製品製造原価</v>
          </cell>
        </row>
        <row r="1375">
          <cell r="A1375" t="str">
            <v>hdr4to013</v>
          </cell>
          <cell r="C1375" t="str">
            <v>ty007</v>
          </cell>
          <cell r="D1375" t="str">
            <v>当期製造原価中のMMK供給材料費</v>
          </cell>
        </row>
        <row r="1376">
          <cell r="A1376" t="str">
            <v>hdr4to014</v>
          </cell>
          <cell r="C1376" t="str">
            <v>ty008</v>
          </cell>
          <cell r="D1376" t="str">
            <v>当期間発生</v>
          </cell>
        </row>
        <row r="1377">
          <cell r="A1377" t="str">
            <v>hdr4to015</v>
          </cell>
          <cell r="C1377" t="str">
            <v>ty009</v>
          </cell>
          <cell r="D1377" t="str">
            <v>当期減価償却費</v>
          </cell>
        </row>
        <row r="1378">
          <cell r="A1378" t="str">
            <v>hdr4to016</v>
          </cell>
          <cell r="C1378" t="str">
            <v>ty010</v>
          </cell>
          <cell r="D1378" t="str">
            <v>土地</v>
          </cell>
        </row>
        <row r="1379">
          <cell r="A1379" t="str">
            <v>hdr4to017</v>
          </cell>
          <cell r="C1379" t="str">
            <v>ty011</v>
          </cell>
          <cell r="D1379" t="str">
            <v>土地使用権</v>
          </cell>
        </row>
        <row r="1380">
          <cell r="A1380" t="str">
            <v>hdr4to018</v>
          </cell>
          <cell r="C1380" t="str">
            <v>ty012</v>
          </cell>
          <cell r="D1380" t="str">
            <v>投資有価証券－期末</v>
          </cell>
        </row>
        <row r="1381">
          <cell r="A1381" t="str">
            <v>hdr4to019</v>
          </cell>
          <cell r="C1381" t="str">
            <v>ty013</v>
          </cell>
          <cell r="D1381" t="str">
            <v>当期製造原価中のTKM供給材料費</v>
          </cell>
        </row>
        <row r="1382">
          <cell r="A1382" t="str">
            <v>hdr4to020</v>
          </cell>
          <cell r="C1382" t="str">
            <v>ty014</v>
          </cell>
          <cell r="D1382" t="str">
            <v>当期製造原価中のHKSEIKO供給材料費</v>
          </cell>
        </row>
        <row r="1383">
          <cell r="A1383" t="str">
            <v>hdr4to021</v>
          </cell>
          <cell r="C1383" t="str">
            <v>ty015</v>
          </cell>
          <cell r="D1383" t="str">
            <v>投資低減税額(TWM,TKM)</v>
          </cell>
        </row>
        <row r="1384">
          <cell r="A1384" t="str">
            <v>hdr4to022</v>
          </cell>
          <cell r="C1384" t="str">
            <v>ty016</v>
          </cell>
          <cell r="D1384" t="str">
            <v>当期支払リース料</v>
          </cell>
        </row>
        <row r="1385">
          <cell r="A1385" t="str">
            <v>hdr4to023</v>
          </cell>
          <cell r="C1385" t="str">
            <v>ty017</v>
          </cell>
          <cell r="D1385" t="str">
            <v>当期製造原価中のDGM供給材料費</v>
          </cell>
        </row>
        <row r="1386">
          <cell r="A1386" t="str">
            <v>hdr4to024</v>
          </cell>
          <cell r="C1386" t="str">
            <v>ty018</v>
          </cell>
          <cell r="D1386" t="str">
            <v>当期製造原価中のLDM供給材料費</v>
          </cell>
        </row>
        <row r="1387">
          <cell r="A1387" t="str">
            <v>hdr4ty001</v>
          </cell>
          <cell r="C1387" t="str">
            <v>ty018</v>
          </cell>
          <cell r="D1387" t="str">
            <v>貯蔵品</v>
          </cell>
        </row>
        <row r="1388">
          <cell r="A1388" t="str">
            <v>hdr4ty002</v>
          </cell>
          <cell r="C1388" t="str">
            <v>ty019</v>
          </cell>
          <cell r="D1388" t="str">
            <v>調整額</v>
          </cell>
        </row>
        <row r="1389">
          <cell r="A1389" t="str">
            <v>hdr4ty003</v>
          </cell>
          <cell r="C1389" t="str">
            <v>ty020</v>
          </cell>
          <cell r="D1389" t="str">
            <v>長期</v>
          </cell>
        </row>
        <row r="1390">
          <cell r="A1390" t="str">
            <v>hdr4ty004</v>
          </cell>
          <cell r="C1390" t="str">
            <v>ty021</v>
          </cell>
          <cell r="D1390" t="str">
            <v>長期貸付金</v>
          </cell>
        </row>
        <row r="1391">
          <cell r="A1391" t="str">
            <v>hdr4ty005</v>
          </cell>
          <cell r="C1391" t="str">
            <v>ty022</v>
          </cell>
          <cell r="D1391" t="str">
            <v>長期借入金</v>
          </cell>
        </row>
        <row r="1392">
          <cell r="A1392" t="str">
            <v>hdr4ty006</v>
          </cell>
          <cell r="C1392" t="str">
            <v>ty023</v>
          </cell>
          <cell r="D1392" t="str">
            <v>中途解約　（Ｙ:可、Ｎ:不可）</v>
          </cell>
        </row>
        <row r="1393">
          <cell r="A1393" t="str">
            <v>hdr4ty007</v>
          </cell>
          <cell r="C1393" t="str">
            <v>ty024</v>
          </cell>
          <cell r="D1393" t="str">
            <v>長期貸付金－期末</v>
          </cell>
        </row>
        <row r="1394">
          <cell r="A1394" t="str">
            <v>hdr4ty008</v>
          </cell>
          <cell r="C1394" t="str">
            <v>ty025</v>
          </cell>
          <cell r="D1394" t="str">
            <v>長期借入金－期末</v>
          </cell>
        </row>
        <row r="1395">
          <cell r="A1395" t="str">
            <v>hdr4ty009</v>
          </cell>
          <cell r="C1395" t="str">
            <v>ty026</v>
          </cell>
          <cell r="D1395" t="str">
            <v>長期貸付金－ｸﾞﾙｰﾌﾟ－期首</v>
          </cell>
        </row>
        <row r="1396">
          <cell r="A1396" t="str">
            <v>hdr4ty010</v>
          </cell>
          <cell r="C1396" t="str">
            <v>ty027</v>
          </cell>
          <cell r="D1396" t="str">
            <v>長期貸付金－一般－期首</v>
          </cell>
        </row>
        <row r="1397">
          <cell r="A1397" t="str">
            <v>hdr4ty011</v>
          </cell>
          <cell r="C1397" t="str">
            <v>ty028</v>
          </cell>
          <cell r="D1397" t="str">
            <v>長期借入金－ｸﾞﾙｰﾌﾟ－期首</v>
          </cell>
        </row>
        <row r="1398">
          <cell r="A1398" t="str">
            <v>hdr4ty012</v>
          </cell>
          <cell r="C1398" t="str">
            <v>to001</v>
          </cell>
          <cell r="D1398" t="str">
            <v>長期借入金－一般－期首</v>
          </cell>
        </row>
        <row r="1399">
          <cell r="A1399" t="str">
            <v>hdr4ty013</v>
          </cell>
          <cell r="C1399" t="str">
            <v>to002</v>
          </cell>
          <cell r="D1399" t="str">
            <v>長期定期預金</v>
          </cell>
        </row>
        <row r="1400">
          <cell r="A1400" t="str">
            <v>hdr4ty014</v>
          </cell>
          <cell r="C1400" t="str">
            <v>to003</v>
          </cell>
          <cell r="D1400" t="str">
            <v>長期定期預金－期末</v>
          </cell>
        </row>
        <row r="1401">
          <cell r="A1401" t="str">
            <v>hdr4ty015</v>
          </cell>
          <cell r="C1401" t="str">
            <v>to004</v>
          </cell>
          <cell r="D1401" t="str">
            <v>長期前払費用</v>
          </cell>
        </row>
        <row r="1402">
          <cell r="A1402" t="str">
            <v>hdr4ty016</v>
          </cell>
          <cell r="C1402" t="str">
            <v>to005</v>
          </cell>
          <cell r="D1402" t="str">
            <v>長期前払費用－期末</v>
          </cell>
        </row>
        <row r="1403">
          <cell r="A1403" t="str">
            <v>hdr4ty017</v>
          </cell>
          <cell r="C1403" t="str">
            <v>to006</v>
          </cell>
          <cell r="D1403" t="str">
            <v>長期貸付金－ｸﾞﾙｰﾌﾟ</v>
          </cell>
        </row>
        <row r="1404">
          <cell r="A1404" t="str">
            <v>hdr4ty018</v>
          </cell>
          <cell r="C1404" t="str">
            <v>to007</v>
          </cell>
          <cell r="D1404" t="str">
            <v>長期貸付金－一般</v>
          </cell>
        </row>
        <row r="1405">
          <cell r="A1405" t="str">
            <v>hdr4ty019</v>
          </cell>
          <cell r="C1405" t="str">
            <v>to008</v>
          </cell>
          <cell r="D1405" t="str">
            <v>長期借入金－ｸﾞﾙｰﾌﾟ</v>
          </cell>
        </row>
        <row r="1406">
          <cell r="A1406" t="str">
            <v>hdr4ty020</v>
          </cell>
          <cell r="C1406" t="str">
            <v>to009</v>
          </cell>
          <cell r="D1406" t="str">
            <v>長期借入金－一般</v>
          </cell>
        </row>
        <row r="1407">
          <cell r="A1407" t="str">
            <v>hdr4ty021</v>
          </cell>
          <cell r="C1407" t="str">
            <v>to010</v>
          </cell>
          <cell r="D1407" t="str">
            <v>直接労務費</v>
          </cell>
        </row>
        <row r="1408">
          <cell r="A1408" t="str">
            <v>hdr4ty022</v>
          </cell>
          <cell r="C1408" t="str">
            <v>to011</v>
          </cell>
          <cell r="D1408" t="str">
            <v>(調整項目)</v>
          </cell>
        </row>
        <row r="1409">
          <cell r="A1409" t="str">
            <v>hdr4ty023</v>
          </cell>
          <cell r="C1409" t="str">
            <v>to012</v>
          </cell>
          <cell r="D1409" t="str">
            <v>(中間決算用)</v>
          </cell>
        </row>
        <row r="1410">
          <cell r="A1410" t="str">
            <v>hdr4ty024</v>
          </cell>
          <cell r="C1410" t="str">
            <v>to013</v>
          </cell>
          <cell r="D1410" t="str">
            <v>(中間税金費用)</v>
          </cell>
        </row>
        <row r="1411">
          <cell r="A1411" t="str">
            <v>hdr4ty025</v>
          </cell>
          <cell r="C1411" t="str">
            <v>to014</v>
          </cell>
          <cell r="D1411" t="str">
            <v>中間税金費用</v>
          </cell>
        </row>
        <row r="1412">
          <cell r="A1412" t="str">
            <v>hdr4ty026</v>
          </cell>
          <cell r="C1412" t="str">
            <v>to015</v>
          </cell>
          <cell r="D1412" t="str">
            <v>中間</v>
          </cell>
        </row>
        <row r="1413">
          <cell r="A1413" t="str">
            <v>hdr4ty027</v>
          </cell>
          <cell r="C1413" t="str">
            <v>to016</v>
          </cell>
          <cell r="D1413" t="str">
            <v>注記明細</v>
          </cell>
        </row>
        <row r="1414">
          <cell r="A1414" t="str">
            <v>hdr4ty028</v>
          </cell>
          <cell r="C1414" t="str">
            <v>to017</v>
          </cell>
          <cell r="D1414" t="str">
            <v>帳簿金額</v>
          </cell>
        </row>
        <row r="1415">
          <cell r="A1415" t="str">
            <v>hdr4uu001</v>
          </cell>
          <cell r="C1415" t="str">
            <v>to018</v>
          </cell>
          <cell r="D1415" t="str">
            <v>受取配当金明細（MMK/HKM/TWM/TKM/DLMのみ）</v>
          </cell>
        </row>
        <row r="1416">
          <cell r="A1416" t="str">
            <v>hdr4uu002</v>
          </cell>
          <cell r="C1416" t="str">
            <v>to019</v>
          </cell>
          <cell r="D1416" t="str">
            <v>売掛債権残高</v>
          </cell>
        </row>
        <row r="1417">
          <cell r="A1417" t="str">
            <v>hdr4uu003</v>
          </cell>
          <cell r="C1417" t="str">
            <v>to020</v>
          </cell>
          <cell r="D1417" t="str">
            <v>売掛債権遅延明細</v>
          </cell>
        </row>
        <row r="1418">
          <cell r="A1418" t="str">
            <v>hdr4uu004</v>
          </cell>
          <cell r="C1418" t="str">
            <v>to021</v>
          </cell>
          <cell r="D1418" t="str">
            <v>売上原価計算書（科目別・部門別）</v>
          </cell>
        </row>
        <row r="1419">
          <cell r="A1419" t="str">
            <v>hdr4uu005</v>
          </cell>
          <cell r="C1419" t="str">
            <v>to022</v>
          </cell>
          <cell r="D1419" t="str">
            <v>売上原価明細</v>
          </cell>
        </row>
        <row r="1420">
          <cell r="A1420" t="str">
            <v>hdr4uu006</v>
          </cell>
          <cell r="C1420" t="str">
            <v>to023</v>
          </cell>
          <cell r="D1420" t="str">
            <v>売上原価明細（科目別・部門別）</v>
          </cell>
        </row>
        <row r="1421">
          <cell r="A1421" t="str">
            <v>hdr4uu007</v>
          </cell>
          <cell r="C1421" t="str">
            <v>na001</v>
          </cell>
          <cell r="D1421" t="str">
            <v>売上明細</v>
          </cell>
        </row>
        <row r="1422">
          <cell r="A1422" t="str">
            <v>hdr4uu008</v>
          </cell>
          <cell r="C1422" t="str">
            <v>ni001</v>
          </cell>
          <cell r="D1422" t="str">
            <v>売上明細（科目別・部門別）</v>
          </cell>
        </row>
        <row r="1423">
          <cell r="A1423" t="str">
            <v>hdr4uu009</v>
          </cell>
          <cell r="C1423" t="str">
            <v>ni002</v>
          </cell>
          <cell r="D1423" t="str">
            <v>売上先 ／ 売上高</v>
          </cell>
        </row>
        <row r="1424">
          <cell r="A1424" t="str">
            <v>hdr4uu010</v>
          </cell>
          <cell r="C1424" t="str">
            <v>ny001</v>
          </cell>
          <cell r="D1424" t="str">
            <v>売上先 ／ 売上原価</v>
          </cell>
        </row>
        <row r="1425">
          <cell r="A1425" t="str">
            <v>hdr4uu011</v>
          </cell>
          <cell r="C1425" t="str">
            <v>ny002</v>
          </cell>
          <cell r="D1425" t="str">
            <v>受取手数料</v>
          </cell>
        </row>
        <row r="1426">
          <cell r="A1426" t="str">
            <v>hdr4uu012</v>
          </cell>
          <cell r="C1426" t="str">
            <v>ne001</v>
          </cell>
          <cell r="D1426" t="str">
            <v>受取技術援助料</v>
          </cell>
        </row>
        <row r="1427">
          <cell r="A1427" t="str">
            <v>hdr4uu013</v>
          </cell>
          <cell r="C1427" t="str">
            <v>ne002</v>
          </cell>
          <cell r="D1427" t="str">
            <v>売上原価</v>
          </cell>
        </row>
        <row r="1428">
          <cell r="A1428" t="str">
            <v>hdr4uu014</v>
          </cell>
          <cell r="C1428" t="str">
            <v>ne003</v>
          </cell>
          <cell r="D1428" t="str">
            <v>売上高</v>
          </cell>
        </row>
        <row r="1429">
          <cell r="A1429" t="str">
            <v>hdr4uu015</v>
          </cell>
          <cell r="C1429" t="str">
            <v>ne004</v>
          </cell>
          <cell r="D1429" t="str">
            <v>受取利息(MLM)</v>
          </cell>
        </row>
        <row r="1430">
          <cell r="A1430" t="str">
            <v>hdr4wa001</v>
          </cell>
          <cell r="C1430" t="str">
            <v>ne005</v>
          </cell>
          <cell r="D1430" t="str">
            <v>割安購入選択権</v>
          </cell>
        </row>
        <row r="1431">
          <cell r="A1431" t="str">
            <v>hdr4ya001</v>
          </cell>
          <cell r="C1431" t="str">
            <v>ha001</v>
          </cell>
          <cell r="D1431" t="str">
            <v>役員退職金繰入額</v>
          </cell>
        </row>
        <row r="1432">
          <cell r="A1432" t="str">
            <v>hdr4ya002</v>
          </cell>
          <cell r="C1432" t="str">
            <v>ha002</v>
          </cell>
          <cell r="D1432" t="str">
            <v>役員退職金取崩額</v>
          </cell>
        </row>
        <row r="1433">
          <cell r="A1433" t="str">
            <v>hdr4ya003</v>
          </cell>
          <cell r="C1433" t="str">
            <v>ha003</v>
          </cell>
          <cell r="D1433" t="str">
            <v>役員退職年金積立基金</v>
          </cell>
        </row>
        <row r="1434">
          <cell r="A1434" t="str">
            <v>hdr4ya004</v>
          </cell>
          <cell r="C1434" t="str">
            <v>ha004</v>
          </cell>
          <cell r="D1434" t="str">
            <v>役員退職年金積立基金－期末</v>
          </cell>
        </row>
        <row r="1435">
          <cell r="A1435" t="str">
            <v>hdr4ya005</v>
          </cell>
          <cell r="C1435" t="str">
            <v>ha005</v>
          </cell>
          <cell r="D1435" t="str">
            <v>役員保険積金</v>
          </cell>
        </row>
        <row r="1436">
          <cell r="A1436" t="str">
            <v>hdr4ya006</v>
          </cell>
          <cell r="C1436" t="str">
            <v>ha006</v>
          </cell>
          <cell r="D1436" t="str">
            <v>役員保険積金－期末</v>
          </cell>
        </row>
        <row r="1437">
          <cell r="A1437" t="str">
            <v>hdr4yo001</v>
          </cell>
          <cell r="C1437" t="str">
            <v>ha007</v>
          </cell>
          <cell r="D1437" t="str">
            <v>予算</v>
          </cell>
        </row>
        <row r="1438">
          <cell r="A1438" t="str">
            <v>hdr4yo002</v>
          </cell>
          <cell r="C1438" t="str">
            <v>ha008</v>
          </cell>
          <cell r="D1438" t="str">
            <v>予算対比</v>
          </cell>
        </row>
        <row r="1439">
          <cell r="A1439" t="str">
            <v>hdr4yo003</v>
          </cell>
          <cell r="C1439" t="str">
            <v>ha009</v>
          </cell>
          <cell r="D1439" t="str">
            <v>預金－現金同等物－期首</v>
          </cell>
        </row>
        <row r="1440">
          <cell r="A1440" t="str">
            <v>hdr4yo004</v>
          </cell>
          <cell r="C1440" t="str">
            <v>ha010</v>
          </cell>
          <cell r="D1440" t="str">
            <v>預金－その他－期首</v>
          </cell>
        </row>
        <row r="1441">
          <cell r="A1441" t="str">
            <v>hdr4yo005</v>
          </cell>
          <cell r="C1441" t="str">
            <v>ha011</v>
          </cell>
          <cell r="D1441" t="str">
            <v>預金</v>
          </cell>
        </row>
        <row r="1442">
          <cell r="A1442" t="str">
            <v>hdr4yo006</v>
          </cell>
          <cell r="C1442" t="str">
            <v>ha012</v>
          </cell>
          <cell r="D1442" t="str">
            <v>預金－現金同等物</v>
          </cell>
        </row>
        <row r="1443">
          <cell r="A1443" t="str">
            <v>hdr4yo007</v>
          </cell>
          <cell r="C1443" t="str">
            <v>ba001</v>
          </cell>
          <cell r="D1443" t="str">
            <v>預金－その他</v>
          </cell>
        </row>
        <row r="1444">
          <cell r="A1444" t="str">
            <v>hdr4yo008</v>
          </cell>
          <cell r="C1444" t="str">
            <v>ba002</v>
          </cell>
          <cell r="D1444" t="str">
            <v>預金－期末</v>
          </cell>
        </row>
        <row r="1445">
          <cell r="A1445" t="str">
            <v>hdr4yo009</v>
          </cell>
          <cell r="C1445" t="str">
            <v>ba003</v>
          </cell>
          <cell r="D1445" t="str">
            <v>翌期</v>
          </cell>
        </row>
        <row r="1446">
          <cell r="A1446" t="str">
            <v>hdr4yo010</v>
          </cell>
          <cell r="C1446" t="str">
            <v>ba004</v>
          </cell>
          <cell r="D1446" t="str">
            <v>予想年間税引前当期純利益</v>
          </cell>
        </row>
        <row r="1447">
          <cell r="A1447" t="str">
            <v>hdr4yo011</v>
          </cell>
          <cell r="C1447" t="str">
            <v>hi001</v>
          </cell>
          <cell r="D1447" t="str">
            <v>予想年間税額控除額</v>
          </cell>
        </row>
        <row r="1448">
          <cell r="A1448" t="str">
            <v>hdr4yo012</v>
          </cell>
          <cell r="C1448" t="str">
            <v>hi002</v>
          </cell>
          <cell r="D1448" t="str">
            <v>予想年間その他税額</v>
          </cell>
        </row>
        <row r="1449">
          <cell r="A1449" t="str">
            <v>hdr4yo013</v>
          </cell>
          <cell r="C1449" t="str">
            <v>hi003</v>
          </cell>
          <cell r="D1449" t="str">
            <v>予想年間税金費用</v>
          </cell>
        </row>
        <row r="1450">
          <cell r="A1450" t="str">
            <v>hdr4yo014</v>
          </cell>
          <cell r="C1450" t="str">
            <v>hi004</v>
          </cell>
          <cell r="D1450" t="str">
            <v>要約</v>
          </cell>
        </row>
        <row r="1451">
          <cell r="A1451" t="str">
            <v>hdr4yu001</v>
          </cell>
          <cell r="C1451" t="str">
            <v>hi005</v>
          </cell>
          <cell r="D1451" t="str">
            <v>有価証券報告書（受注残）</v>
          </cell>
        </row>
        <row r="1452">
          <cell r="A1452" t="str">
            <v>hdr4yu002</v>
          </cell>
          <cell r="C1452" t="str">
            <v>hi006</v>
          </cell>
          <cell r="D1452" t="str">
            <v>有価証券報告書（生産計画）</v>
          </cell>
        </row>
        <row r="1453">
          <cell r="A1453" t="str">
            <v>hdr4yu003</v>
          </cell>
          <cell r="C1453" t="str">
            <v>hy001</v>
          </cell>
          <cell r="D1453" t="str">
            <v>有形固定資産</v>
          </cell>
        </row>
        <row r="1454">
          <cell r="A1454" t="str">
            <v>hdr4yu004</v>
          </cell>
          <cell r="C1454" t="str">
            <v>bi001</v>
          </cell>
          <cell r="D1454" t="str">
            <v>有価証券</v>
          </cell>
        </row>
        <row r="1455">
          <cell r="A1455" t="str">
            <v>hdr4yu005</v>
          </cell>
          <cell r="C1455" t="str">
            <v>bu001</v>
          </cell>
          <cell r="D1455" t="str">
            <v>有価証券－期末</v>
          </cell>
        </row>
        <row r="1456">
          <cell r="A1456" t="str">
            <v>hdr4yu006</v>
          </cell>
          <cell r="C1456" t="str">
            <v>bu002</v>
          </cell>
          <cell r="D1456" t="str">
            <v>有価証券－現金同等物－期首</v>
          </cell>
        </row>
        <row r="1457">
          <cell r="A1457" t="str">
            <v>hdr4yu007</v>
          </cell>
          <cell r="C1457" t="str">
            <v>bu003</v>
          </cell>
          <cell r="D1457" t="str">
            <v>有価証券－その他－期首</v>
          </cell>
        </row>
        <row r="1458">
          <cell r="A1458" t="str">
            <v>hdr4yu008</v>
          </cell>
          <cell r="C1458" t="str">
            <v>bu004</v>
          </cell>
          <cell r="D1458" t="str">
            <v>有価証券－現金同等物</v>
          </cell>
        </row>
        <row r="1459">
          <cell r="A1459" t="str">
            <v>hdr4yu009</v>
          </cell>
          <cell r="C1459" t="str">
            <v>bu005</v>
          </cell>
          <cell r="D1459" t="str">
            <v>有価証券－その他</v>
          </cell>
        </row>
        <row r="1460">
          <cell r="A1460" t="str">
            <v>hdr4yu010</v>
          </cell>
          <cell r="C1460" t="str">
            <v>bu006</v>
          </cell>
          <cell r="D1460" t="str">
            <v>有価証券関係</v>
          </cell>
        </row>
        <row r="1461">
          <cell r="A1461" t="str">
            <v>hdr4yu011</v>
          </cell>
          <cell r="C1461" t="str">
            <v>ho001</v>
          </cell>
          <cell r="D1461" t="str">
            <v>有価証券関係－時価の算定方法</v>
          </cell>
        </row>
        <row r="1462">
          <cell r="A1462" t="str">
            <v>hdr4yu012</v>
          </cell>
          <cell r="C1462" t="str">
            <v>ho002</v>
          </cell>
          <cell r="D1462" t="str">
            <v>有価証券関係－有価証券の売却</v>
          </cell>
        </row>
        <row r="1463">
          <cell r="A1463" t="str">
            <v>hdr4za001</v>
          </cell>
          <cell r="C1463" t="str">
            <v>ho003</v>
          </cell>
          <cell r="D1463" t="str">
            <v>材料</v>
          </cell>
        </row>
        <row r="1464">
          <cell r="A1464" t="str">
            <v>hdr4za002</v>
          </cell>
          <cell r="C1464" t="str">
            <v>ho004</v>
          </cell>
          <cell r="D1464" t="str">
            <v>財務諸表入力シート</v>
          </cell>
        </row>
        <row r="1465">
          <cell r="A1465" t="str">
            <v>hdr4za003</v>
          </cell>
          <cell r="C1465" t="str">
            <v>ho005</v>
          </cell>
          <cell r="D1465" t="str">
            <v>材料売上</v>
          </cell>
        </row>
        <row r="1466">
          <cell r="A1466" t="str">
            <v>hdr4za004</v>
          </cell>
          <cell r="C1466" t="str">
            <v>ma001</v>
          </cell>
          <cell r="D1466" t="str">
            <v>材料－期首</v>
          </cell>
        </row>
        <row r="1467">
          <cell r="A1467" t="str">
            <v>hdr4za005</v>
          </cell>
          <cell r="C1467" t="str">
            <v>mi001</v>
          </cell>
          <cell r="D1467" t="str">
            <v>残存価格</v>
          </cell>
        </row>
        <row r="1468">
          <cell r="A1468" t="str">
            <v>hdr4za006</v>
          </cell>
          <cell r="C1468" t="str">
            <v>mi002</v>
          </cell>
          <cell r="D1468" t="str">
            <v>残存価格(%)</v>
          </cell>
        </row>
        <row r="1469">
          <cell r="A1469" t="str">
            <v>hdr4za007</v>
          </cell>
          <cell r="C1469" t="str">
            <v>mi003</v>
          </cell>
          <cell r="D1469" t="str">
            <v>材料費</v>
          </cell>
        </row>
        <row r="1470">
          <cell r="A1470" t="str">
            <v>hdr4ze001</v>
          </cell>
          <cell r="C1470" t="str">
            <v>mi004</v>
          </cell>
          <cell r="D1470" t="str">
            <v>税効果明細</v>
          </cell>
        </row>
        <row r="1471">
          <cell r="A1471" t="str">
            <v>hdr4ze002</v>
          </cell>
          <cell r="C1471" t="str">
            <v>mi005</v>
          </cell>
          <cell r="D1471" t="str">
            <v>前期</v>
          </cell>
        </row>
        <row r="1472">
          <cell r="A1472" t="str">
            <v>hdr4ze003</v>
          </cell>
          <cell r="C1472" t="str">
            <v>mi006</v>
          </cell>
          <cell r="D1472" t="str">
            <v>前期対比</v>
          </cell>
        </row>
        <row r="1473">
          <cell r="A1473" t="str">
            <v>hdr4ze004</v>
          </cell>
          <cell r="C1473" t="str">
            <v>mi007</v>
          </cell>
          <cell r="D1473" t="str">
            <v>前期末</v>
          </cell>
        </row>
        <row r="1474">
          <cell r="A1474" t="str">
            <v>hdr4ze005</v>
          </cell>
          <cell r="C1474" t="str">
            <v>mi008</v>
          </cell>
          <cell r="D1474" t="str">
            <v>税金等調整前当期純利益</v>
          </cell>
        </row>
        <row r="1475">
          <cell r="A1475" t="str">
            <v>hdr4ze006</v>
          </cell>
          <cell r="C1475" t="str">
            <v>mi009</v>
          </cell>
          <cell r="D1475" t="str">
            <v>税務上計算数値</v>
          </cell>
        </row>
        <row r="1476">
          <cell r="A1476" t="str">
            <v>hdr4ze007</v>
          </cell>
          <cell r="C1476" t="str">
            <v>mi010</v>
          </cell>
          <cell r="D1476" t="str">
            <v>税率</v>
          </cell>
        </row>
        <row r="1477">
          <cell r="A1477" t="str">
            <v>hdr4ze008</v>
          </cell>
          <cell r="C1477" t="str">
            <v>mi011</v>
          </cell>
          <cell r="D1477" t="str">
            <v>税額</v>
          </cell>
        </row>
        <row r="1478">
          <cell r="A1478" t="str">
            <v>hdr4ze009</v>
          </cell>
          <cell r="C1478" t="str">
            <v>mi012</v>
          </cell>
          <cell r="D1478" t="str">
            <v>(税金計算後)</v>
          </cell>
        </row>
        <row r="1479">
          <cell r="A1479" t="str">
            <v>hdr4ze010</v>
          </cell>
          <cell r="C1479" t="str">
            <v>mi013</v>
          </cell>
          <cell r="D1479" t="str">
            <v>(税金費用差異分析)</v>
          </cell>
        </row>
        <row r="1480">
          <cell r="A1480" t="str">
            <v>hdr4ze011</v>
          </cell>
          <cell r="C1480" t="str">
            <v>mi014</v>
          </cell>
          <cell r="D1480" t="str">
            <v>(税金調整)</v>
          </cell>
        </row>
        <row r="1481">
          <cell r="A1481" t="str">
            <v>hdr4ze012</v>
          </cell>
          <cell r="C1481" t="str">
            <v>mi015</v>
          </cell>
          <cell r="D1481" t="str">
            <v>税引前中間純利益</v>
          </cell>
        </row>
        <row r="1482">
          <cell r="A1482" t="str">
            <v>hdr4zo001</v>
          </cell>
          <cell r="C1482" t="str">
            <v>mu001</v>
          </cell>
          <cell r="D1482" t="str">
            <v>増減率</v>
          </cell>
        </row>
        <row r="1483">
          <cell r="A1483" t="str">
            <v>hdr4zo002</v>
          </cell>
          <cell r="C1483" t="str">
            <v>me001</v>
          </cell>
          <cell r="D1483" t="str">
            <v>増加</v>
          </cell>
        </row>
        <row r="1484">
          <cell r="A1484" t="str">
            <v>hdr4zo003</v>
          </cell>
          <cell r="C1484" t="str">
            <v>me002</v>
          </cell>
          <cell r="D1484" t="str">
            <v>増減分析</v>
          </cell>
        </row>
        <row r="1485">
          <cell r="A1485" t="str">
            <v>hdr4zo004</v>
          </cell>
          <cell r="C1485" t="str">
            <v>mo001</v>
          </cell>
          <cell r="D1485" t="str">
            <v>増値税売上原価</v>
          </cell>
        </row>
        <row r="1486">
          <cell r="A1486" t="str">
            <v>hkm</v>
          </cell>
          <cell r="C1486" t="str">
            <v>ya001</v>
          </cell>
          <cell r="D1486" t="str">
            <v>HKM</v>
          </cell>
        </row>
        <row r="1487">
          <cell r="A1487" t="str">
            <v>HKM</v>
          </cell>
          <cell r="C1487" t="str">
            <v>ya002</v>
          </cell>
          <cell r="D1487" t="str">
            <v>HKM</v>
          </cell>
        </row>
        <row r="1488">
          <cell r="A1488" t="str">
            <v>hkseiko</v>
          </cell>
          <cell r="C1488" t="str">
            <v>ya003</v>
          </cell>
          <cell r="D1488" t="str">
            <v>HKSEIKO</v>
          </cell>
        </row>
        <row r="1489">
          <cell r="A1489" t="str">
            <v>HKSEIKO</v>
          </cell>
          <cell r="C1489" t="str">
            <v>ya004</v>
          </cell>
          <cell r="D1489" t="str">
            <v>HKSEIKO</v>
          </cell>
        </row>
        <row r="1490">
          <cell r="A1490" t="str">
            <v>jsm</v>
          </cell>
          <cell r="C1490" t="str">
            <v>ya005</v>
          </cell>
          <cell r="D1490" t="str">
            <v>JSM</v>
          </cell>
        </row>
        <row r="1491">
          <cell r="A1491" t="str">
            <v>JSM</v>
          </cell>
          <cell r="C1491" t="str">
            <v>ya006</v>
          </cell>
          <cell r="D1491" t="str">
            <v>JSM</v>
          </cell>
        </row>
        <row r="1492">
          <cell r="A1492" t="str">
            <v>mlm</v>
          </cell>
          <cell r="C1492" t="str">
            <v>yu001</v>
          </cell>
          <cell r="D1492" t="str">
            <v>MLM</v>
          </cell>
        </row>
        <row r="1493">
          <cell r="A1493" t="str">
            <v>MLM</v>
          </cell>
          <cell r="C1493" t="str">
            <v>yu002</v>
          </cell>
          <cell r="D1493" t="str">
            <v>MLM</v>
          </cell>
        </row>
        <row r="1494">
          <cell r="A1494" t="str">
            <v>mmk</v>
          </cell>
          <cell r="C1494" t="str">
            <v>yu003</v>
          </cell>
          <cell r="D1494" t="str">
            <v>MMK</v>
          </cell>
        </row>
        <row r="1495">
          <cell r="A1495" t="str">
            <v>MMK</v>
          </cell>
          <cell r="C1495" t="str">
            <v>yu004</v>
          </cell>
          <cell r="D1495" t="str">
            <v>MMK</v>
          </cell>
        </row>
        <row r="1496">
          <cell r="A1496" t="str">
            <v>nyo</v>
          </cell>
          <cell r="C1496" t="str">
            <v>yu005</v>
          </cell>
          <cell r="D1496" t="str">
            <v>NYO</v>
          </cell>
        </row>
        <row r="1497">
          <cell r="A1497" t="str">
            <v>NYO</v>
          </cell>
          <cell r="C1497" t="str">
            <v>yu006</v>
          </cell>
          <cell r="D1497" t="str">
            <v>NYO</v>
          </cell>
        </row>
        <row r="1498">
          <cell r="A1498" t="str">
            <v>seiko</v>
          </cell>
          <cell r="C1498" t="str">
            <v>yu007</v>
          </cell>
          <cell r="D1498" t="str">
            <v>SEIKO</v>
          </cell>
        </row>
        <row r="1499">
          <cell r="A1499" t="str">
            <v>SEIKO</v>
          </cell>
          <cell r="C1499" t="str">
            <v>yu008</v>
          </cell>
          <cell r="D1499" t="str">
            <v>SEIKO</v>
          </cell>
        </row>
        <row r="1500">
          <cell r="A1500" t="str">
            <v>spo</v>
          </cell>
          <cell r="C1500" t="str">
            <v>yu009</v>
          </cell>
          <cell r="D1500" t="str">
            <v>SPO</v>
          </cell>
        </row>
        <row r="1501">
          <cell r="A1501" t="str">
            <v>SPO</v>
          </cell>
          <cell r="C1501" t="str">
            <v>yu010</v>
          </cell>
          <cell r="D1501" t="str">
            <v>SPO</v>
          </cell>
        </row>
        <row r="1502">
          <cell r="A1502" t="str">
            <v>tkm</v>
          </cell>
          <cell r="C1502" t="str">
            <v>yu011</v>
          </cell>
          <cell r="D1502" t="str">
            <v>TKM</v>
          </cell>
        </row>
        <row r="1503">
          <cell r="A1503" t="str">
            <v>TKM</v>
          </cell>
          <cell r="C1503" t="str">
            <v>yu012</v>
          </cell>
          <cell r="D1503" t="str">
            <v>TKM</v>
          </cell>
        </row>
        <row r="1504">
          <cell r="A1504" t="str">
            <v>twm</v>
          </cell>
          <cell r="C1504" t="str">
            <v>yo001</v>
          </cell>
          <cell r="D1504" t="str">
            <v>TWM</v>
          </cell>
        </row>
        <row r="1505">
          <cell r="A1505" t="str">
            <v>TWM</v>
          </cell>
          <cell r="C1505" t="str">
            <v>yo002</v>
          </cell>
          <cell r="D1505" t="str">
            <v>TWM</v>
          </cell>
        </row>
        <row r="1506">
          <cell r="A1506" t="str">
            <v>twmhk</v>
          </cell>
          <cell r="C1506" t="str">
            <v>yo003</v>
          </cell>
          <cell r="D1506" t="str">
            <v>TWMHK</v>
          </cell>
        </row>
        <row r="1507">
          <cell r="A1507" t="str">
            <v>TWMHK</v>
          </cell>
          <cell r="C1507" t="str">
            <v>yo004</v>
          </cell>
          <cell r="D1507" t="str">
            <v>TWMHK</v>
          </cell>
        </row>
        <row r="1508">
          <cell r="A1508" t="str">
            <v>upo</v>
          </cell>
          <cell r="C1508" t="str">
            <v>yo005</v>
          </cell>
          <cell r="D1508" t="str">
            <v>UPO</v>
          </cell>
        </row>
        <row r="1509">
          <cell r="A1509" t="str">
            <v>UPO</v>
          </cell>
          <cell r="C1509" t="str">
            <v>yo006</v>
          </cell>
          <cell r="D1509" t="str">
            <v>UPO</v>
          </cell>
        </row>
        <row r="1510">
          <cell r="A1510" t="str">
            <v>vnm</v>
          </cell>
          <cell r="C1510" t="str">
            <v>yo007</v>
          </cell>
          <cell r="D1510" t="str">
            <v>VNM</v>
          </cell>
        </row>
        <row r="1511">
          <cell r="A1511" t="str">
            <v>VNM</v>
          </cell>
          <cell r="C1511" t="str">
            <v>yo008</v>
          </cell>
          <cell r="D1511" t="str">
            <v>VNM</v>
          </cell>
        </row>
        <row r="1512">
          <cell r="A1512" t="str">
            <v>vnm</v>
          </cell>
          <cell r="C1512" t="str">
            <v>yo009</v>
          </cell>
          <cell r="D1512" t="str">
            <v>資本合計</v>
          </cell>
        </row>
        <row r="1513">
          <cell r="A1513" t="str">
            <v>VNM</v>
          </cell>
          <cell r="C1513" t="str">
            <v>yo010</v>
          </cell>
          <cell r="D1513" t="str">
            <v>資本・負債合計</v>
          </cell>
        </row>
        <row r="1514">
          <cell r="C1514" t="str">
            <v>yo011</v>
          </cell>
          <cell r="D1514" t="str">
            <v>資本金－期末</v>
          </cell>
        </row>
        <row r="1515">
          <cell r="C1515" t="str">
            <v>yo012</v>
          </cell>
          <cell r="D1515" t="str">
            <v>資本準備金－期末</v>
          </cell>
        </row>
        <row r="1516">
          <cell r="C1516" t="str">
            <v>yo013</v>
          </cell>
          <cell r="D1516" t="str">
            <v>その他資本剰余金－期末</v>
          </cell>
        </row>
        <row r="1517">
          <cell r="C1517" t="str">
            <v>yo014</v>
          </cell>
          <cell r="D1517" t="str">
            <v>利益準備金－期末</v>
          </cell>
        </row>
        <row r="1518">
          <cell r="C1518" t="str">
            <v>ri001</v>
          </cell>
          <cell r="D1518" t="str">
            <v>その他有価証券評価差額金－期末</v>
          </cell>
        </row>
        <row r="1519">
          <cell r="C1519" t="str">
            <v>ri002</v>
          </cell>
          <cell r="D1519" t="str">
            <v>預金－期首</v>
          </cell>
        </row>
        <row r="1520">
          <cell r="C1520" t="str">
            <v>ri003</v>
          </cell>
          <cell r="D1520" t="str">
            <v>預金－振替</v>
          </cell>
        </row>
        <row r="1521">
          <cell r="C1521" t="str">
            <v>ri004</v>
          </cell>
          <cell r="D1521" t="str">
            <v>預金－解約</v>
          </cell>
        </row>
        <row r="1522">
          <cell r="C1522" t="str">
            <v>ri005</v>
          </cell>
          <cell r="D1522" t="str">
            <v>預金－期末</v>
          </cell>
        </row>
        <row r="1523">
          <cell r="C1523" t="str">
            <v>ri006</v>
          </cell>
          <cell r="D1523" t="str">
            <v>有価証券－期首</v>
          </cell>
        </row>
        <row r="1524">
          <cell r="C1524" t="str">
            <v>ri007</v>
          </cell>
          <cell r="D1524" t="str">
            <v>有価証券－評価益</v>
          </cell>
        </row>
        <row r="1525">
          <cell r="C1525" t="str">
            <v>ru001</v>
          </cell>
          <cell r="D1525" t="str">
            <v>有価証券－振替</v>
          </cell>
        </row>
        <row r="1526">
          <cell r="C1526" t="str">
            <v>re001</v>
          </cell>
          <cell r="D1526" t="str">
            <v>有価証券－売却</v>
          </cell>
        </row>
        <row r="1527">
          <cell r="C1527" t="str">
            <v>re002</v>
          </cell>
          <cell r="D1527" t="str">
            <v>有価証券－評価損</v>
          </cell>
        </row>
        <row r="1528">
          <cell r="C1528" t="str">
            <v>re003</v>
          </cell>
          <cell r="D1528" t="str">
            <v>有価証券－評価差額</v>
          </cell>
        </row>
        <row r="1529">
          <cell r="C1529" t="str">
            <v>re004</v>
          </cell>
          <cell r="D1529" t="str">
            <v>有価証券－期末換算差損益</v>
          </cell>
        </row>
        <row r="1530">
          <cell r="C1530" t="str">
            <v>ro001</v>
          </cell>
          <cell r="D1530" t="str">
            <v>有価証券－期末</v>
          </cell>
        </row>
        <row r="1531">
          <cell r="A1531" t="str">
            <v>*******</v>
          </cell>
          <cell r="C1531" t="str">
            <v>ro002</v>
          </cell>
          <cell r="D1531" t="str">
            <v>****</v>
          </cell>
        </row>
        <row r="1532">
          <cell r="C1532" t="str">
            <v>ro003</v>
          </cell>
          <cell r="D1532" t="str">
            <v>有価証券－期末</v>
          </cell>
        </row>
        <row r="1533">
          <cell r="A1533" t="str">
            <v>*******</v>
          </cell>
          <cell r="C1533" t="str">
            <v>ry001</v>
          </cell>
          <cell r="D1533" t="str">
            <v>****</v>
          </cell>
        </row>
        <row r="1534">
          <cell r="C1534" t="str">
            <v>ry002</v>
          </cell>
        </row>
        <row r="1535">
          <cell r="C1535" t="str">
            <v>wa001</v>
          </cell>
        </row>
        <row r="1536">
          <cell r="C1536" t="str">
            <v>he001</v>
          </cell>
        </row>
        <row r="1537">
          <cell r="C1537" t="str">
            <v>he002</v>
          </cell>
        </row>
        <row r="1538">
          <cell r="C1538" t="str">
            <v>he001</v>
          </cell>
        </row>
        <row r="1539">
          <cell r="C1539" t="str">
            <v>he002</v>
          </cell>
        </row>
        <row r="1579">
          <cell r="C1579" t="str">
            <v>**</v>
          </cell>
        </row>
        <row r="1581">
          <cell r="C1581" t="str">
            <v>**</v>
          </cell>
        </row>
      </sheetData>
      <sheetData sheetId="5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FILE%20SCAN\BHCC&#272;2026\C&#272;412603001.pdf"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3817C-509C-40DD-9B62-BF946A655767}">
  <dimension ref="A1:AK76"/>
  <sheetViews>
    <sheetView zoomScale="70" zoomScaleNormal="70" workbookViewId="0">
      <selection activeCell="AC46" sqref="AC46"/>
    </sheetView>
  </sheetViews>
  <sheetFormatPr defaultRowHeight="15"/>
  <cols>
    <col min="1" max="1" width="6.109375" style="11" customWidth="1"/>
    <col min="2" max="2" width="23.44140625" style="11" customWidth="1"/>
    <col min="3" max="10" width="6.44140625" style="11" customWidth="1"/>
    <col min="11" max="11" width="8.33203125" style="11" customWidth="1"/>
    <col min="12" max="12" width="7.44140625" style="11" customWidth="1"/>
    <col min="13" max="13" width="7.6640625" style="11" customWidth="1"/>
    <col min="14" max="21" width="6.44140625" style="11" customWidth="1"/>
    <col min="22" max="22" width="7.6640625" style="11" bestFit="1" customWidth="1"/>
    <col min="23" max="23" width="7.5546875" style="11" bestFit="1" customWidth="1"/>
    <col min="24" max="24" width="7.6640625" style="11" bestFit="1" customWidth="1"/>
    <col min="25" max="25" width="6.44140625" style="11" customWidth="1"/>
    <col min="26" max="26" width="7.6640625" style="11" bestFit="1" customWidth="1"/>
    <col min="27" max="27" width="8" style="11" customWidth="1"/>
    <col min="28" max="28" width="7.33203125" style="11" customWidth="1"/>
    <col min="29" max="33" width="9.109375" style="11"/>
    <col min="34" max="34" width="5.6640625" style="11" customWidth="1"/>
    <col min="35" max="37" width="9.109375" style="11" hidden="1" customWidth="1"/>
    <col min="38" max="38" width="16" style="11" customWidth="1"/>
    <col min="39" max="39" width="10.33203125" style="11" customWidth="1"/>
    <col min="40" max="40" width="9.109375" style="11"/>
    <col min="41" max="41" width="11.6640625" style="11" customWidth="1"/>
    <col min="42" max="257" width="9.109375" style="11"/>
    <col min="258" max="258" width="53.44140625" style="11" customWidth="1"/>
    <col min="259" max="270" width="6.33203125" style="11" customWidth="1"/>
    <col min="271" max="513" width="9.109375" style="11"/>
    <col min="514" max="514" width="53.44140625" style="11" customWidth="1"/>
    <col min="515" max="526" width="6.33203125" style="11" customWidth="1"/>
    <col min="527" max="769" width="9.109375" style="11"/>
    <col min="770" max="770" width="53.44140625" style="11" customWidth="1"/>
    <col min="771" max="782" width="6.33203125" style="11" customWidth="1"/>
    <col min="783" max="1025" width="9.109375" style="11"/>
    <col min="1026" max="1026" width="53.44140625" style="11" customWidth="1"/>
    <col min="1027" max="1038" width="6.33203125" style="11" customWidth="1"/>
    <col min="1039" max="1281" width="9.109375" style="11"/>
    <col min="1282" max="1282" width="53.44140625" style="11" customWidth="1"/>
    <col min="1283" max="1294" width="6.33203125" style="11" customWidth="1"/>
    <col min="1295" max="1537" width="9.109375" style="11"/>
    <col min="1538" max="1538" width="53.44140625" style="11" customWidth="1"/>
    <col min="1539" max="1550" width="6.33203125" style="11" customWidth="1"/>
    <col min="1551" max="1793" width="9.109375" style="11"/>
    <col min="1794" max="1794" width="53.44140625" style="11" customWidth="1"/>
    <col min="1795" max="1806" width="6.33203125" style="11" customWidth="1"/>
    <col min="1807" max="2049" width="9.109375" style="11"/>
    <col min="2050" max="2050" width="53.44140625" style="11" customWidth="1"/>
    <col min="2051" max="2062" width="6.33203125" style="11" customWidth="1"/>
    <col min="2063" max="2305" width="9.109375" style="11"/>
    <col min="2306" max="2306" width="53.44140625" style="11" customWidth="1"/>
    <col min="2307" max="2318" width="6.33203125" style="11" customWidth="1"/>
    <col min="2319" max="2561" width="9.109375" style="11"/>
    <col min="2562" max="2562" width="53.44140625" style="11" customWidth="1"/>
    <col min="2563" max="2574" width="6.33203125" style="11" customWidth="1"/>
    <col min="2575" max="2817" width="9.109375" style="11"/>
    <col min="2818" max="2818" width="53.44140625" style="11" customWidth="1"/>
    <col min="2819" max="2830" width="6.33203125" style="11" customWidth="1"/>
    <col min="2831" max="3073" width="9.109375" style="11"/>
    <col min="3074" max="3074" width="53.44140625" style="11" customWidth="1"/>
    <col min="3075" max="3086" width="6.33203125" style="11" customWidth="1"/>
    <col min="3087" max="3329" width="9.109375" style="11"/>
    <col min="3330" max="3330" width="53.44140625" style="11" customWidth="1"/>
    <col min="3331" max="3342" width="6.33203125" style="11" customWidth="1"/>
    <col min="3343" max="3585" width="9.109375" style="11"/>
    <col min="3586" max="3586" width="53.44140625" style="11" customWidth="1"/>
    <col min="3587" max="3598" width="6.33203125" style="11" customWidth="1"/>
    <col min="3599" max="3841" width="9.109375" style="11"/>
    <col min="3842" max="3842" width="53.44140625" style="11" customWidth="1"/>
    <col min="3843" max="3854" width="6.33203125" style="11" customWidth="1"/>
    <col min="3855" max="4097" width="9.109375" style="11"/>
    <col min="4098" max="4098" width="53.44140625" style="11" customWidth="1"/>
    <col min="4099" max="4110" width="6.33203125" style="11" customWidth="1"/>
    <col min="4111" max="4353" width="9.109375" style="11"/>
    <col min="4354" max="4354" width="53.44140625" style="11" customWidth="1"/>
    <col min="4355" max="4366" width="6.33203125" style="11" customWidth="1"/>
    <col min="4367" max="4609" width="9.109375" style="11"/>
    <col min="4610" max="4610" width="53.44140625" style="11" customWidth="1"/>
    <col min="4611" max="4622" width="6.33203125" style="11" customWidth="1"/>
    <col min="4623" max="4865" width="9.109375" style="11"/>
    <col min="4866" max="4866" width="53.44140625" style="11" customWidth="1"/>
    <col min="4867" max="4878" width="6.33203125" style="11" customWidth="1"/>
    <col min="4879" max="5121" width="9.109375" style="11"/>
    <col min="5122" max="5122" width="53.44140625" style="11" customWidth="1"/>
    <col min="5123" max="5134" width="6.33203125" style="11" customWidth="1"/>
    <col min="5135" max="5377" width="9.109375" style="11"/>
    <col min="5378" max="5378" width="53.44140625" style="11" customWidth="1"/>
    <col min="5379" max="5390" width="6.33203125" style="11" customWidth="1"/>
    <col min="5391" max="5633" width="9.109375" style="11"/>
    <col min="5634" max="5634" width="53.44140625" style="11" customWidth="1"/>
    <col min="5635" max="5646" width="6.33203125" style="11" customWidth="1"/>
    <col min="5647" max="5889" width="9.109375" style="11"/>
    <col min="5890" max="5890" width="53.44140625" style="11" customWidth="1"/>
    <col min="5891" max="5902" width="6.33203125" style="11" customWidth="1"/>
    <col min="5903" max="6145" width="9.109375" style="11"/>
    <col min="6146" max="6146" width="53.44140625" style="11" customWidth="1"/>
    <col min="6147" max="6158" width="6.33203125" style="11" customWidth="1"/>
    <col min="6159" max="6401" width="9.109375" style="11"/>
    <col min="6402" max="6402" width="53.44140625" style="11" customWidth="1"/>
    <col min="6403" max="6414" width="6.33203125" style="11" customWidth="1"/>
    <col min="6415" max="6657" width="9.109375" style="11"/>
    <col min="6658" max="6658" width="53.44140625" style="11" customWidth="1"/>
    <col min="6659" max="6670" width="6.33203125" style="11" customWidth="1"/>
    <col min="6671" max="6913" width="9.109375" style="11"/>
    <col min="6914" max="6914" width="53.44140625" style="11" customWidth="1"/>
    <col min="6915" max="6926" width="6.33203125" style="11" customWidth="1"/>
    <col min="6927" max="7169" width="9.109375" style="11"/>
    <col min="7170" max="7170" width="53.44140625" style="11" customWidth="1"/>
    <col min="7171" max="7182" width="6.33203125" style="11" customWidth="1"/>
    <col min="7183" max="7425" width="9.109375" style="11"/>
    <col min="7426" max="7426" width="53.44140625" style="11" customWidth="1"/>
    <col min="7427" max="7438" width="6.33203125" style="11" customWidth="1"/>
    <col min="7439" max="7681" width="9.109375" style="11"/>
    <col min="7682" max="7682" width="53.44140625" style="11" customWidth="1"/>
    <col min="7683" max="7694" width="6.33203125" style="11" customWidth="1"/>
    <col min="7695" max="7937" width="9.109375" style="11"/>
    <col min="7938" max="7938" width="53.44140625" style="11" customWidth="1"/>
    <col min="7939" max="7950" width="6.33203125" style="11" customWidth="1"/>
    <col min="7951" max="8193" width="9.109375" style="11"/>
    <col min="8194" max="8194" width="53.44140625" style="11" customWidth="1"/>
    <col min="8195" max="8206" width="6.33203125" style="11" customWidth="1"/>
    <col min="8207" max="8449" width="9.109375" style="11"/>
    <col min="8450" max="8450" width="53.44140625" style="11" customWidth="1"/>
    <col min="8451" max="8462" width="6.33203125" style="11" customWidth="1"/>
    <col min="8463" max="8705" width="9.109375" style="11"/>
    <col min="8706" max="8706" width="53.44140625" style="11" customWidth="1"/>
    <col min="8707" max="8718" width="6.33203125" style="11" customWidth="1"/>
    <col min="8719" max="8961" width="9.109375" style="11"/>
    <col min="8962" max="8962" width="53.44140625" style="11" customWidth="1"/>
    <col min="8963" max="8974" width="6.33203125" style="11" customWidth="1"/>
    <col min="8975" max="9217" width="9.109375" style="11"/>
    <col min="9218" max="9218" width="53.44140625" style="11" customWidth="1"/>
    <col min="9219" max="9230" width="6.33203125" style="11" customWidth="1"/>
    <col min="9231" max="9473" width="9.109375" style="11"/>
    <col min="9474" max="9474" width="53.44140625" style="11" customWidth="1"/>
    <col min="9475" max="9486" width="6.33203125" style="11" customWidth="1"/>
    <col min="9487" max="9729" width="9.109375" style="11"/>
    <col min="9730" max="9730" width="53.44140625" style="11" customWidth="1"/>
    <col min="9731" max="9742" width="6.33203125" style="11" customWidth="1"/>
    <col min="9743" max="9985" width="9.109375" style="11"/>
    <col min="9986" max="9986" width="53.44140625" style="11" customWidth="1"/>
    <col min="9987" max="9998" width="6.33203125" style="11" customWidth="1"/>
    <col min="9999" max="10241" width="9.109375" style="11"/>
    <col min="10242" max="10242" width="53.44140625" style="11" customWidth="1"/>
    <col min="10243" max="10254" width="6.33203125" style="11" customWidth="1"/>
    <col min="10255" max="10497" width="9.109375" style="11"/>
    <col min="10498" max="10498" width="53.44140625" style="11" customWidth="1"/>
    <col min="10499" max="10510" width="6.33203125" style="11" customWidth="1"/>
    <col min="10511" max="10753" width="9.109375" style="11"/>
    <col min="10754" max="10754" width="53.44140625" style="11" customWidth="1"/>
    <col min="10755" max="10766" width="6.33203125" style="11" customWidth="1"/>
    <col min="10767" max="11009" width="9.109375" style="11"/>
    <col min="11010" max="11010" width="53.44140625" style="11" customWidth="1"/>
    <col min="11011" max="11022" width="6.33203125" style="11" customWidth="1"/>
    <col min="11023" max="11265" width="9.109375" style="11"/>
    <col min="11266" max="11266" width="53.44140625" style="11" customWidth="1"/>
    <col min="11267" max="11278" width="6.33203125" style="11" customWidth="1"/>
    <col min="11279" max="11521" width="9.109375" style="11"/>
    <col min="11522" max="11522" width="53.44140625" style="11" customWidth="1"/>
    <col min="11523" max="11534" width="6.33203125" style="11" customWidth="1"/>
    <col min="11535" max="11777" width="9.109375" style="11"/>
    <col min="11778" max="11778" width="53.44140625" style="11" customWidth="1"/>
    <col min="11779" max="11790" width="6.33203125" style="11" customWidth="1"/>
    <col min="11791" max="12033" width="9.109375" style="11"/>
    <col min="12034" max="12034" width="53.44140625" style="11" customWidth="1"/>
    <col min="12035" max="12046" width="6.33203125" style="11" customWidth="1"/>
    <col min="12047" max="12289" width="9.109375" style="11"/>
    <col min="12290" max="12290" width="53.44140625" style="11" customWidth="1"/>
    <col min="12291" max="12302" width="6.33203125" style="11" customWidth="1"/>
    <col min="12303" max="12545" width="9.109375" style="11"/>
    <col min="12546" max="12546" width="53.44140625" style="11" customWidth="1"/>
    <col min="12547" max="12558" width="6.33203125" style="11" customWidth="1"/>
    <col min="12559" max="12801" width="9.109375" style="11"/>
    <col min="12802" max="12802" width="53.44140625" style="11" customWidth="1"/>
    <col min="12803" max="12814" width="6.33203125" style="11" customWidth="1"/>
    <col min="12815" max="13057" width="9.109375" style="11"/>
    <col min="13058" max="13058" width="53.44140625" style="11" customWidth="1"/>
    <col min="13059" max="13070" width="6.33203125" style="11" customWidth="1"/>
    <col min="13071" max="13313" width="9.109375" style="11"/>
    <col min="13314" max="13314" width="53.44140625" style="11" customWidth="1"/>
    <col min="13315" max="13326" width="6.33203125" style="11" customWidth="1"/>
    <col min="13327" max="13569" width="9.109375" style="11"/>
    <col min="13570" max="13570" width="53.44140625" style="11" customWidth="1"/>
    <col min="13571" max="13582" width="6.33203125" style="11" customWidth="1"/>
    <col min="13583" max="13825" width="9.109375" style="11"/>
    <col min="13826" max="13826" width="53.44140625" style="11" customWidth="1"/>
    <col min="13827" max="13838" width="6.33203125" style="11" customWidth="1"/>
    <col min="13839" max="14081" width="9.109375" style="11"/>
    <col min="14082" max="14082" width="53.44140625" style="11" customWidth="1"/>
    <col min="14083" max="14094" width="6.33203125" style="11" customWidth="1"/>
    <col min="14095" max="14337" width="9.109375" style="11"/>
    <col min="14338" max="14338" width="53.44140625" style="11" customWidth="1"/>
    <col min="14339" max="14350" width="6.33203125" style="11" customWidth="1"/>
    <col min="14351" max="14593" width="9.109375" style="11"/>
    <col min="14594" max="14594" width="53.44140625" style="11" customWidth="1"/>
    <col min="14595" max="14606" width="6.33203125" style="11" customWidth="1"/>
    <col min="14607" max="14849" width="9.109375" style="11"/>
    <col min="14850" max="14850" width="53.44140625" style="11" customWidth="1"/>
    <col min="14851" max="14862" width="6.33203125" style="11" customWidth="1"/>
    <col min="14863" max="15105" width="9.109375" style="11"/>
    <col min="15106" max="15106" width="53.44140625" style="11" customWidth="1"/>
    <col min="15107" max="15118" width="6.33203125" style="11" customWidth="1"/>
    <col min="15119" max="15361" width="9.109375" style="11"/>
    <col min="15362" max="15362" width="53.44140625" style="11" customWidth="1"/>
    <col min="15363" max="15374" width="6.33203125" style="11" customWidth="1"/>
    <col min="15375" max="15617" width="9.109375" style="11"/>
    <col min="15618" max="15618" width="53.44140625" style="11" customWidth="1"/>
    <col min="15619" max="15630" width="6.33203125" style="11" customWidth="1"/>
    <col min="15631" max="15873" width="9.109375" style="11"/>
    <col min="15874" max="15874" width="53.44140625" style="11" customWidth="1"/>
    <col min="15875" max="15886" width="6.33203125" style="11" customWidth="1"/>
    <col min="15887" max="16129" width="9.109375" style="11"/>
    <col min="16130" max="16130" width="53.44140625" style="11" customWidth="1"/>
    <col min="16131" max="16142" width="6.33203125" style="11" customWidth="1"/>
    <col min="16143" max="16383" width="9.109375" style="11"/>
    <col min="16384" max="16384" width="9.109375" style="11" customWidth="1"/>
  </cols>
  <sheetData>
    <row r="1" spans="2:27" ht="15.75" customHeight="1">
      <c r="B1" s="19" t="s">
        <v>46</v>
      </c>
      <c r="C1" s="19"/>
      <c r="D1" s="19"/>
      <c r="E1" s="19"/>
      <c r="F1" s="19"/>
      <c r="G1" s="19"/>
      <c r="H1" s="19"/>
      <c r="I1" s="19"/>
      <c r="J1" s="19"/>
      <c r="K1" s="19"/>
      <c r="L1" s="19"/>
      <c r="M1" s="19"/>
      <c r="N1" s="19"/>
    </row>
    <row r="2" spans="2:27" ht="15.75" customHeight="1">
      <c r="B2" s="19"/>
      <c r="C2" s="161" t="s">
        <v>47</v>
      </c>
      <c r="D2" s="161"/>
      <c r="E2" s="161"/>
      <c r="F2" s="161"/>
      <c r="G2" s="161"/>
      <c r="H2" s="161"/>
      <c r="I2" s="161"/>
      <c r="J2" s="161"/>
      <c r="K2" s="161"/>
      <c r="L2" s="161"/>
      <c r="M2" s="161"/>
      <c r="N2" s="161"/>
      <c r="O2" s="161" t="s">
        <v>48</v>
      </c>
      <c r="P2" s="161"/>
      <c r="Q2" s="161"/>
      <c r="R2" s="161"/>
      <c r="S2" s="161"/>
      <c r="T2" s="161"/>
      <c r="U2" s="161"/>
      <c r="V2" s="161"/>
      <c r="W2" s="161"/>
      <c r="X2" s="161"/>
      <c r="Y2" s="161"/>
      <c r="Z2" s="161"/>
    </row>
    <row r="3" spans="2:27">
      <c r="B3" s="18" t="s">
        <v>49</v>
      </c>
      <c r="C3" s="12" t="s">
        <v>23</v>
      </c>
      <c r="D3" s="12" t="s">
        <v>24</v>
      </c>
      <c r="E3" s="12" t="s">
        <v>25</v>
      </c>
      <c r="F3" s="12" t="s">
        <v>26</v>
      </c>
      <c r="G3" s="12" t="s">
        <v>27</v>
      </c>
      <c r="H3" s="12" t="s">
        <v>28</v>
      </c>
      <c r="I3" s="12" t="s">
        <v>29</v>
      </c>
      <c r="J3" s="12" t="s">
        <v>30</v>
      </c>
      <c r="K3" s="12" t="s">
        <v>31</v>
      </c>
      <c r="L3" s="12" t="s">
        <v>32</v>
      </c>
      <c r="M3" s="12" t="s">
        <v>33</v>
      </c>
      <c r="N3" s="12" t="s">
        <v>34</v>
      </c>
      <c r="O3" s="12" t="s">
        <v>23</v>
      </c>
      <c r="P3" s="12" t="s">
        <v>24</v>
      </c>
      <c r="Q3" s="12" t="s">
        <v>25</v>
      </c>
      <c r="R3" s="12" t="s">
        <v>26</v>
      </c>
      <c r="S3" s="12" t="s">
        <v>27</v>
      </c>
      <c r="T3" s="12" t="s">
        <v>28</v>
      </c>
      <c r="U3" s="12" t="s">
        <v>29</v>
      </c>
      <c r="V3" s="12" t="s">
        <v>30</v>
      </c>
      <c r="W3" s="12" t="s">
        <v>31</v>
      </c>
      <c r="X3" s="12" t="s">
        <v>32</v>
      </c>
      <c r="Y3" s="12" t="s">
        <v>33</v>
      </c>
      <c r="Z3" s="12" t="s">
        <v>34</v>
      </c>
    </row>
    <row r="4" spans="2:27">
      <c r="B4" s="20" t="s">
        <v>50</v>
      </c>
      <c r="C4" s="7">
        <v>1</v>
      </c>
      <c r="D4" s="7"/>
      <c r="E4" s="7">
        <v>1</v>
      </c>
      <c r="F4" s="7"/>
      <c r="G4" s="7">
        <v>1</v>
      </c>
      <c r="H4" s="7">
        <v>1</v>
      </c>
      <c r="I4" s="7"/>
      <c r="J4" s="7">
        <v>1</v>
      </c>
      <c r="K4" s="7"/>
      <c r="L4" s="7">
        <v>1</v>
      </c>
      <c r="M4" s="7">
        <v>1</v>
      </c>
      <c r="N4" s="7">
        <v>1</v>
      </c>
      <c r="O4" s="21">
        <v>1</v>
      </c>
      <c r="P4" s="22"/>
      <c r="Q4" s="22">
        <v>1</v>
      </c>
      <c r="R4" s="22"/>
      <c r="S4" s="22">
        <v>1</v>
      </c>
      <c r="T4" s="22">
        <v>1</v>
      </c>
      <c r="U4" s="22">
        <v>1</v>
      </c>
      <c r="V4" s="22"/>
      <c r="W4" s="22">
        <v>1</v>
      </c>
      <c r="X4" s="22"/>
      <c r="Y4" s="22">
        <v>1</v>
      </c>
      <c r="Z4" s="22">
        <v>1</v>
      </c>
    </row>
    <row r="5" spans="2:27">
      <c r="B5" s="23" t="s">
        <v>51</v>
      </c>
      <c r="C5" s="7"/>
      <c r="D5" s="7">
        <v>1</v>
      </c>
      <c r="E5" s="7">
        <v>1</v>
      </c>
      <c r="F5" s="7">
        <v>1</v>
      </c>
      <c r="G5" s="7">
        <v>3</v>
      </c>
      <c r="H5" s="7"/>
      <c r="I5" s="7"/>
      <c r="J5" s="7">
        <v>2</v>
      </c>
      <c r="K5" s="7">
        <v>1</v>
      </c>
      <c r="L5" s="7">
        <v>1</v>
      </c>
      <c r="M5" s="7">
        <v>1</v>
      </c>
      <c r="N5" s="7">
        <v>2</v>
      </c>
      <c r="O5" s="21"/>
      <c r="P5" s="22">
        <v>1</v>
      </c>
      <c r="Q5" s="22">
        <v>1</v>
      </c>
      <c r="R5" s="22">
        <v>1</v>
      </c>
      <c r="S5" s="22">
        <v>1</v>
      </c>
      <c r="T5" s="22">
        <v>1</v>
      </c>
      <c r="U5" s="22">
        <v>1</v>
      </c>
      <c r="V5" s="22">
        <v>1</v>
      </c>
      <c r="W5" s="22">
        <v>1</v>
      </c>
      <c r="X5" s="22">
        <v>1</v>
      </c>
      <c r="Y5" s="22"/>
      <c r="Z5" s="22">
        <v>1</v>
      </c>
    </row>
    <row r="6" spans="2:27">
      <c r="B6" s="24" t="s">
        <v>52</v>
      </c>
      <c r="C6" s="7"/>
      <c r="D6" s="7">
        <v>1</v>
      </c>
      <c r="E6" s="7"/>
      <c r="F6" s="7"/>
      <c r="G6" s="7"/>
      <c r="H6" s="7"/>
      <c r="I6" s="7">
        <v>1</v>
      </c>
      <c r="J6" s="7"/>
      <c r="K6" s="7"/>
      <c r="L6" s="7"/>
      <c r="M6" s="7"/>
      <c r="N6" s="7"/>
      <c r="O6" s="21"/>
      <c r="P6" s="22"/>
      <c r="Q6" s="22"/>
      <c r="R6" s="22">
        <v>1</v>
      </c>
      <c r="S6" s="22"/>
      <c r="T6" s="22"/>
      <c r="U6" s="22"/>
      <c r="V6" s="22"/>
      <c r="W6" s="22"/>
      <c r="X6" s="22">
        <v>1</v>
      </c>
      <c r="Y6" s="22">
        <v>1</v>
      </c>
      <c r="Z6" s="22"/>
    </row>
    <row r="7" spans="2:27">
      <c r="B7" s="25" t="s">
        <v>53</v>
      </c>
      <c r="C7" s="21">
        <f t="shared" ref="C7:N7" si="0">SUM(C4:C6)</f>
        <v>1</v>
      </c>
      <c r="D7" s="21">
        <f t="shared" si="0"/>
        <v>2</v>
      </c>
      <c r="E7" s="21">
        <f t="shared" si="0"/>
        <v>2</v>
      </c>
      <c r="F7" s="21">
        <f t="shared" si="0"/>
        <v>1</v>
      </c>
      <c r="G7" s="21">
        <f t="shared" si="0"/>
        <v>4</v>
      </c>
      <c r="H7" s="21">
        <f t="shared" si="0"/>
        <v>1</v>
      </c>
      <c r="I7" s="21">
        <f t="shared" si="0"/>
        <v>1</v>
      </c>
      <c r="J7" s="21">
        <f t="shared" si="0"/>
        <v>3</v>
      </c>
      <c r="K7" s="21">
        <f t="shared" si="0"/>
        <v>1</v>
      </c>
      <c r="L7" s="21">
        <f t="shared" si="0"/>
        <v>2</v>
      </c>
      <c r="M7" s="21">
        <f t="shared" si="0"/>
        <v>2</v>
      </c>
      <c r="N7" s="21">
        <f t="shared" si="0"/>
        <v>3</v>
      </c>
      <c r="O7" s="18">
        <f>SUM(O4:O6)</f>
        <v>1</v>
      </c>
      <c r="P7" s="18">
        <f t="shared" ref="P7:Z7" si="1">SUM(P4:P6)</f>
        <v>1</v>
      </c>
      <c r="Q7" s="18">
        <f t="shared" si="1"/>
        <v>2</v>
      </c>
      <c r="R7" s="18">
        <f t="shared" si="1"/>
        <v>2</v>
      </c>
      <c r="S7" s="18">
        <f t="shared" si="1"/>
        <v>2</v>
      </c>
      <c r="T7" s="18">
        <f t="shared" si="1"/>
        <v>2</v>
      </c>
      <c r="U7" s="18">
        <f t="shared" si="1"/>
        <v>2</v>
      </c>
      <c r="V7" s="18">
        <f t="shared" si="1"/>
        <v>1</v>
      </c>
      <c r="W7" s="18">
        <f t="shared" si="1"/>
        <v>2</v>
      </c>
      <c r="X7" s="18">
        <f t="shared" si="1"/>
        <v>2</v>
      </c>
      <c r="Y7" s="18">
        <f t="shared" si="1"/>
        <v>2</v>
      </c>
      <c r="Z7" s="18">
        <f t="shared" si="1"/>
        <v>2</v>
      </c>
    </row>
    <row r="8" spans="2:27">
      <c r="B8" s="25" t="s">
        <v>54</v>
      </c>
      <c r="C8" s="21">
        <f>C7</f>
        <v>1</v>
      </c>
      <c r="D8" s="21">
        <f>C8+D7</f>
        <v>3</v>
      </c>
      <c r="E8" s="21">
        <f t="shared" ref="E8:N8" si="2">D8+E7</f>
        <v>5</v>
      </c>
      <c r="F8" s="21">
        <f t="shared" si="2"/>
        <v>6</v>
      </c>
      <c r="G8" s="21">
        <f t="shared" si="2"/>
        <v>10</v>
      </c>
      <c r="H8" s="21">
        <f t="shared" si="2"/>
        <v>11</v>
      </c>
      <c r="I8" s="21">
        <f t="shared" si="2"/>
        <v>12</v>
      </c>
      <c r="J8" s="21">
        <f t="shared" si="2"/>
        <v>15</v>
      </c>
      <c r="K8" s="21">
        <f t="shared" si="2"/>
        <v>16</v>
      </c>
      <c r="L8" s="21">
        <f t="shared" si="2"/>
        <v>18</v>
      </c>
      <c r="M8" s="21">
        <f t="shared" si="2"/>
        <v>20</v>
      </c>
      <c r="N8" s="21">
        <f t="shared" si="2"/>
        <v>23</v>
      </c>
      <c r="O8" s="26">
        <f>O7</f>
        <v>1</v>
      </c>
      <c r="P8" s="27">
        <f>O8+P7</f>
        <v>2</v>
      </c>
      <c r="Q8" s="27">
        <f t="shared" ref="Q8:Z8" si="3">P8+Q7</f>
        <v>4</v>
      </c>
      <c r="R8" s="27">
        <f t="shared" si="3"/>
        <v>6</v>
      </c>
      <c r="S8" s="27">
        <f t="shared" si="3"/>
        <v>8</v>
      </c>
      <c r="T8" s="27">
        <f t="shared" si="3"/>
        <v>10</v>
      </c>
      <c r="U8" s="27">
        <f t="shared" si="3"/>
        <v>12</v>
      </c>
      <c r="V8" s="27">
        <f t="shared" si="3"/>
        <v>13</v>
      </c>
      <c r="W8" s="27">
        <f t="shared" si="3"/>
        <v>15</v>
      </c>
      <c r="X8" s="27">
        <f t="shared" si="3"/>
        <v>17</v>
      </c>
      <c r="Y8" s="27">
        <f t="shared" si="3"/>
        <v>19</v>
      </c>
      <c r="Z8" s="26">
        <f t="shared" si="3"/>
        <v>21</v>
      </c>
      <c r="AA8" s="28">
        <f>Z8/N8-1</f>
        <v>-8.6956521739130488E-2</v>
      </c>
    </row>
    <row r="9" spans="2:27" ht="30" customHeight="1"/>
    <row r="16" spans="2:27" ht="25.5" customHeight="1"/>
    <row r="19" spans="2:28" ht="15.6">
      <c r="B19" s="19" t="s">
        <v>55</v>
      </c>
    </row>
    <row r="20" spans="2:28">
      <c r="B20" s="29"/>
      <c r="C20" s="161" t="s">
        <v>47</v>
      </c>
      <c r="D20" s="161"/>
      <c r="E20" s="161"/>
      <c r="F20" s="161"/>
      <c r="G20" s="161"/>
      <c r="H20" s="161"/>
      <c r="I20" s="161"/>
      <c r="J20" s="161"/>
      <c r="K20" s="161"/>
      <c r="L20" s="161"/>
      <c r="M20" s="161"/>
      <c r="N20" s="161"/>
      <c r="O20" s="161" t="s">
        <v>48</v>
      </c>
      <c r="P20" s="161"/>
      <c r="Q20" s="161"/>
      <c r="R20" s="161"/>
      <c r="S20" s="161"/>
      <c r="T20" s="161"/>
      <c r="U20" s="161"/>
      <c r="V20" s="161"/>
      <c r="W20" s="161"/>
      <c r="X20" s="161"/>
      <c r="Y20" s="161"/>
      <c r="Z20" s="161"/>
    </row>
    <row r="21" spans="2:28">
      <c r="B21" s="30"/>
      <c r="C21" s="12" t="s">
        <v>23</v>
      </c>
      <c r="D21" s="12" t="s">
        <v>24</v>
      </c>
      <c r="E21" s="12" t="s">
        <v>25</v>
      </c>
      <c r="F21" s="12" t="s">
        <v>26</v>
      </c>
      <c r="G21" s="12" t="s">
        <v>27</v>
      </c>
      <c r="H21" s="12" t="s">
        <v>28</v>
      </c>
      <c r="I21" s="12" t="s">
        <v>29</v>
      </c>
      <c r="J21" s="12" t="s">
        <v>30</v>
      </c>
      <c r="K21" s="12" t="s">
        <v>31</v>
      </c>
      <c r="L21" s="12" t="s">
        <v>32</v>
      </c>
      <c r="M21" s="12" t="s">
        <v>33</v>
      </c>
      <c r="N21" s="12" t="s">
        <v>34</v>
      </c>
      <c r="O21" s="12" t="s">
        <v>23</v>
      </c>
      <c r="P21" s="12" t="s">
        <v>24</v>
      </c>
      <c r="Q21" s="12" t="s">
        <v>25</v>
      </c>
      <c r="R21" s="12" t="s">
        <v>26</v>
      </c>
      <c r="S21" s="12" t="s">
        <v>27</v>
      </c>
      <c r="T21" s="12" t="s">
        <v>28</v>
      </c>
      <c r="U21" s="12" t="s">
        <v>29</v>
      </c>
      <c r="V21" s="12" t="s">
        <v>30</v>
      </c>
      <c r="W21" s="12" t="s">
        <v>31</v>
      </c>
      <c r="X21" s="12" t="s">
        <v>32</v>
      </c>
      <c r="Y21" s="12" t="s">
        <v>33</v>
      </c>
      <c r="Z21" s="12" t="s">
        <v>34</v>
      </c>
    </row>
    <row r="22" spans="2:28" ht="18" customHeight="1">
      <c r="B22" s="31" t="s">
        <v>56</v>
      </c>
      <c r="C22" s="32">
        <v>7.4432452549311509E-2</v>
      </c>
      <c r="D22" s="32">
        <v>6.4850843060959784E-2</v>
      </c>
      <c r="E22" s="32">
        <v>0.10482180293501049</v>
      </c>
      <c r="F22" s="32">
        <v>7.147962830593281E-2</v>
      </c>
      <c r="G22" s="32">
        <v>7.5386355069732375E-2</v>
      </c>
      <c r="H22" s="32">
        <v>6.951685783802572E-2</v>
      </c>
      <c r="I22" s="32">
        <v>0.10964912280701754</v>
      </c>
      <c r="J22" s="32">
        <v>0.10748835542816196</v>
      </c>
      <c r="K22" s="32">
        <v>7.3882526782415955E-2</v>
      </c>
      <c r="L22" s="32">
        <v>0.10482180293501049</v>
      </c>
      <c r="M22" s="32">
        <v>7.5244544770504129E-2</v>
      </c>
      <c r="N22" s="32">
        <v>7.0472163495419307E-2</v>
      </c>
      <c r="O22" s="33">
        <v>5.8038305281485777E-2</v>
      </c>
      <c r="P22" s="33">
        <v>2.5529742149604292E-2</v>
      </c>
      <c r="Q22" s="33">
        <v>3.02571860816944E-2</v>
      </c>
      <c r="R22" s="33">
        <v>2.1168501270110076E-2</v>
      </c>
      <c r="S22" s="33">
        <v>1.6237720224080539E-2</v>
      </c>
      <c r="T22" s="33">
        <v>1.3304064391671656E-2</v>
      </c>
      <c r="U22" s="33">
        <v>1.1305822498586773E-2</v>
      </c>
      <c r="V22" s="33">
        <v>9.9631363953372517E-3</v>
      </c>
      <c r="W22" s="33">
        <v>4.49842555105713E-3</v>
      </c>
      <c r="X22" s="33">
        <v>8.1340491296567445E-3</v>
      </c>
      <c r="Y22" s="33">
        <v>7.4582338902147976E-3</v>
      </c>
      <c r="Z22" s="33">
        <v>6.8872895072144358E-3</v>
      </c>
      <c r="AA22" s="13"/>
      <c r="AB22" s="13"/>
    </row>
    <row r="23" spans="2:28" ht="18" customHeight="1">
      <c r="B23" s="31" t="s">
        <v>57</v>
      </c>
      <c r="C23" s="34">
        <v>3.6737692872887577E-2</v>
      </c>
      <c r="D23" s="34">
        <v>0.12055455093429776</v>
      </c>
      <c r="E23" s="34">
        <v>7.5471698113207544E-2</v>
      </c>
      <c r="F23" s="34">
        <v>3.6737692872887577E-2</v>
      </c>
      <c r="G23" s="34">
        <v>0.13320013320013319</v>
      </c>
      <c r="H23" s="34">
        <v>3.5906642728904849E-2</v>
      </c>
      <c r="I23" s="34">
        <v>3.4482758620689655E-2</v>
      </c>
      <c r="J23" s="34">
        <v>0.11838989739542227</v>
      </c>
      <c r="K23" s="34">
        <v>4.0387722132471729E-2</v>
      </c>
      <c r="L23" s="34">
        <v>7.7459333849728904E-2</v>
      </c>
      <c r="M23" s="35" t="e">
        <v>#DIV/0!</v>
      </c>
      <c r="N23" s="33" t="e">
        <v>#DIV/0!</v>
      </c>
      <c r="O23" s="36">
        <v>0.01</v>
      </c>
      <c r="P23" s="33">
        <v>0.04</v>
      </c>
      <c r="Q23" s="33">
        <v>0.04</v>
      </c>
      <c r="R23" s="33"/>
      <c r="S23" s="33"/>
      <c r="T23" s="33"/>
      <c r="U23" s="33"/>
      <c r="V23" s="35"/>
      <c r="W23" s="35"/>
      <c r="X23" s="35"/>
      <c r="Y23" s="35"/>
      <c r="Z23" s="35"/>
    </row>
    <row r="24" spans="2:28" ht="18" customHeight="1">
      <c r="B24" s="31" t="s">
        <v>58</v>
      </c>
      <c r="C24" s="32">
        <v>7.4432452549311509E-2</v>
      </c>
      <c r="D24" s="32">
        <v>7.0938756207141171E-2</v>
      </c>
      <c r="E24" s="32">
        <v>8.4614299816669014E-2</v>
      </c>
      <c r="F24" s="32">
        <v>8.08979674385681E-2</v>
      </c>
      <c r="G24" s="32">
        <v>7.9732100143517781E-2</v>
      </c>
      <c r="H24" s="32">
        <v>7.7826058758674363E-2</v>
      </c>
      <c r="I24" s="32">
        <v>8.262186725419994E-2</v>
      </c>
      <c r="J24" s="32">
        <v>8.5935262102549412E-2</v>
      </c>
      <c r="K24" s="32">
        <v>8.4555870291294966E-2</v>
      </c>
      <c r="L24" s="32">
        <v>8.6743352819158973E-2</v>
      </c>
      <c r="M24" s="32">
        <v>8.5695677510026394E-2</v>
      </c>
      <c r="N24" s="32">
        <v>8.4346006060416728E-2</v>
      </c>
      <c r="O24" s="33">
        <v>5.8038305281485777E-2</v>
      </c>
      <c r="P24" s="33">
        <v>5.1059484299208584E-2</v>
      </c>
      <c r="Q24" s="33">
        <v>6.0514372163388799E-2</v>
      </c>
      <c r="R24" s="33">
        <v>6.3505503810330224E-2</v>
      </c>
      <c r="S24" s="33">
        <v>6.4950880896322158E-2</v>
      </c>
      <c r="T24" s="33">
        <v>6.6520321958358289E-2</v>
      </c>
      <c r="U24" s="33">
        <v>6.7834934991520643E-2</v>
      </c>
      <c r="V24" s="33">
        <v>6.9741954767360767E-2</v>
      </c>
      <c r="W24" s="33">
        <v>6.7476383265856948E-2</v>
      </c>
      <c r="X24" s="33">
        <v>6.9139417602082309E-2</v>
      </c>
      <c r="Y24" s="33">
        <v>7.0853221957040566E-2</v>
      </c>
      <c r="Z24" s="37">
        <v>7.2316539825751577E-2</v>
      </c>
    </row>
    <row r="25" spans="2:28" ht="18" customHeight="1">
      <c r="B25" s="31" t="s">
        <v>59</v>
      </c>
      <c r="C25" s="33">
        <v>3.6737692872887577E-2</v>
      </c>
      <c r="D25" s="33">
        <v>6.8477516548733158E-2</v>
      </c>
      <c r="E25" s="33">
        <v>7.1113639596074515E-2</v>
      </c>
      <c r="F25" s="33">
        <v>6.1519532451553373E-2</v>
      </c>
      <c r="G25" s="33">
        <v>7.8394481028535593E-2</v>
      </c>
      <c r="H25" s="33">
        <v>7.0780516054307963E-2</v>
      </c>
      <c r="I25" s="33">
        <v>6.5072393037253956E-2</v>
      </c>
      <c r="J25" s="33">
        <v>7.1513706793802145E-2</v>
      </c>
      <c r="K25" s="33">
        <v>6.8227367702869815E-2</v>
      </c>
      <c r="L25" s="33">
        <v>6.9143010793992238E-2</v>
      </c>
      <c r="M25" s="38">
        <v>6.9143010793992238E-2</v>
      </c>
      <c r="N25" s="39">
        <v>6.9143010793992238E-2</v>
      </c>
      <c r="O25" s="50">
        <v>0.1</v>
      </c>
      <c r="P25" s="50">
        <v>0.04</v>
      </c>
      <c r="Q25" s="50">
        <v>0.04</v>
      </c>
      <c r="R25" s="33"/>
      <c r="S25" s="33"/>
      <c r="T25" s="33"/>
      <c r="U25" s="33"/>
      <c r="V25" s="33"/>
      <c r="W25" s="33"/>
      <c r="X25" s="33"/>
      <c r="Y25" s="33"/>
      <c r="Z25" s="33"/>
    </row>
    <row r="26" spans="2:28" ht="14.25" customHeight="1">
      <c r="B26"/>
      <c r="C26"/>
      <c r="D26"/>
      <c r="E26"/>
      <c r="F26"/>
      <c r="G26"/>
      <c r="H26"/>
      <c r="I26"/>
      <c r="J26"/>
      <c r="K26"/>
      <c r="L26"/>
      <c r="M26"/>
      <c r="N26"/>
      <c r="O26"/>
      <c r="P26"/>
      <c r="Q26"/>
      <c r="R26"/>
      <c r="S26"/>
      <c r="T26"/>
      <c r="U26"/>
      <c r="V26"/>
      <c r="W26"/>
      <c r="X26"/>
      <c r="Y26"/>
      <c r="Z26"/>
    </row>
    <row r="27" spans="2:28" ht="14.25" customHeight="1">
      <c r="B27"/>
      <c r="C27"/>
      <c r="D27"/>
      <c r="E27"/>
      <c r="F27"/>
      <c r="G27"/>
      <c r="H27"/>
      <c r="I27"/>
      <c r="J27"/>
      <c r="K27"/>
      <c r="L27"/>
      <c r="M27"/>
      <c r="N27"/>
      <c r="O27"/>
      <c r="P27"/>
      <c r="Q27"/>
      <c r="R27"/>
      <c r="S27"/>
      <c r="T27"/>
      <c r="U27"/>
      <c r="V27"/>
      <c r="W27"/>
      <c r="X27"/>
      <c r="Y27"/>
      <c r="Z27"/>
    </row>
    <row r="28" spans="2:28" ht="14.25" customHeight="1">
      <c r="B28"/>
      <c r="C28"/>
      <c r="D28"/>
      <c r="E28"/>
      <c r="F28"/>
      <c r="G28"/>
      <c r="H28"/>
      <c r="I28"/>
      <c r="J28"/>
      <c r="K28"/>
      <c r="L28"/>
      <c r="M28"/>
      <c r="N28"/>
      <c r="O28"/>
      <c r="P28"/>
      <c r="Q28"/>
      <c r="R28"/>
      <c r="S28"/>
      <c r="T28"/>
      <c r="U28"/>
      <c r="V28"/>
      <c r="W28"/>
      <c r="X28"/>
      <c r="Y28"/>
      <c r="Z28"/>
    </row>
    <row r="29" spans="2:28" ht="14.25" customHeight="1">
      <c r="B29"/>
      <c r="C29"/>
      <c r="D29"/>
      <c r="E29"/>
      <c r="F29"/>
      <c r="G29"/>
      <c r="H29"/>
      <c r="I29"/>
      <c r="J29"/>
      <c r="K29"/>
      <c r="L29"/>
      <c r="M29"/>
      <c r="N29"/>
      <c r="O29"/>
      <c r="P29"/>
      <c r="Q29"/>
      <c r="R29"/>
      <c r="S29"/>
      <c r="T29"/>
      <c r="U29"/>
      <c r="V29"/>
      <c r="W29"/>
      <c r="X29"/>
      <c r="Y29"/>
      <c r="Z29"/>
    </row>
    <row r="30" spans="2:28" ht="14.25" customHeight="1">
      <c r="B30"/>
      <c r="C30"/>
      <c r="D30"/>
      <c r="E30"/>
      <c r="F30"/>
      <c r="G30"/>
      <c r="H30"/>
      <c r="I30"/>
      <c r="J30"/>
      <c r="K30"/>
      <c r="L30"/>
      <c r="M30"/>
      <c r="N30"/>
      <c r="O30"/>
      <c r="P30"/>
      <c r="Q30"/>
      <c r="R30"/>
      <c r="S30"/>
      <c r="T30"/>
      <c r="U30"/>
      <c r="V30"/>
      <c r="W30"/>
      <c r="X30"/>
      <c r="Y30"/>
      <c r="Z30"/>
    </row>
    <row r="31" spans="2:28" ht="14.25" customHeight="1">
      <c r="B31"/>
      <c r="C31"/>
      <c r="D31"/>
      <c r="E31"/>
      <c r="F31"/>
      <c r="G31"/>
      <c r="H31"/>
      <c r="I31"/>
      <c r="J31"/>
      <c r="K31"/>
      <c r="L31"/>
      <c r="M31"/>
      <c r="N31"/>
      <c r="O31"/>
      <c r="P31"/>
      <c r="Q31"/>
      <c r="R31"/>
      <c r="S31"/>
      <c r="T31"/>
      <c r="U31"/>
      <c r="V31"/>
      <c r="W31"/>
      <c r="X31"/>
      <c r="Y31"/>
      <c r="Z31"/>
    </row>
    <row r="32" spans="2:28" ht="14.25" customHeight="1">
      <c r="B32"/>
      <c r="C32"/>
      <c r="D32"/>
      <c r="E32"/>
      <c r="F32"/>
      <c r="G32"/>
      <c r="H32"/>
      <c r="I32"/>
      <c r="J32"/>
      <c r="K32"/>
      <c r="L32"/>
      <c r="M32"/>
      <c r="N32"/>
      <c r="O32"/>
      <c r="P32"/>
      <c r="Q32"/>
      <c r="R32"/>
      <c r="S32"/>
      <c r="T32"/>
      <c r="U32"/>
      <c r="V32"/>
      <c r="W32"/>
      <c r="X32"/>
      <c r="Y32"/>
      <c r="Z32"/>
    </row>
    <row r="33" spans="2:26" ht="14.25" customHeight="1">
      <c r="B33"/>
      <c r="C33"/>
      <c r="D33"/>
      <c r="E33"/>
      <c r="F33"/>
      <c r="G33"/>
      <c r="H33"/>
      <c r="I33"/>
      <c r="J33"/>
      <c r="K33"/>
      <c r="L33"/>
      <c r="M33"/>
      <c r="N33"/>
      <c r="O33"/>
      <c r="P33"/>
      <c r="Q33"/>
      <c r="R33"/>
      <c r="S33"/>
      <c r="T33"/>
      <c r="U33"/>
      <c r="V33"/>
      <c r="W33"/>
      <c r="X33"/>
      <c r="Y33"/>
      <c r="Z33"/>
    </row>
    <row r="34" spans="2:26" ht="15.6">
      <c r="B34"/>
      <c r="C34"/>
      <c r="D34"/>
      <c r="E34"/>
      <c r="F34"/>
      <c r="G34"/>
      <c r="H34"/>
      <c r="I34"/>
      <c r="J34"/>
      <c r="K34"/>
      <c r="L34"/>
      <c r="M34"/>
      <c r="N34"/>
      <c r="O34"/>
      <c r="P34"/>
      <c r="Q34"/>
      <c r="R34"/>
      <c r="S34"/>
      <c r="T34"/>
      <c r="U34"/>
      <c r="V34"/>
      <c r="W34"/>
      <c r="X34"/>
      <c r="Y34"/>
      <c r="Z34"/>
    </row>
    <row r="35" spans="2:26" ht="15.6">
      <c r="B35"/>
      <c r="C35"/>
      <c r="D35"/>
      <c r="E35"/>
      <c r="F35"/>
      <c r="G35"/>
      <c r="H35"/>
      <c r="I35"/>
      <c r="J35"/>
      <c r="K35"/>
      <c r="L35"/>
      <c r="M35"/>
      <c r="N35"/>
      <c r="O35"/>
      <c r="P35"/>
      <c r="Q35"/>
      <c r="R35"/>
      <c r="S35"/>
      <c r="T35"/>
      <c r="U35"/>
      <c r="V35"/>
      <c r="W35"/>
      <c r="X35"/>
      <c r="Y35"/>
      <c r="Z35"/>
    </row>
    <row r="36" spans="2:26" ht="15.6">
      <c r="B36"/>
      <c r="C36"/>
      <c r="D36"/>
      <c r="E36"/>
      <c r="F36"/>
      <c r="G36"/>
      <c r="H36"/>
      <c r="I36"/>
      <c r="J36"/>
      <c r="K36"/>
      <c r="L36"/>
      <c r="M36"/>
      <c r="N36"/>
      <c r="O36"/>
      <c r="P36"/>
      <c r="Q36"/>
      <c r="R36"/>
      <c r="S36"/>
      <c r="T36"/>
      <c r="U36"/>
      <c r="V36"/>
      <c r="W36"/>
      <c r="X36"/>
      <c r="Y36"/>
      <c r="Z36"/>
    </row>
    <row r="37" spans="2:26" ht="15.6">
      <c r="B37"/>
      <c r="C37"/>
      <c r="D37"/>
      <c r="E37"/>
      <c r="F37"/>
      <c r="G37"/>
      <c r="H37"/>
      <c r="I37"/>
      <c r="J37"/>
      <c r="K37"/>
      <c r="L37"/>
      <c r="M37"/>
      <c r="N37"/>
      <c r="O37"/>
      <c r="P37"/>
      <c r="Q37"/>
      <c r="R37"/>
      <c r="S37"/>
      <c r="T37"/>
      <c r="U37"/>
      <c r="V37"/>
      <c r="W37"/>
      <c r="X37"/>
      <c r="Y37"/>
      <c r="Z37"/>
    </row>
    <row r="38" spans="2:26" ht="15.6">
      <c r="B38"/>
      <c r="C38"/>
      <c r="D38"/>
      <c r="E38"/>
      <c r="F38"/>
      <c r="G38"/>
      <c r="H38"/>
      <c r="I38"/>
      <c r="J38"/>
      <c r="K38"/>
      <c r="L38"/>
      <c r="M38"/>
      <c r="N38"/>
      <c r="O38"/>
      <c r="P38"/>
      <c r="Q38"/>
      <c r="R38"/>
      <c r="S38"/>
      <c r="T38"/>
      <c r="U38"/>
      <c r="V38"/>
      <c r="W38"/>
      <c r="X38"/>
      <c r="Y38"/>
      <c r="Z38"/>
    </row>
    <row r="39" spans="2:26" ht="15.6">
      <c r="B39"/>
      <c r="C39"/>
      <c r="D39"/>
      <c r="E39"/>
      <c r="F39"/>
      <c r="G39"/>
      <c r="H39"/>
      <c r="I39"/>
      <c r="J39"/>
      <c r="K39"/>
      <c r="L39"/>
      <c r="M39"/>
      <c r="N39"/>
      <c r="O39"/>
      <c r="P39"/>
      <c r="Q39"/>
      <c r="R39"/>
      <c r="S39"/>
      <c r="T39"/>
      <c r="U39"/>
      <c r="V39"/>
      <c r="W39"/>
      <c r="X39"/>
      <c r="Y39"/>
      <c r="Z39"/>
    </row>
    <row r="40" spans="2:26" ht="15" customHeight="1">
      <c r="B40"/>
      <c r="C40" s="40" t="s">
        <v>45</v>
      </c>
      <c r="D40"/>
      <c r="E40"/>
      <c r="F40"/>
      <c r="G40" s="41"/>
      <c r="H40" s="41"/>
      <c r="I40" s="41"/>
      <c r="J40" s="41"/>
      <c r="K40" s="41"/>
      <c r="L40" s="41"/>
      <c r="M40" s="41"/>
      <c r="O40" s="41"/>
      <c r="P40" s="41"/>
      <c r="Q40"/>
      <c r="R40"/>
      <c r="S40"/>
      <c r="T40"/>
      <c r="U40"/>
      <c r="V40"/>
      <c r="W40"/>
      <c r="X40"/>
      <c r="Y40"/>
      <c r="Z40"/>
    </row>
    <row r="41" spans="2:26" ht="20.25" customHeight="1">
      <c r="B41" s="162" t="s">
        <v>60</v>
      </c>
      <c r="C41" s="162"/>
      <c r="D41" s="42"/>
      <c r="E41" s="42"/>
      <c r="F41" s="42"/>
      <c r="G41" s="42"/>
      <c r="H41" s="42"/>
      <c r="I41" s="42"/>
      <c r="J41" s="42"/>
      <c r="K41" s="42" t="s">
        <v>23</v>
      </c>
      <c r="L41" s="42" t="s">
        <v>24</v>
      </c>
      <c r="M41" s="42" t="s">
        <v>25</v>
      </c>
      <c r="N41" s="42" t="s">
        <v>26</v>
      </c>
      <c r="O41" s="42" t="s">
        <v>27</v>
      </c>
      <c r="P41" s="42" t="s">
        <v>28</v>
      </c>
      <c r="Q41" s="42" t="s">
        <v>29</v>
      </c>
      <c r="R41" s="42" t="s">
        <v>30</v>
      </c>
      <c r="S41" s="42" t="s">
        <v>31</v>
      </c>
      <c r="T41" s="42" t="s">
        <v>32</v>
      </c>
      <c r="U41" s="42" t="s">
        <v>33</v>
      </c>
      <c r="V41" s="42" t="s">
        <v>34</v>
      </c>
    </row>
    <row r="42" spans="2:26" ht="25.5" customHeight="1">
      <c r="B42" s="162"/>
      <c r="C42" s="162"/>
      <c r="D42" s="164" t="s">
        <v>36</v>
      </c>
      <c r="E42" s="164"/>
      <c r="F42" s="164"/>
      <c r="G42" s="164"/>
      <c r="H42" s="164"/>
      <c r="I42" s="164"/>
      <c r="J42" s="43" t="s">
        <v>37</v>
      </c>
      <c r="K42" s="62">
        <v>2</v>
      </c>
      <c r="L42" s="63">
        <v>1</v>
      </c>
      <c r="M42" s="63">
        <v>3</v>
      </c>
      <c r="N42" s="63">
        <v>2</v>
      </c>
      <c r="O42" s="63">
        <v>2</v>
      </c>
      <c r="P42" s="63">
        <v>2</v>
      </c>
      <c r="Q42" s="63">
        <v>3</v>
      </c>
      <c r="R42" s="63">
        <v>3</v>
      </c>
      <c r="S42" s="63">
        <v>2</v>
      </c>
      <c r="T42" s="63">
        <v>3</v>
      </c>
      <c r="U42" s="63">
        <v>2</v>
      </c>
      <c r="V42" s="64">
        <v>2</v>
      </c>
    </row>
    <row r="43" spans="2:26" ht="25.5" customHeight="1">
      <c r="B43" s="162"/>
      <c r="C43" s="162"/>
      <c r="D43" s="164"/>
      <c r="E43" s="164"/>
      <c r="F43" s="164"/>
      <c r="G43" s="164"/>
      <c r="H43" s="164"/>
      <c r="I43" s="164"/>
      <c r="J43" s="44" t="s">
        <v>38</v>
      </c>
      <c r="K43" s="14">
        <v>2</v>
      </c>
      <c r="L43" s="14">
        <v>1</v>
      </c>
      <c r="M43" s="14">
        <v>1</v>
      </c>
      <c r="N43" s="14"/>
      <c r="O43" s="14"/>
      <c r="P43" s="14"/>
      <c r="Q43" s="14"/>
      <c r="R43" s="14"/>
      <c r="S43" s="14"/>
      <c r="T43" s="14"/>
      <c r="U43" s="14"/>
      <c r="V43" s="14"/>
    </row>
    <row r="44" spans="2:26" ht="25.5" customHeight="1">
      <c r="B44" s="162"/>
      <c r="C44" s="162"/>
      <c r="D44" s="165" t="s">
        <v>39</v>
      </c>
      <c r="E44" s="165"/>
      <c r="F44" s="165"/>
      <c r="G44" s="165"/>
      <c r="H44" s="165"/>
      <c r="I44" s="165"/>
      <c r="J44" s="43" t="s">
        <v>37</v>
      </c>
      <c r="K44" s="45">
        <f>K42</f>
        <v>2</v>
      </c>
      <c r="L44" s="45">
        <f>K44+L42</f>
        <v>3</v>
      </c>
      <c r="M44" s="45">
        <f t="shared" ref="M44:V44" si="4">L44+M42</f>
        <v>6</v>
      </c>
      <c r="N44" s="45">
        <f t="shared" si="4"/>
        <v>8</v>
      </c>
      <c r="O44" s="45">
        <f t="shared" si="4"/>
        <v>10</v>
      </c>
      <c r="P44" s="45">
        <f t="shared" si="4"/>
        <v>12</v>
      </c>
      <c r="Q44" s="45">
        <f t="shared" si="4"/>
        <v>15</v>
      </c>
      <c r="R44" s="45">
        <f t="shared" si="4"/>
        <v>18</v>
      </c>
      <c r="S44" s="45">
        <f t="shared" si="4"/>
        <v>20</v>
      </c>
      <c r="T44" s="45">
        <f t="shared" si="4"/>
        <v>23</v>
      </c>
      <c r="U44" s="45">
        <f t="shared" si="4"/>
        <v>25</v>
      </c>
      <c r="V44" s="45">
        <f t="shared" si="4"/>
        <v>27</v>
      </c>
    </row>
    <row r="45" spans="2:26" ht="25.5" customHeight="1">
      <c r="B45" s="162"/>
      <c r="C45" s="162"/>
      <c r="D45" s="165"/>
      <c r="E45" s="165"/>
      <c r="F45" s="165"/>
      <c r="G45" s="165"/>
      <c r="H45" s="165"/>
      <c r="I45" s="165"/>
      <c r="J45" s="44" t="s">
        <v>38</v>
      </c>
      <c r="K45" s="14">
        <v>2</v>
      </c>
      <c r="L45" s="14">
        <v>3</v>
      </c>
      <c r="M45" s="14">
        <v>4</v>
      </c>
      <c r="N45" s="14"/>
      <c r="O45" s="14"/>
      <c r="P45" s="14"/>
      <c r="Q45" s="14"/>
      <c r="R45" s="14"/>
      <c r="S45" s="14"/>
      <c r="T45" s="14"/>
      <c r="U45" s="14"/>
      <c r="V45" s="14"/>
    </row>
    <row r="46" spans="2:26" ht="25.5" customHeight="1">
      <c r="B46" s="162"/>
      <c r="C46" s="162"/>
      <c r="D46" s="166" t="s">
        <v>40</v>
      </c>
      <c r="E46" s="166"/>
      <c r="F46" s="166"/>
      <c r="G46" s="166"/>
      <c r="H46" s="166"/>
      <c r="I46" s="166"/>
      <c r="J46" s="43" t="s">
        <v>37</v>
      </c>
      <c r="K46" s="65">
        <v>1923</v>
      </c>
      <c r="L46" s="66">
        <v>2194</v>
      </c>
      <c r="M46" s="66">
        <v>2493</v>
      </c>
      <c r="N46" s="66">
        <v>2738</v>
      </c>
      <c r="O46" s="66">
        <v>2869</v>
      </c>
      <c r="P46" s="66">
        <v>2716</v>
      </c>
      <c r="Q46" s="66">
        <v>2657</v>
      </c>
      <c r="R46" s="66">
        <v>2384</v>
      </c>
      <c r="S46" s="66">
        <v>2156</v>
      </c>
      <c r="T46" s="66">
        <v>2358</v>
      </c>
      <c r="U46" s="66">
        <v>2228</v>
      </c>
      <c r="V46" s="67">
        <v>2223</v>
      </c>
    </row>
    <row r="47" spans="2:26" ht="25.5" customHeight="1">
      <c r="B47" s="162"/>
      <c r="C47" s="162"/>
      <c r="D47" s="166"/>
      <c r="E47" s="166"/>
      <c r="F47" s="166"/>
      <c r="G47" s="166"/>
      <c r="H47" s="166"/>
      <c r="I47" s="166"/>
      <c r="J47" s="44" t="s">
        <v>38</v>
      </c>
      <c r="K47" s="47">
        <v>1943</v>
      </c>
      <c r="L47" s="73">
        <v>2337</v>
      </c>
      <c r="M47" s="73">
        <v>2389</v>
      </c>
      <c r="N47" s="47"/>
      <c r="O47" s="47"/>
      <c r="P47" s="47"/>
      <c r="Q47" s="47"/>
      <c r="R47" s="47"/>
      <c r="S47" s="47"/>
      <c r="T47" s="47"/>
      <c r="U47" s="47"/>
      <c r="V47" s="47"/>
    </row>
    <row r="48" spans="2:26" ht="25.5" customHeight="1">
      <c r="B48" s="162"/>
      <c r="C48" s="162"/>
      <c r="D48" s="166" t="s">
        <v>41</v>
      </c>
      <c r="E48" s="166"/>
      <c r="F48" s="166"/>
      <c r="G48" s="166"/>
      <c r="H48" s="166"/>
      <c r="I48" s="166"/>
      <c r="J48" s="43" t="s">
        <v>37</v>
      </c>
      <c r="K48" s="46">
        <f>K46</f>
        <v>1923</v>
      </c>
      <c r="L48" s="46">
        <f>K48+L46</f>
        <v>4117</v>
      </c>
      <c r="M48" s="46">
        <f t="shared" ref="M48:V48" si="5">L48+M46</f>
        <v>6610</v>
      </c>
      <c r="N48" s="46">
        <f t="shared" si="5"/>
        <v>9348</v>
      </c>
      <c r="O48" s="46">
        <f t="shared" si="5"/>
        <v>12217</v>
      </c>
      <c r="P48" s="46">
        <f t="shared" si="5"/>
        <v>14933</v>
      </c>
      <c r="Q48" s="46">
        <f t="shared" si="5"/>
        <v>17590</v>
      </c>
      <c r="R48" s="46">
        <f t="shared" si="5"/>
        <v>19974</v>
      </c>
      <c r="S48" s="46">
        <f t="shared" si="5"/>
        <v>22130</v>
      </c>
      <c r="T48" s="46">
        <f t="shared" si="5"/>
        <v>24488</v>
      </c>
      <c r="U48" s="46">
        <f t="shared" si="5"/>
        <v>26716</v>
      </c>
      <c r="V48" s="46">
        <f t="shared" si="5"/>
        <v>28939</v>
      </c>
    </row>
    <row r="49" spans="1:26" ht="25.5" customHeight="1">
      <c r="B49" s="162"/>
      <c r="C49" s="162"/>
      <c r="D49" s="166"/>
      <c r="E49" s="166"/>
      <c r="F49" s="166"/>
      <c r="G49" s="166"/>
      <c r="H49" s="166"/>
      <c r="I49" s="166"/>
      <c r="J49" s="44" t="s">
        <v>38</v>
      </c>
      <c r="K49" s="47">
        <f>K47</f>
        <v>1943</v>
      </c>
      <c r="L49" s="15">
        <f>K49+L47</f>
        <v>4280</v>
      </c>
      <c r="M49" s="15">
        <f>L49+M47</f>
        <v>6669</v>
      </c>
      <c r="N49" s="15"/>
      <c r="O49" s="15"/>
      <c r="P49" s="15"/>
      <c r="Q49" s="15"/>
      <c r="R49" s="15"/>
      <c r="S49" s="15"/>
      <c r="T49" s="15"/>
      <c r="U49" s="15"/>
      <c r="V49" s="15"/>
    </row>
    <row r="50" spans="1:26" ht="25.5" customHeight="1">
      <c r="B50" s="162"/>
      <c r="C50" s="162"/>
      <c r="D50" s="167" t="s">
        <v>42</v>
      </c>
      <c r="E50" s="167"/>
      <c r="F50" s="167"/>
      <c r="G50" s="167"/>
      <c r="H50" s="167"/>
      <c r="I50" s="167"/>
      <c r="J50" s="43" t="s">
        <v>37</v>
      </c>
      <c r="K50" s="68">
        <v>0.11607661056297155</v>
      </c>
      <c r="L50" s="68">
        <v>4.5578851412944391E-2</v>
      </c>
      <c r="M50" s="68">
        <v>0.11139992573338284</v>
      </c>
      <c r="N50" s="68">
        <v>7.0472163495419307E-2</v>
      </c>
      <c r="O50" s="68">
        <v>6.9710700592540961E-2</v>
      </c>
      <c r="P50" s="68">
        <v>7.3637702503681887E-2</v>
      </c>
      <c r="Q50" s="68">
        <v>0.11290929619872037</v>
      </c>
      <c r="R50" s="68">
        <v>0.12583892617449663</v>
      </c>
      <c r="S50" s="68">
        <v>9.27643784786642E-2</v>
      </c>
      <c r="T50" s="68">
        <v>0.1272264631043257</v>
      </c>
      <c r="U50" s="68">
        <v>8.9766606822262118E-2</v>
      </c>
      <c r="V50" s="69">
        <v>8.9968511021142603E-2</v>
      </c>
    </row>
    <row r="51" spans="1:26" ht="25.5" customHeight="1">
      <c r="B51" s="162"/>
      <c r="C51" s="162"/>
      <c r="D51" s="167"/>
      <c r="E51" s="167"/>
      <c r="F51" s="167"/>
      <c r="G51" s="167"/>
      <c r="H51" s="167"/>
      <c r="I51" s="167"/>
      <c r="J51" s="44" t="s">
        <v>38</v>
      </c>
      <c r="K51" s="48">
        <f>K43/K47*100</f>
        <v>0.1029336078229542</v>
      </c>
      <c r="L51" s="48">
        <f t="shared" ref="L51:M51" si="6">L43/L47*100</f>
        <v>4.2789901583226361E-2</v>
      </c>
      <c r="M51" s="48">
        <f t="shared" si="6"/>
        <v>4.1858518208455424E-2</v>
      </c>
      <c r="N51" s="48"/>
      <c r="O51" s="48"/>
      <c r="P51" s="48"/>
      <c r="Q51" s="48"/>
      <c r="R51" s="48"/>
      <c r="S51" s="48"/>
      <c r="T51" s="48"/>
      <c r="U51" s="48"/>
      <c r="V51" s="48"/>
    </row>
    <row r="52" spans="1:26" ht="25.5" customHeight="1">
      <c r="B52" s="162"/>
      <c r="C52" s="162"/>
      <c r="D52" s="167" t="s">
        <v>43</v>
      </c>
      <c r="E52" s="167"/>
      <c r="F52" s="167"/>
      <c r="G52" s="167"/>
      <c r="H52" s="167"/>
      <c r="I52" s="167"/>
      <c r="J52" s="43" t="s">
        <v>37</v>
      </c>
      <c r="K52" s="70">
        <v>5.8038305281485777E-2</v>
      </c>
      <c r="L52" s="70">
        <v>5.1059484299208584E-2</v>
      </c>
      <c r="M52" s="70">
        <v>6.0514372163388799E-2</v>
      </c>
      <c r="N52" s="70">
        <v>6.3505503810330224E-2</v>
      </c>
      <c r="O52" s="70">
        <v>6.4950880896322158E-2</v>
      </c>
      <c r="P52" s="70">
        <v>6.6520321958358289E-2</v>
      </c>
      <c r="Q52" s="70">
        <v>6.7834934991520643E-2</v>
      </c>
      <c r="R52" s="70">
        <v>6.9741954767360767E-2</v>
      </c>
      <c r="S52" s="70">
        <v>6.7476383265856948E-2</v>
      </c>
      <c r="T52" s="70">
        <v>6.9139417602082309E-2</v>
      </c>
      <c r="U52" s="70">
        <v>7.0853221957040566E-2</v>
      </c>
      <c r="V52" s="71">
        <v>7.2316539825751577E-2</v>
      </c>
    </row>
    <row r="53" spans="1:26" ht="25.5" customHeight="1">
      <c r="B53" s="163"/>
      <c r="C53" s="163"/>
      <c r="D53" s="168"/>
      <c r="E53" s="168"/>
      <c r="F53" s="168"/>
      <c r="G53" s="168"/>
      <c r="H53" s="168"/>
      <c r="I53" s="168"/>
      <c r="J53" s="49" t="s">
        <v>38</v>
      </c>
      <c r="K53" s="50">
        <f>K43/K47*100</f>
        <v>0.1029336078229542</v>
      </c>
      <c r="L53" s="50">
        <f>L43/L47*100</f>
        <v>4.2789901583226361E-2</v>
      </c>
      <c r="M53" s="50">
        <f t="shared" ref="M53" si="7">M43/M47*100</f>
        <v>4.1858518208455424E-2</v>
      </c>
      <c r="N53" s="50"/>
      <c r="O53" s="50"/>
      <c r="P53" s="50"/>
      <c r="Q53" s="50"/>
      <c r="R53" s="50"/>
      <c r="S53" s="50"/>
      <c r="T53" s="50"/>
      <c r="U53" s="50"/>
      <c r="V53" s="50"/>
    </row>
    <row r="54" spans="1:26" ht="25.5" customHeight="1">
      <c r="B54" s="157" t="s">
        <v>61</v>
      </c>
      <c r="C54" s="157"/>
      <c r="D54" s="157"/>
      <c r="E54" s="157"/>
      <c r="F54" s="157"/>
      <c r="G54" s="158" t="s">
        <v>62</v>
      </c>
      <c r="H54" s="158"/>
      <c r="I54" s="158"/>
      <c r="J54" s="158"/>
      <c r="K54" s="158"/>
      <c r="L54" s="158"/>
      <c r="M54" s="158"/>
      <c r="N54" s="158"/>
      <c r="O54" s="158"/>
      <c r="P54" s="158"/>
      <c r="Q54" s="158" t="s">
        <v>63</v>
      </c>
      <c r="R54" s="158"/>
      <c r="S54" s="158"/>
      <c r="T54" s="158"/>
      <c r="U54" s="158"/>
      <c r="V54" s="158"/>
      <c r="W54" s="158"/>
      <c r="X54" s="158"/>
      <c r="Y54" s="158"/>
      <c r="Z54" s="158"/>
    </row>
    <row r="55" spans="1:26" ht="71.400000000000006" customHeight="1">
      <c r="A55" s="1"/>
      <c r="B55" s="159" t="s">
        <v>64</v>
      </c>
      <c r="C55" s="159"/>
      <c r="D55" s="159"/>
      <c r="E55" s="159"/>
      <c r="F55" s="159"/>
      <c r="G55" s="160" t="s">
        <v>65</v>
      </c>
      <c r="H55" s="160"/>
      <c r="I55" s="160"/>
      <c r="J55" s="160"/>
      <c r="K55" s="160"/>
      <c r="L55" s="160"/>
      <c r="M55" s="160"/>
      <c r="N55" s="160"/>
      <c r="O55" s="160"/>
      <c r="P55" s="160"/>
      <c r="Q55" s="160" t="s">
        <v>66</v>
      </c>
      <c r="R55" s="160"/>
      <c r="S55" s="160"/>
      <c r="T55" s="160"/>
      <c r="U55" s="160"/>
      <c r="V55" s="160"/>
      <c r="W55" s="160"/>
      <c r="X55" s="160"/>
      <c r="Y55" s="160"/>
      <c r="Z55" s="160"/>
    </row>
    <row r="56" spans="1:26" ht="32.25" customHeight="1">
      <c r="B56" s="159"/>
      <c r="C56" s="159"/>
      <c r="D56" s="159"/>
      <c r="E56" s="159"/>
      <c r="F56" s="159"/>
      <c r="G56" s="160"/>
      <c r="H56" s="160"/>
      <c r="I56" s="160"/>
      <c r="J56" s="160"/>
      <c r="K56" s="160"/>
      <c r="L56" s="160"/>
      <c r="M56" s="160"/>
      <c r="N56" s="160"/>
      <c r="O56" s="160"/>
      <c r="P56" s="160"/>
      <c r="Q56" s="160"/>
      <c r="R56" s="160"/>
      <c r="S56" s="160"/>
      <c r="T56" s="160"/>
      <c r="U56" s="160"/>
      <c r="V56" s="160"/>
      <c r="W56" s="160"/>
      <c r="X56" s="160"/>
      <c r="Y56" s="160"/>
      <c r="Z56" s="160"/>
    </row>
    <row r="57" spans="1:26" ht="32.25" customHeight="1">
      <c r="B57" s="159"/>
      <c r="C57" s="159"/>
      <c r="D57" s="159"/>
      <c r="E57" s="159"/>
      <c r="F57" s="159"/>
      <c r="G57" s="160"/>
      <c r="H57" s="160"/>
      <c r="I57" s="160"/>
      <c r="J57" s="160"/>
      <c r="K57" s="160"/>
      <c r="L57" s="160"/>
      <c r="M57" s="160"/>
      <c r="N57" s="160"/>
      <c r="O57" s="160"/>
      <c r="P57" s="160"/>
      <c r="Q57" s="160"/>
      <c r="R57" s="160"/>
      <c r="S57" s="160"/>
      <c r="T57" s="160"/>
      <c r="U57" s="160"/>
      <c r="V57" s="160"/>
      <c r="W57" s="160"/>
      <c r="X57" s="160"/>
      <c r="Y57" s="160"/>
      <c r="Z57" s="160"/>
    </row>
    <row r="58" spans="1:26" ht="32.25" customHeight="1">
      <c r="B58" s="159"/>
      <c r="C58" s="159"/>
      <c r="D58" s="159"/>
      <c r="E58" s="159"/>
      <c r="F58" s="159"/>
      <c r="G58" s="160"/>
      <c r="H58" s="160"/>
      <c r="I58" s="160"/>
      <c r="J58" s="160"/>
      <c r="K58" s="160"/>
      <c r="L58" s="160"/>
      <c r="M58" s="160"/>
      <c r="N58" s="160"/>
      <c r="O58" s="160"/>
      <c r="P58" s="160"/>
      <c r="Q58" s="160"/>
      <c r="R58" s="160"/>
      <c r="S58" s="160"/>
      <c r="T58" s="160"/>
      <c r="U58" s="160"/>
      <c r="V58" s="160"/>
      <c r="W58" s="160"/>
      <c r="X58" s="160"/>
      <c r="Y58" s="160"/>
      <c r="Z58" s="160"/>
    </row>
    <row r="59" spans="1:26" ht="32.25" customHeight="1">
      <c r="B59" s="159"/>
      <c r="C59" s="159"/>
      <c r="D59" s="159"/>
      <c r="E59" s="159"/>
      <c r="F59" s="159"/>
      <c r="G59" s="160"/>
      <c r="H59" s="160"/>
      <c r="I59" s="160"/>
      <c r="J59" s="160"/>
      <c r="K59" s="160"/>
      <c r="L59" s="160"/>
      <c r="M59" s="160"/>
      <c r="N59" s="160"/>
      <c r="O59" s="160"/>
      <c r="P59" s="160"/>
      <c r="Q59" s="160"/>
      <c r="R59" s="160"/>
      <c r="S59" s="160"/>
      <c r="T59" s="160"/>
      <c r="U59" s="160"/>
      <c r="V59" s="160"/>
      <c r="W59" s="160"/>
      <c r="X59" s="160"/>
      <c r="Y59" s="160"/>
      <c r="Z59" s="160"/>
    </row>
    <row r="60" spans="1:26" ht="32.25" customHeight="1">
      <c r="B60" s="159"/>
      <c r="C60" s="159"/>
      <c r="D60" s="159"/>
      <c r="E60" s="159"/>
      <c r="F60" s="159"/>
      <c r="G60" s="160"/>
      <c r="H60" s="160"/>
      <c r="I60" s="160"/>
      <c r="J60" s="160"/>
      <c r="K60" s="160"/>
      <c r="L60" s="160"/>
      <c r="M60" s="160"/>
      <c r="N60" s="160"/>
      <c r="O60" s="160"/>
      <c r="P60" s="160"/>
      <c r="Q60" s="160"/>
      <c r="R60" s="160"/>
      <c r="S60" s="160"/>
      <c r="T60" s="160"/>
      <c r="U60" s="160"/>
      <c r="V60" s="160"/>
      <c r="W60" s="160"/>
      <c r="X60" s="160"/>
      <c r="Y60" s="160"/>
      <c r="Z60" s="160"/>
    </row>
    <row r="61" spans="1:26" ht="32.25" customHeight="1">
      <c r="B61" s="159"/>
      <c r="C61" s="159"/>
      <c r="D61" s="159"/>
      <c r="E61" s="159"/>
      <c r="F61" s="159"/>
      <c r="G61" s="160"/>
      <c r="H61" s="160"/>
      <c r="I61" s="160"/>
      <c r="J61" s="160"/>
      <c r="K61" s="160"/>
      <c r="L61" s="160"/>
      <c r="M61" s="160"/>
      <c r="N61" s="160"/>
      <c r="O61" s="160"/>
      <c r="P61" s="160"/>
      <c r="Q61" s="160"/>
      <c r="R61" s="160"/>
      <c r="S61" s="160"/>
      <c r="T61" s="160"/>
      <c r="U61" s="160"/>
      <c r="V61" s="160"/>
      <c r="W61" s="160"/>
      <c r="X61" s="160"/>
      <c r="Y61" s="160"/>
      <c r="Z61" s="160"/>
    </row>
    <row r="62" spans="1:26" ht="32.25" customHeight="1">
      <c r="B62" s="159"/>
      <c r="C62" s="159"/>
      <c r="D62" s="159"/>
      <c r="E62" s="159"/>
      <c r="F62" s="159"/>
      <c r="G62" s="160"/>
      <c r="H62" s="160"/>
      <c r="I62" s="160"/>
      <c r="J62" s="160"/>
      <c r="K62" s="160"/>
      <c r="L62" s="160"/>
      <c r="M62" s="160"/>
      <c r="N62" s="160"/>
      <c r="O62" s="160"/>
      <c r="P62" s="160"/>
      <c r="Q62" s="160"/>
      <c r="R62" s="160"/>
      <c r="S62" s="160"/>
      <c r="T62" s="160"/>
      <c r="U62" s="160"/>
      <c r="V62" s="160"/>
      <c r="W62" s="160"/>
      <c r="X62" s="160"/>
      <c r="Y62" s="160"/>
      <c r="Z62" s="160"/>
    </row>
    <row r="63" spans="1:26" ht="107.25" customHeight="1">
      <c r="B63" s="159"/>
      <c r="C63" s="159"/>
      <c r="D63" s="159"/>
      <c r="E63" s="159"/>
      <c r="F63" s="159"/>
      <c r="G63" s="160"/>
      <c r="H63" s="160"/>
      <c r="I63" s="160"/>
      <c r="J63" s="160"/>
      <c r="K63" s="160"/>
      <c r="L63" s="160"/>
      <c r="M63" s="160"/>
      <c r="N63" s="160"/>
      <c r="O63" s="160"/>
      <c r="P63" s="160"/>
      <c r="Q63" s="160"/>
      <c r="R63" s="160"/>
      <c r="S63" s="160"/>
      <c r="T63" s="160"/>
      <c r="U63" s="160"/>
      <c r="V63" s="160"/>
      <c r="W63" s="160"/>
      <c r="X63" s="160"/>
      <c r="Y63" s="160"/>
      <c r="Z63" s="160"/>
    </row>
    <row r="64" spans="1:26" ht="32.25" customHeight="1">
      <c r="B64" s="16"/>
    </row>
    <row r="65" spans="2:2" ht="32.25" customHeight="1">
      <c r="B65" s="16"/>
    </row>
    <row r="66" spans="2:2" ht="32.25" customHeight="1">
      <c r="B66" s="16"/>
    </row>
    <row r="67" spans="2:2" ht="32.25" customHeight="1"/>
    <row r="68" spans="2:2" ht="32.25" customHeight="1"/>
    <row r="69" spans="2:2" ht="32.25" customHeight="1"/>
    <row r="70" spans="2:2" ht="32.25" customHeight="1"/>
    <row r="71" spans="2:2" ht="32.25" customHeight="1"/>
    <row r="72" spans="2:2" ht="32.25" customHeight="1"/>
    <row r="73" spans="2:2" ht="32.25" customHeight="1"/>
    <row r="74" spans="2:2" ht="32.25" customHeight="1"/>
    <row r="75" spans="2:2" ht="32.25" customHeight="1"/>
    <row r="76" spans="2:2" ht="32.25" customHeight="1"/>
  </sheetData>
  <mergeCells count="17">
    <mergeCell ref="C2:N2"/>
    <mergeCell ref="O2:Z2"/>
    <mergeCell ref="C20:N20"/>
    <mergeCell ref="O20:Z20"/>
    <mergeCell ref="B41:C53"/>
    <mergeCell ref="D42:I43"/>
    <mergeCell ref="D44:I45"/>
    <mergeCell ref="D46:I47"/>
    <mergeCell ref="D48:I49"/>
    <mergeCell ref="D50:I51"/>
    <mergeCell ref="D52:I53"/>
    <mergeCell ref="B54:F54"/>
    <mergeCell ref="G54:P54"/>
    <mergeCell ref="Q54:Z54"/>
    <mergeCell ref="B55:F63"/>
    <mergeCell ref="G55:P63"/>
    <mergeCell ref="Q55:Z63"/>
  </mergeCells>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FD922-E6D6-4E84-AF0E-31407495279F}">
  <dimension ref="A1:AC15"/>
  <sheetViews>
    <sheetView tabSelected="1" zoomScaleNormal="100" workbookViewId="0">
      <pane xSplit="11" ySplit="2" topLeftCell="Q3" activePane="bottomRight" state="frozen"/>
      <selection pane="topRight" activeCell="I1" sqref="I1"/>
      <selection pane="bottomLeft" activeCell="A3" sqref="A3"/>
      <selection pane="bottomRight" activeCell="R8" sqref="R8"/>
    </sheetView>
  </sheetViews>
  <sheetFormatPr defaultRowHeight="15"/>
  <cols>
    <col min="1" max="1" width="13" style="1" customWidth="1"/>
    <col min="2" max="2" width="5.5546875" style="1" bestFit="1" customWidth="1"/>
    <col min="3" max="3" width="16.109375" style="1" customWidth="1"/>
    <col min="4" max="4" width="12.6640625" style="2" bestFit="1" customWidth="1"/>
    <col min="5" max="5" width="25.44140625" style="1" customWidth="1"/>
    <col min="6" max="6" width="18.6640625" style="3" customWidth="1"/>
    <col min="7" max="7" width="11.33203125" style="3" hidden="1" customWidth="1"/>
    <col min="8" max="8" width="4.5546875" style="1" bestFit="1" customWidth="1"/>
    <col min="9" max="9" width="10.109375" style="1" hidden="1" customWidth="1"/>
    <col min="10" max="10" width="5.6640625" style="1" customWidth="1"/>
    <col min="11" max="11" width="5" style="1" customWidth="1"/>
    <col min="12" max="12" width="10.109375" style="2" bestFit="1" customWidth="1"/>
    <col min="13" max="13" width="24.88671875" style="1" customWidth="1"/>
    <col min="14" max="14" width="15.44140625" style="1" customWidth="1"/>
    <col min="15" max="15" width="12.6640625" style="1" bestFit="1" customWidth="1"/>
    <col min="16" max="16" width="10.109375" style="1" bestFit="1" customWidth="1"/>
    <col min="17" max="17" width="10.88671875" style="1" customWidth="1"/>
    <col min="18" max="18" width="11.88671875" style="4" bestFit="1" customWidth="1"/>
    <col min="19" max="19" width="7.44140625" style="1" bestFit="1" customWidth="1"/>
    <col min="20" max="20" width="5" style="1" bestFit="1" customWidth="1"/>
    <col min="21" max="21" width="7.33203125" style="1" bestFit="1" customWidth="1"/>
    <col min="22" max="22" width="11.33203125" style="1" bestFit="1" customWidth="1"/>
    <col min="23" max="23" width="4.109375" style="1" bestFit="1" customWidth="1"/>
    <col min="24" max="24" width="9.109375" style="1" bestFit="1" customWidth="1"/>
    <col min="25" max="25" width="11.6640625" style="1" customWidth="1"/>
    <col min="26" max="26" width="12.44140625" style="1" bestFit="1" customWidth="1"/>
    <col min="27" max="27" width="10.109375" style="1" bestFit="1" customWidth="1"/>
    <col min="28" max="28" width="4.88671875" style="1" bestFit="1" customWidth="1"/>
    <col min="29" max="29" width="4.44140625" style="1" bestFit="1" customWidth="1"/>
    <col min="30" max="30" width="74.33203125" style="1" bestFit="1" customWidth="1"/>
    <col min="31" max="259" width="9.109375" style="1"/>
    <col min="260" max="260" width="12.33203125" style="1" customWidth="1"/>
    <col min="261" max="261" width="5.109375" style="1" bestFit="1" customWidth="1"/>
    <col min="262" max="262" width="14.109375" style="1" bestFit="1" customWidth="1"/>
    <col min="263" max="263" width="10.88671875" style="1" customWidth="1"/>
    <col min="264" max="264" width="14.109375" style="1" bestFit="1" customWidth="1"/>
    <col min="265" max="265" width="12.88671875" style="1" bestFit="1" customWidth="1"/>
    <col min="266" max="266" width="5" style="1" bestFit="1" customWidth="1"/>
    <col min="267" max="267" width="8.33203125" style="1" bestFit="1" customWidth="1"/>
    <col min="268" max="268" width="7.33203125" style="1" bestFit="1" customWidth="1"/>
    <col min="269" max="269" width="13.109375" style="1" bestFit="1" customWidth="1"/>
    <col min="270" max="270" width="37.88671875" style="1" customWidth="1"/>
    <col min="271" max="271" width="16.33203125" style="1" bestFit="1" customWidth="1"/>
    <col min="272" max="272" width="15" style="1" bestFit="1" customWidth="1"/>
    <col min="273" max="273" width="11.33203125" style="1" bestFit="1" customWidth="1"/>
    <col min="274" max="274" width="11.88671875" style="1" bestFit="1" customWidth="1"/>
    <col min="275" max="275" width="14.109375" style="1" customWidth="1"/>
    <col min="276" max="276" width="7.6640625" style="1" bestFit="1" customWidth="1"/>
    <col min="277" max="277" width="8.88671875" style="1" bestFit="1" customWidth="1"/>
    <col min="278" max="278" width="10.109375" style="1" bestFit="1" customWidth="1"/>
    <col min="279" max="279" width="6.6640625" style="1" customWidth="1"/>
    <col min="280" max="280" width="14.88671875" style="1" customWidth="1"/>
    <col min="281" max="281" width="16.33203125" style="1" customWidth="1"/>
    <col min="282" max="282" width="14.109375" style="1" customWidth="1"/>
    <col min="283" max="283" width="12.5546875" style="1" bestFit="1" customWidth="1"/>
    <col min="284" max="285" width="10.6640625" style="1" bestFit="1" customWidth="1"/>
    <col min="286" max="515" width="9.109375" style="1"/>
    <col min="516" max="516" width="12.33203125" style="1" customWidth="1"/>
    <col min="517" max="517" width="5.109375" style="1" bestFit="1" customWidth="1"/>
    <col min="518" max="518" width="14.109375" style="1" bestFit="1" customWidth="1"/>
    <col min="519" max="519" width="10.88671875" style="1" customWidth="1"/>
    <col min="520" max="520" width="14.109375" style="1" bestFit="1" customWidth="1"/>
    <col min="521" max="521" width="12.88671875" style="1" bestFit="1" customWidth="1"/>
    <col min="522" max="522" width="5" style="1" bestFit="1" customWidth="1"/>
    <col min="523" max="523" width="8.33203125" style="1" bestFit="1" customWidth="1"/>
    <col min="524" max="524" width="7.33203125" style="1" bestFit="1" customWidth="1"/>
    <col min="525" max="525" width="13.109375" style="1" bestFit="1" customWidth="1"/>
    <col min="526" max="526" width="37.88671875" style="1" customWidth="1"/>
    <col min="527" max="527" width="16.33203125" style="1" bestFit="1" customWidth="1"/>
    <col min="528" max="528" width="15" style="1" bestFit="1" customWidth="1"/>
    <col min="529" max="529" width="11.33203125" style="1" bestFit="1" customWidth="1"/>
    <col min="530" max="530" width="11.88671875" style="1" bestFit="1" customWidth="1"/>
    <col min="531" max="531" width="14.109375" style="1" customWidth="1"/>
    <col min="532" max="532" width="7.6640625" style="1" bestFit="1" customWidth="1"/>
    <col min="533" max="533" width="8.88671875" style="1" bestFit="1" customWidth="1"/>
    <col min="534" max="534" width="10.109375" style="1" bestFit="1" customWidth="1"/>
    <col min="535" max="535" width="6.6640625" style="1" customWidth="1"/>
    <col min="536" max="536" width="14.88671875" style="1" customWidth="1"/>
    <col min="537" max="537" width="16.33203125" style="1" customWidth="1"/>
    <col min="538" max="538" width="14.109375" style="1" customWidth="1"/>
    <col min="539" max="539" width="12.5546875" style="1" bestFit="1" customWidth="1"/>
    <col min="540" max="541" width="10.6640625" style="1" bestFit="1" customWidth="1"/>
    <col min="542" max="771" width="9.109375" style="1"/>
    <col min="772" max="772" width="12.33203125" style="1" customWidth="1"/>
    <col min="773" max="773" width="5.109375" style="1" bestFit="1" customWidth="1"/>
    <col min="774" max="774" width="14.109375" style="1" bestFit="1" customWidth="1"/>
    <col min="775" max="775" width="10.88671875" style="1" customWidth="1"/>
    <col min="776" max="776" width="14.109375" style="1" bestFit="1" customWidth="1"/>
    <col min="777" max="777" width="12.88671875" style="1" bestFit="1" customWidth="1"/>
    <col min="778" max="778" width="5" style="1" bestFit="1" customWidth="1"/>
    <col min="779" max="779" width="8.33203125" style="1" bestFit="1" customWidth="1"/>
    <col min="780" max="780" width="7.33203125" style="1" bestFit="1" customWidth="1"/>
    <col min="781" max="781" width="13.109375" style="1" bestFit="1" customWidth="1"/>
    <col min="782" max="782" width="37.88671875" style="1" customWidth="1"/>
    <col min="783" max="783" width="16.33203125" style="1" bestFit="1" customWidth="1"/>
    <col min="784" max="784" width="15" style="1" bestFit="1" customWidth="1"/>
    <col min="785" max="785" width="11.33203125" style="1" bestFit="1" customWidth="1"/>
    <col min="786" max="786" width="11.88671875" style="1" bestFit="1" customWidth="1"/>
    <col min="787" max="787" width="14.109375" style="1" customWidth="1"/>
    <col min="788" max="788" width="7.6640625" style="1" bestFit="1" customWidth="1"/>
    <col min="789" max="789" width="8.88671875" style="1" bestFit="1" customWidth="1"/>
    <col min="790" max="790" width="10.109375" style="1" bestFit="1" customWidth="1"/>
    <col min="791" max="791" width="6.6640625" style="1" customWidth="1"/>
    <col min="792" max="792" width="14.88671875" style="1" customWidth="1"/>
    <col min="793" max="793" width="16.33203125" style="1" customWidth="1"/>
    <col min="794" max="794" width="14.109375" style="1" customWidth="1"/>
    <col min="795" max="795" width="12.5546875" style="1" bestFit="1" customWidth="1"/>
    <col min="796" max="797" width="10.6640625" style="1" bestFit="1" customWidth="1"/>
    <col min="798" max="1027" width="9.109375" style="1"/>
    <col min="1028" max="1028" width="12.33203125" style="1" customWidth="1"/>
    <col min="1029" max="1029" width="5.109375" style="1" bestFit="1" customWidth="1"/>
    <col min="1030" max="1030" width="14.109375" style="1" bestFit="1" customWidth="1"/>
    <col min="1031" max="1031" width="10.88671875" style="1" customWidth="1"/>
    <col min="1032" max="1032" width="14.109375" style="1" bestFit="1" customWidth="1"/>
    <col min="1033" max="1033" width="12.88671875" style="1" bestFit="1" customWidth="1"/>
    <col min="1034" max="1034" width="5" style="1" bestFit="1" customWidth="1"/>
    <col min="1035" max="1035" width="8.33203125" style="1" bestFit="1" customWidth="1"/>
    <col min="1036" max="1036" width="7.33203125" style="1" bestFit="1" customWidth="1"/>
    <col min="1037" max="1037" width="13.109375" style="1" bestFit="1" customWidth="1"/>
    <col min="1038" max="1038" width="37.88671875" style="1" customWidth="1"/>
    <col min="1039" max="1039" width="16.33203125" style="1" bestFit="1" customWidth="1"/>
    <col min="1040" max="1040" width="15" style="1" bestFit="1" customWidth="1"/>
    <col min="1041" max="1041" width="11.33203125" style="1" bestFit="1" customWidth="1"/>
    <col min="1042" max="1042" width="11.88671875" style="1" bestFit="1" customWidth="1"/>
    <col min="1043" max="1043" width="14.109375" style="1" customWidth="1"/>
    <col min="1044" max="1044" width="7.6640625" style="1" bestFit="1" customWidth="1"/>
    <col min="1045" max="1045" width="8.88671875" style="1" bestFit="1" customWidth="1"/>
    <col min="1046" max="1046" width="10.109375" style="1" bestFit="1" customWidth="1"/>
    <col min="1047" max="1047" width="6.6640625" style="1" customWidth="1"/>
    <col min="1048" max="1048" width="14.88671875" style="1" customWidth="1"/>
    <col min="1049" max="1049" width="16.33203125" style="1" customWidth="1"/>
    <col min="1050" max="1050" width="14.109375" style="1" customWidth="1"/>
    <col min="1051" max="1051" width="12.5546875" style="1" bestFit="1" customWidth="1"/>
    <col min="1052" max="1053" width="10.6640625" style="1" bestFit="1" customWidth="1"/>
    <col min="1054" max="1283" width="9.109375" style="1"/>
    <col min="1284" max="1284" width="12.33203125" style="1" customWidth="1"/>
    <col min="1285" max="1285" width="5.109375" style="1" bestFit="1" customWidth="1"/>
    <col min="1286" max="1286" width="14.109375" style="1" bestFit="1" customWidth="1"/>
    <col min="1287" max="1287" width="10.88671875" style="1" customWidth="1"/>
    <col min="1288" max="1288" width="14.109375" style="1" bestFit="1" customWidth="1"/>
    <col min="1289" max="1289" width="12.88671875" style="1" bestFit="1" customWidth="1"/>
    <col min="1290" max="1290" width="5" style="1" bestFit="1" customWidth="1"/>
    <col min="1291" max="1291" width="8.33203125" style="1" bestFit="1" customWidth="1"/>
    <col min="1292" max="1292" width="7.33203125" style="1" bestFit="1" customWidth="1"/>
    <col min="1293" max="1293" width="13.109375" style="1" bestFit="1" customWidth="1"/>
    <col min="1294" max="1294" width="37.88671875" style="1" customWidth="1"/>
    <col min="1295" max="1295" width="16.33203125" style="1" bestFit="1" customWidth="1"/>
    <col min="1296" max="1296" width="15" style="1" bestFit="1" customWidth="1"/>
    <col min="1297" max="1297" width="11.33203125" style="1" bestFit="1" customWidth="1"/>
    <col min="1298" max="1298" width="11.88671875" style="1" bestFit="1" customWidth="1"/>
    <col min="1299" max="1299" width="14.109375" style="1" customWidth="1"/>
    <col min="1300" max="1300" width="7.6640625" style="1" bestFit="1" customWidth="1"/>
    <col min="1301" max="1301" width="8.88671875" style="1" bestFit="1" customWidth="1"/>
    <col min="1302" max="1302" width="10.109375" style="1" bestFit="1" customWidth="1"/>
    <col min="1303" max="1303" width="6.6640625" style="1" customWidth="1"/>
    <col min="1304" max="1304" width="14.88671875" style="1" customWidth="1"/>
    <col min="1305" max="1305" width="16.33203125" style="1" customWidth="1"/>
    <col min="1306" max="1306" width="14.109375" style="1" customWidth="1"/>
    <col min="1307" max="1307" width="12.5546875" style="1" bestFit="1" customWidth="1"/>
    <col min="1308" max="1309" width="10.6640625" style="1" bestFit="1" customWidth="1"/>
    <col min="1310" max="1539" width="9.109375" style="1"/>
    <col min="1540" max="1540" width="12.33203125" style="1" customWidth="1"/>
    <col min="1541" max="1541" width="5.109375" style="1" bestFit="1" customWidth="1"/>
    <col min="1542" max="1542" width="14.109375" style="1" bestFit="1" customWidth="1"/>
    <col min="1543" max="1543" width="10.88671875" style="1" customWidth="1"/>
    <col min="1544" max="1544" width="14.109375" style="1" bestFit="1" customWidth="1"/>
    <col min="1545" max="1545" width="12.88671875" style="1" bestFit="1" customWidth="1"/>
    <col min="1546" max="1546" width="5" style="1" bestFit="1" customWidth="1"/>
    <col min="1547" max="1547" width="8.33203125" style="1" bestFit="1" customWidth="1"/>
    <col min="1548" max="1548" width="7.33203125" style="1" bestFit="1" customWidth="1"/>
    <col min="1549" max="1549" width="13.109375" style="1" bestFit="1" customWidth="1"/>
    <col min="1550" max="1550" width="37.88671875" style="1" customWidth="1"/>
    <col min="1551" max="1551" width="16.33203125" style="1" bestFit="1" customWidth="1"/>
    <col min="1552" max="1552" width="15" style="1" bestFit="1" customWidth="1"/>
    <col min="1553" max="1553" width="11.33203125" style="1" bestFit="1" customWidth="1"/>
    <col min="1554" max="1554" width="11.88671875" style="1" bestFit="1" customWidth="1"/>
    <col min="1555" max="1555" width="14.109375" style="1" customWidth="1"/>
    <col min="1556" max="1556" width="7.6640625" style="1" bestFit="1" customWidth="1"/>
    <col min="1557" max="1557" width="8.88671875" style="1" bestFit="1" customWidth="1"/>
    <col min="1558" max="1558" width="10.109375" style="1" bestFit="1" customWidth="1"/>
    <col min="1559" max="1559" width="6.6640625" style="1" customWidth="1"/>
    <col min="1560" max="1560" width="14.88671875" style="1" customWidth="1"/>
    <col min="1561" max="1561" width="16.33203125" style="1" customWidth="1"/>
    <col min="1562" max="1562" width="14.109375" style="1" customWidth="1"/>
    <col min="1563" max="1563" width="12.5546875" style="1" bestFit="1" customWidth="1"/>
    <col min="1564" max="1565" width="10.6640625" style="1" bestFit="1" customWidth="1"/>
    <col min="1566" max="1795" width="9.109375" style="1"/>
    <col min="1796" max="1796" width="12.33203125" style="1" customWidth="1"/>
    <col min="1797" max="1797" width="5.109375" style="1" bestFit="1" customWidth="1"/>
    <col min="1798" max="1798" width="14.109375" style="1" bestFit="1" customWidth="1"/>
    <col min="1799" max="1799" width="10.88671875" style="1" customWidth="1"/>
    <col min="1800" max="1800" width="14.109375" style="1" bestFit="1" customWidth="1"/>
    <col min="1801" max="1801" width="12.88671875" style="1" bestFit="1" customWidth="1"/>
    <col min="1802" max="1802" width="5" style="1" bestFit="1" customWidth="1"/>
    <col min="1803" max="1803" width="8.33203125" style="1" bestFit="1" customWidth="1"/>
    <col min="1804" max="1804" width="7.33203125" style="1" bestFit="1" customWidth="1"/>
    <col min="1805" max="1805" width="13.109375" style="1" bestFit="1" customWidth="1"/>
    <col min="1806" max="1806" width="37.88671875" style="1" customWidth="1"/>
    <col min="1807" max="1807" width="16.33203125" style="1" bestFit="1" customWidth="1"/>
    <col min="1808" max="1808" width="15" style="1" bestFit="1" customWidth="1"/>
    <col min="1809" max="1809" width="11.33203125" style="1" bestFit="1" customWidth="1"/>
    <col min="1810" max="1810" width="11.88671875" style="1" bestFit="1" customWidth="1"/>
    <col min="1811" max="1811" width="14.109375" style="1" customWidth="1"/>
    <col min="1812" max="1812" width="7.6640625" style="1" bestFit="1" customWidth="1"/>
    <col min="1813" max="1813" width="8.88671875" style="1" bestFit="1" customWidth="1"/>
    <col min="1814" max="1814" width="10.109375" style="1" bestFit="1" customWidth="1"/>
    <col min="1815" max="1815" width="6.6640625" style="1" customWidth="1"/>
    <col min="1816" max="1816" width="14.88671875" style="1" customWidth="1"/>
    <col min="1817" max="1817" width="16.33203125" style="1" customWidth="1"/>
    <col min="1818" max="1818" width="14.109375" style="1" customWidth="1"/>
    <col min="1819" max="1819" width="12.5546875" style="1" bestFit="1" customWidth="1"/>
    <col min="1820" max="1821" width="10.6640625" style="1" bestFit="1" customWidth="1"/>
    <col min="1822" max="2051" width="9.109375" style="1"/>
    <col min="2052" max="2052" width="12.33203125" style="1" customWidth="1"/>
    <col min="2053" max="2053" width="5.109375" style="1" bestFit="1" customWidth="1"/>
    <col min="2054" max="2054" width="14.109375" style="1" bestFit="1" customWidth="1"/>
    <col min="2055" max="2055" width="10.88671875" style="1" customWidth="1"/>
    <col min="2056" max="2056" width="14.109375" style="1" bestFit="1" customWidth="1"/>
    <col min="2057" max="2057" width="12.88671875" style="1" bestFit="1" customWidth="1"/>
    <col min="2058" max="2058" width="5" style="1" bestFit="1" customWidth="1"/>
    <col min="2059" max="2059" width="8.33203125" style="1" bestFit="1" customWidth="1"/>
    <col min="2060" max="2060" width="7.33203125" style="1" bestFit="1" customWidth="1"/>
    <col min="2061" max="2061" width="13.109375" style="1" bestFit="1" customWidth="1"/>
    <col min="2062" max="2062" width="37.88671875" style="1" customWidth="1"/>
    <col min="2063" max="2063" width="16.33203125" style="1" bestFit="1" customWidth="1"/>
    <col min="2064" max="2064" width="15" style="1" bestFit="1" customWidth="1"/>
    <col min="2065" max="2065" width="11.33203125" style="1" bestFit="1" customWidth="1"/>
    <col min="2066" max="2066" width="11.88671875" style="1" bestFit="1" customWidth="1"/>
    <col min="2067" max="2067" width="14.109375" style="1" customWidth="1"/>
    <col min="2068" max="2068" width="7.6640625" style="1" bestFit="1" customWidth="1"/>
    <col min="2069" max="2069" width="8.88671875" style="1" bestFit="1" customWidth="1"/>
    <col min="2070" max="2070" width="10.109375" style="1" bestFit="1" customWidth="1"/>
    <col min="2071" max="2071" width="6.6640625" style="1" customWidth="1"/>
    <col min="2072" max="2072" width="14.88671875" style="1" customWidth="1"/>
    <col min="2073" max="2073" width="16.33203125" style="1" customWidth="1"/>
    <col min="2074" max="2074" width="14.109375" style="1" customWidth="1"/>
    <col min="2075" max="2075" width="12.5546875" style="1" bestFit="1" customWidth="1"/>
    <col min="2076" max="2077" width="10.6640625" style="1" bestFit="1" customWidth="1"/>
    <col min="2078" max="2307" width="9.109375" style="1"/>
    <col min="2308" max="2308" width="12.33203125" style="1" customWidth="1"/>
    <col min="2309" max="2309" width="5.109375" style="1" bestFit="1" customWidth="1"/>
    <col min="2310" max="2310" width="14.109375" style="1" bestFit="1" customWidth="1"/>
    <col min="2311" max="2311" width="10.88671875" style="1" customWidth="1"/>
    <col min="2312" max="2312" width="14.109375" style="1" bestFit="1" customWidth="1"/>
    <col min="2313" max="2313" width="12.88671875" style="1" bestFit="1" customWidth="1"/>
    <col min="2314" max="2314" width="5" style="1" bestFit="1" customWidth="1"/>
    <col min="2315" max="2315" width="8.33203125" style="1" bestFit="1" customWidth="1"/>
    <col min="2316" max="2316" width="7.33203125" style="1" bestFit="1" customWidth="1"/>
    <col min="2317" max="2317" width="13.109375" style="1" bestFit="1" customWidth="1"/>
    <col min="2318" max="2318" width="37.88671875" style="1" customWidth="1"/>
    <col min="2319" max="2319" width="16.33203125" style="1" bestFit="1" customWidth="1"/>
    <col min="2320" max="2320" width="15" style="1" bestFit="1" customWidth="1"/>
    <col min="2321" max="2321" width="11.33203125" style="1" bestFit="1" customWidth="1"/>
    <col min="2322" max="2322" width="11.88671875" style="1" bestFit="1" customWidth="1"/>
    <col min="2323" max="2323" width="14.109375" style="1" customWidth="1"/>
    <col min="2324" max="2324" width="7.6640625" style="1" bestFit="1" customWidth="1"/>
    <col min="2325" max="2325" width="8.88671875" style="1" bestFit="1" customWidth="1"/>
    <col min="2326" max="2326" width="10.109375" style="1" bestFit="1" customWidth="1"/>
    <col min="2327" max="2327" width="6.6640625" style="1" customWidth="1"/>
    <col min="2328" max="2328" width="14.88671875" style="1" customWidth="1"/>
    <col min="2329" max="2329" width="16.33203125" style="1" customWidth="1"/>
    <col min="2330" max="2330" width="14.109375" style="1" customWidth="1"/>
    <col min="2331" max="2331" width="12.5546875" style="1" bestFit="1" customWidth="1"/>
    <col min="2332" max="2333" width="10.6640625" style="1" bestFit="1" customWidth="1"/>
    <col min="2334" max="2563" width="9.109375" style="1"/>
    <col min="2564" max="2564" width="12.33203125" style="1" customWidth="1"/>
    <col min="2565" max="2565" width="5.109375" style="1" bestFit="1" customWidth="1"/>
    <col min="2566" max="2566" width="14.109375" style="1" bestFit="1" customWidth="1"/>
    <col min="2567" max="2567" width="10.88671875" style="1" customWidth="1"/>
    <col min="2568" max="2568" width="14.109375" style="1" bestFit="1" customWidth="1"/>
    <col min="2569" max="2569" width="12.88671875" style="1" bestFit="1" customWidth="1"/>
    <col min="2570" max="2570" width="5" style="1" bestFit="1" customWidth="1"/>
    <col min="2571" max="2571" width="8.33203125" style="1" bestFit="1" customWidth="1"/>
    <col min="2572" max="2572" width="7.33203125" style="1" bestFit="1" customWidth="1"/>
    <col min="2573" max="2573" width="13.109375" style="1" bestFit="1" customWidth="1"/>
    <col min="2574" max="2574" width="37.88671875" style="1" customWidth="1"/>
    <col min="2575" max="2575" width="16.33203125" style="1" bestFit="1" customWidth="1"/>
    <col min="2576" max="2576" width="15" style="1" bestFit="1" customWidth="1"/>
    <col min="2577" max="2577" width="11.33203125" style="1" bestFit="1" customWidth="1"/>
    <col min="2578" max="2578" width="11.88671875" style="1" bestFit="1" customWidth="1"/>
    <col min="2579" max="2579" width="14.109375" style="1" customWidth="1"/>
    <col min="2580" max="2580" width="7.6640625" style="1" bestFit="1" customWidth="1"/>
    <col min="2581" max="2581" width="8.88671875" style="1" bestFit="1" customWidth="1"/>
    <col min="2582" max="2582" width="10.109375" style="1" bestFit="1" customWidth="1"/>
    <col min="2583" max="2583" width="6.6640625" style="1" customWidth="1"/>
    <col min="2584" max="2584" width="14.88671875" style="1" customWidth="1"/>
    <col min="2585" max="2585" width="16.33203125" style="1" customWidth="1"/>
    <col min="2586" max="2586" width="14.109375" style="1" customWidth="1"/>
    <col min="2587" max="2587" width="12.5546875" style="1" bestFit="1" customWidth="1"/>
    <col min="2588" max="2589" width="10.6640625" style="1" bestFit="1" customWidth="1"/>
    <col min="2590" max="2819" width="9.109375" style="1"/>
    <col min="2820" max="2820" width="12.33203125" style="1" customWidth="1"/>
    <col min="2821" max="2821" width="5.109375" style="1" bestFit="1" customWidth="1"/>
    <col min="2822" max="2822" width="14.109375" style="1" bestFit="1" customWidth="1"/>
    <col min="2823" max="2823" width="10.88671875" style="1" customWidth="1"/>
    <col min="2824" max="2824" width="14.109375" style="1" bestFit="1" customWidth="1"/>
    <col min="2825" max="2825" width="12.88671875" style="1" bestFit="1" customWidth="1"/>
    <col min="2826" max="2826" width="5" style="1" bestFit="1" customWidth="1"/>
    <col min="2827" max="2827" width="8.33203125" style="1" bestFit="1" customWidth="1"/>
    <col min="2828" max="2828" width="7.33203125" style="1" bestFit="1" customWidth="1"/>
    <col min="2829" max="2829" width="13.109375" style="1" bestFit="1" customWidth="1"/>
    <col min="2830" max="2830" width="37.88671875" style="1" customWidth="1"/>
    <col min="2831" max="2831" width="16.33203125" style="1" bestFit="1" customWidth="1"/>
    <col min="2832" max="2832" width="15" style="1" bestFit="1" customWidth="1"/>
    <col min="2833" max="2833" width="11.33203125" style="1" bestFit="1" customWidth="1"/>
    <col min="2834" max="2834" width="11.88671875" style="1" bestFit="1" customWidth="1"/>
    <col min="2835" max="2835" width="14.109375" style="1" customWidth="1"/>
    <col min="2836" max="2836" width="7.6640625" style="1" bestFit="1" customWidth="1"/>
    <col min="2837" max="2837" width="8.88671875" style="1" bestFit="1" customWidth="1"/>
    <col min="2838" max="2838" width="10.109375" style="1" bestFit="1" customWidth="1"/>
    <col min="2839" max="2839" width="6.6640625" style="1" customWidth="1"/>
    <col min="2840" max="2840" width="14.88671875" style="1" customWidth="1"/>
    <col min="2841" max="2841" width="16.33203125" style="1" customWidth="1"/>
    <col min="2842" max="2842" width="14.109375" style="1" customWidth="1"/>
    <col min="2843" max="2843" width="12.5546875" style="1" bestFit="1" customWidth="1"/>
    <col min="2844" max="2845" width="10.6640625" style="1" bestFit="1" customWidth="1"/>
    <col min="2846" max="3075" width="9.109375" style="1"/>
    <col min="3076" max="3076" width="12.33203125" style="1" customWidth="1"/>
    <col min="3077" max="3077" width="5.109375" style="1" bestFit="1" customWidth="1"/>
    <col min="3078" max="3078" width="14.109375" style="1" bestFit="1" customWidth="1"/>
    <col min="3079" max="3079" width="10.88671875" style="1" customWidth="1"/>
    <col min="3080" max="3080" width="14.109375" style="1" bestFit="1" customWidth="1"/>
    <col min="3081" max="3081" width="12.88671875" style="1" bestFit="1" customWidth="1"/>
    <col min="3082" max="3082" width="5" style="1" bestFit="1" customWidth="1"/>
    <col min="3083" max="3083" width="8.33203125" style="1" bestFit="1" customWidth="1"/>
    <col min="3084" max="3084" width="7.33203125" style="1" bestFit="1" customWidth="1"/>
    <col min="3085" max="3085" width="13.109375" style="1" bestFit="1" customWidth="1"/>
    <col min="3086" max="3086" width="37.88671875" style="1" customWidth="1"/>
    <col min="3087" max="3087" width="16.33203125" style="1" bestFit="1" customWidth="1"/>
    <col min="3088" max="3088" width="15" style="1" bestFit="1" customWidth="1"/>
    <col min="3089" max="3089" width="11.33203125" style="1" bestFit="1" customWidth="1"/>
    <col min="3090" max="3090" width="11.88671875" style="1" bestFit="1" customWidth="1"/>
    <col min="3091" max="3091" width="14.109375" style="1" customWidth="1"/>
    <col min="3092" max="3092" width="7.6640625" style="1" bestFit="1" customWidth="1"/>
    <col min="3093" max="3093" width="8.88671875" style="1" bestFit="1" customWidth="1"/>
    <col min="3094" max="3094" width="10.109375" style="1" bestFit="1" customWidth="1"/>
    <col min="3095" max="3095" width="6.6640625" style="1" customWidth="1"/>
    <col min="3096" max="3096" width="14.88671875" style="1" customWidth="1"/>
    <col min="3097" max="3097" width="16.33203125" style="1" customWidth="1"/>
    <col min="3098" max="3098" width="14.109375" style="1" customWidth="1"/>
    <col min="3099" max="3099" width="12.5546875" style="1" bestFit="1" customWidth="1"/>
    <col min="3100" max="3101" width="10.6640625" style="1" bestFit="1" customWidth="1"/>
    <col min="3102" max="3331" width="9.109375" style="1"/>
    <col min="3332" max="3332" width="12.33203125" style="1" customWidth="1"/>
    <col min="3333" max="3333" width="5.109375" style="1" bestFit="1" customWidth="1"/>
    <col min="3334" max="3334" width="14.109375" style="1" bestFit="1" customWidth="1"/>
    <col min="3335" max="3335" width="10.88671875" style="1" customWidth="1"/>
    <col min="3336" max="3336" width="14.109375" style="1" bestFit="1" customWidth="1"/>
    <col min="3337" max="3337" width="12.88671875" style="1" bestFit="1" customWidth="1"/>
    <col min="3338" max="3338" width="5" style="1" bestFit="1" customWidth="1"/>
    <col min="3339" max="3339" width="8.33203125" style="1" bestFit="1" customWidth="1"/>
    <col min="3340" max="3340" width="7.33203125" style="1" bestFit="1" customWidth="1"/>
    <col min="3341" max="3341" width="13.109375" style="1" bestFit="1" customWidth="1"/>
    <col min="3342" max="3342" width="37.88671875" style="1" customWidth="1"/>
    <col min="3343" max="3343" width="16.33203125" style="1" bestFit="1" customWidth="1"/>
    <col min="3344" max="3344" width="15" style="1" bestFit="1" customWidth="1"/>
    <col min="3345" max="3345" width="11.33203125" style="1" bestFit="1" customWidth="1"/>
    <col min="3346" max="3346" width="11.88671875" style="1" bestFit="1" customWidth="1"/>
    <col min="3347" max="3347" width="14.109375" style="1" customWidth="1"/>
    <col min="3348" max="3348" width="7.6640625" style="1" bestFit="1" customWidth="1"/>
    <col min="3349" max="3349" width="8.88671875" style="1" bestFit="1" customWidth="1"/>
    <col min="3350" max="3350" width="10.109375" style="1" bestFit="1" customWidth="1"/>
    <col min="3351" max="3351" width="6.6640625" style="1" customWidth="1"/>
    <col min="3352" max="3352" width="14.88671875" style="1" customWidth="1"/>
    <col min="3353" max="3353" width="16.33203125" style="1" customWidth="1"/>
    <col min="3354" max="3354" width="14.109375" style="1" customWidth="1"/>
    <col min="3355" max="3355" width="12.5546875" style="1" bestFit="1" customWidth="1"/>
    <col min="3356" max="3357" width="10.6640625" style="1" bestFit="1" customWidth="1"/>
    <col min="3358" max="3587" width="9.109375" style="1"/>
    <col min="3588" max="3588" width="12.33203125" style="1" customWidth="1"/>
    <col min="3589" max="3589" width="5.109375" style="1" bestFit="1" customWidth="1"/>
    <col min="3590" max="3590" width="14.109375" style="1" bestFit="1" customWidth="1"/>
    <col min="3591" max="3591" width="10.88671875" style="1" customWidth="1"/>
    <col min="3592" max="3592" width="14.109375" style="1" bestFit="1" customWidth="1"/>
    <col min="3593" max="3593" width="12.88671875" style="1" bestFit="1" customWidth="1"/>
    <col min="3594" max="3594" width="5" style="1" bestFit="1" customWidth="1"/>
    <col min="3595" max="3595" width="8.33203125" style="1" bestFit="1" customWidth="1"/>
    <col min="3596" max="3596" width="7.33203125" style="1" bestFit="1" customWidth="1"/>
    <col min="3597" max="3597" width="13.109375" style="1" bestFit="1" customWidth="1"/>
    <col min="3598" max="3598" width="37.88671875" style="1" customWidth="1"/>
    <col min="3599" max="3599" width="16.33203125" style="1" bestFit="1" customWidth="1"/>
    <col min="3600" max="3600" width="15" style="1" bestFit="1" customWidth="1"/>
    <col min="3601" max="3601" width="11.33203125" style="1" bestFit="1" customWidth="1"/>
    <col min="3602" max="3602" width="11.88671875" style="1" bestFit="1" customWidth="1"/>
    <col min="3603" max="3603" width="14.109375" style="1" customWidth="1"/>
    <col min="3604" max="3604" width="7.6640625" style="1" bestFit="1" customWidth="1"/>
    <col min="3605" max="3605" width="8.88671875" style="1" bestFit="1" customWidth="1"/>
    <col min="3606" max="3606" width="10.109375" style="1" bestFit="1" customWidth="1"/>
    <col min="3607" max="3607" width="6.6640625" style="1" customWidth="1"/>
    <col min="3608" max="3608" width="14.88671875" style="1" customWidth="1"/>
    <col min="3609" max="3609" width="16.33203125" style="1" customWidth="1"/>
    <col min="3610" max="3610" width="14.109375" style="1" customWidth="1"/>
    <col min="3611" max="3611" width="12.5546875" style="1" bestFit="1" customWidth="1"/>
    <col min="3612" max="3613" width="10.6640625" style="1" bestFit="1" customWidth="1"/>
    <col min="3614" max="3843" width="9.109375" style="1"/>
    <col min="3844" max="3844" width="12.33203125" style="1" customWidth="1"/>
    <col min="3845" max="3845" width="5.109375" style="1" bestFit="1" customWidth="1"/>
    <col min="3846" max="3846" width="14.109375" style="1" bestFit="1" customWidth="1"/>
    <col min="3847" max="3847" width="10.88671875" style="1" customWidth="1"/>
    <col min="3848" max="3848" width="14.109375" style="1" bestFit="1" customWidth="1"/>
    <col min="3849" max="3849" width="12.88671875" style="1" bestFit="1" customWidth="1"/>
    <col min="3850" max="3850" width="5" style="1" bestFit="1" customWidth="1"/>
    <col min="3851" max="3851" width="8.33203125" style="1" bestFit="1" customWidth="1"/>
    <col min="3852" max="3852" width="7.33203125" style="1" bestFit="1" customWidth="1"/>
    <col min="3853" max="3853" width="13.109375" style="1" bestFit="1" customWidth="1"/>
    <col min="3854" max="3854" width="37.88671875" style="1" customWidth="1"/>
    <col min="3855" max="3855" width="16.33203125" style="1" bestFit="1" customWidth="1"/>
    <col min="3856" max="3856" width="15" style="1" bestFit="1" customWidth="1"/>
    <col min="3857" max="3857" width="11.33203125" style="1" bestFit="1" customWidth="1"/>
    <col min="3858" max="3858" width="11.88671875" style="1" bestFit="1" customWidth="1"/>
    <col min="3859" max="3859" width="14.109375" style="1" customWidth="1"/>
    <col min="3860" max="3860" width="7.6640625" style="1" bestFit="1" customWidth="1"/>
    <col min="3861" max="3861" width="8.88671875" style="1" bestFit="1" customWidth="1"/>
    <col min="3862" max="3862" width="10.109375" style="1" bestFit="1" customWidth="1"/>
    <col min="3863" max="3863" width="6.6640625" style="1" customWidth="1"/>
    <col min="3864" max="3864" width="14.88671875" style="1" customWidth="1"/>
    <col min="3865" max="3865" width="16.33203125" style="1" customWidth="1"/>
    <col min="3866" max="3866" width="14.109375" style="1" customWidth="1"/>
    <col min="3867" max="3867" width="12.5546875" style="1" bestFit="1" customWidth="1"/>
    <col min="3868" max="3869" width="10.6640625" style="1" bestFit="1" customWidth="1"/>
    <col min="3870" max="4099" width="9.109375" style="1"/>
    <col min="4100" max="4100" width="12.33203125" style="1" customWidth="1"/>
    <col min="4101" max="4101" width="5.109375" style="1" bestFit="1" customWidth="1"/>
    <col min="4102" max="4102" width="14.109375" style="1" bestFit="1" customWidth="1"/>
    <col min="4103" max="4103" width="10.88671875" style="1" customWidth="1"/>
    <col min="4104" max="4104" width="14.109375" style="1" bestFit="1" customWidth="1"/>
    <col min="4105" max="4105" width="12.88671875" style="1" bestFit="1" customWidth="1"/>
    <col min="4106" max="4106" width="5" style="1" bestFit="1" customWidth="1"/>
    <col min="4107" max="4107" width="8.33203125" style="1" bestFit="1" customWidth="1"/>
    <col min="4108" max="4108" width="7.33203125" style="1" bestFit="1" customWidth="1"/>
    <col min="4109" max="4109" width="13.109375" style="1" bestFit="1" customWidth="1"/>
    <col min="4110" max="4110" width="37.88671875" style="1" customWidth="1"/>
    <col min="4111" max="4111" width="16.33203125" style="1" bestFit="1" customWidth="1"/>
    <col min="4112" max="4112" width="15" style="1" bestFit="1" customWidth="1"/>
    <col min="4113" max="4113" width="11.33203125" style="1" bestFit="1" customWidth="1"/>
    <col min="4114" max="4114" width="11.88671875" style="1" bestFit="1" customWidth="1"/>
    <col min="4115" max="4115" width="14.109375" style="1" customWidth="1"/>
    <col min="4116" max="4116" width="7.6640625" style="1" bestFit="1" customWidth="1"/>
    <col min="4117" max="4117" width="8.88671875" style="1" bestFit="1" customWidth="1"/>
    <col min="4118" max="4118" width="10.109375" style="1" bestFit="1" customWidth="1"/>
    <col min="4119" max="4119" width="6.6640625" style="1" customWidth="1"/>
    <col min="4120" max="4120" width="14.88671875" style="1" customWidth="1"/>
    <col min="4121" max="4121" width="16.33203125" style="1" customWidth="1"/>
    <col min="4122" max="4122" width="14.109375" style="1" customWidth="1"/>
    <col min="4123" max="4123" width="12.5546875" style="1" bestFit="1" customWidth="1"/>
    <col min="4124" max="4125" width="10.6640625" style="1" bestFit="1" customWidth="1"/>
    <col min="4126" max="4355" width="9.109375" style="1"/>
    <col min="4356" max="4356" width="12.33203125" style="1" customWidth="1"/>
    <col min="4357" max="4357" width="5.109375" style="1" bestFit="1" customWidth="1"/>
    <col min="4358" max="4358" width="14.109375" style="1" bestFit="1" customWidth="1"/>
    <col min="4359" max="4359" width="10.88671875" style="1" customWidth="1"/>
    <col min="4360" max="4360" width="14.109375" style="1" bestFit="1" customWidth="1"/>
    <col min="4361" max="4361" width="12.88671875" style="1" bestFit="1" customWidth="1"/>
    <col min="4362" max="4362" width="5" style="1" bestFit="1" customWidth="1"/>
    <col min="4363" max="4363" width="8.33203125" style="1" bestFit="1" customWidth="1"/>
    <col min="4364" max="4364" width="7.33203125" style="1" bestFit="1" customWidth="1"/>
    <col min="4365" max="4365" width="13.109375" style="1" bestFit="1" customWidth="1"/>
    <col min="4366" max="4366" width="37.88671875" style="1" customWidth="1"/>
    <col min="4367" max="4367" width="16.33203125" style="1" bestFit="1" customWidth="1"/>
    <col min="4368" max="4368" width="15" style="1" bestFit="1" customWidth="1"/>
    <col min="4369" max="4369" width="11.33203125" style="1" bestFit="1" customWidth="1"/>
    <col min="4370" max="4370" width="11.88671875" style="1" bestFit="1" customWidth="1"/>
    <col min="4371" max="4371" width="14.109375" style="1" customWidth="1"/>
    <col min="4372" max="4372" width="7.6640625" style="1" bestFit="1" customWidth="1"/>
    <col min="4373" max="4373" width="8.88671875" style="1" bestFit="1" customWidth="1"/>
    <col min="4374" max="4374" width="10.109375" style="1" bestFit="1" customWidth="1"/>
    <col min="4375" max="4375" width="6.6640625" style="1" customWidth="1"/>
    <col min="4376" max="4376" width="14.88671875" style="1" customWidth="1"/>
    <col min="4377" max="4377" width="16.33203125" style="1" customWidth="1"/>
    <col min="4378" max="4378" width="14.109375" style="1" customWidth="1"/>
    <col min="4379" max="4379" width="12.5546875" style="1" bestFit="1" customWidth="1"/>
    <col min="4380" max="4381" width="10.6640625" style="1" bestFit="1" customWidth="1"/>
    <col min="4382" max="4611" width="9.109375" style="1"/>
    <col min="4612" max="4612" width="12.33203125" style="1" customWidth="1"/>
    <col min="4613" max="4613" width="5.109375" style="1" bestFit="1" customWidth="1"/>
    <col min="4614" max="4614" width="14.109375" style="1" bestFit="1" customWidth="1"/>
    <col min="4615" max="4615" width="10.88671875" style="1" customWidth="1"/>
    <col min="4616" max="4616" width="14.109375" style="1" bestFit="1" customWidth="1"/>
    <col min="4617" max="4617" width="12.88671875" style="1" bestFit="1" customWidth="1"/>
    <col min="4618" max="4618" width="5" style="1" bestFit="1" customWidth="1"/>
    <col min="4619" max="4619" width="8.33203125" style="1" bestFit="1" customWidth="1"/>
    <col min="4620" max="4620" width="7.33203125" style="1" bestFit="1" customWidth="1"/>
    <col min="4621" max="4621" width="13.109375" style="1" bestFit="1" customWidth="1"/>
    <col min="4622" max="4622" width="37.88671875" style="1" customWidth="1"/>
    <col min="4623" max="4623" width="16.33203125" style="1" bestFit="1" customWidth="1"/>
    <col min="4624" max="4624" width="15" style="1" bestFit="1" customWidth="1"/>
    <col min="4625" max="4625" width="11.33203125" style="1" bestFit="1" customWidth="1"/>
    <col min="4626" max="4626" width="11.88671875" style="1" bestFit="1" customWidth="1"/>
    <col min="4627" max="4627" width="14.109375" style="1" customWidth="1"/>
    <col min="4628" max="4628" width="7.6640625" style="1" bestFit="1" customWidth="1"/>
    <col min="4629" max="4629" width="8.88671875" style="1" bestFit="1" customWidth="1"/>
    <col min="4630" max="4630" width="10.109375" style="1" bestFit="1" customWidth="1"/>
    <col min="4631" max="4631" width="6.6640625" style="1" customWidth="1"/>
    <col min="4632" max="4632" width="14.88671875" style="1" customWidth="1"/>
    <col min="4633" max="4633" width="16.33203125" style="1" customWidth="1"/>
    <col min="4634" max="4634" width="14.109375" style="1" customWidth="1"/>
    <col min="4635" max="4635" width="12.5546875" style="1" bestFit="1" customWidth="1"/>
    <col min="4636" max="4637" width="10.6640625" style="1" bestFit="1" customWidth="1"/>
    <col min="4638" max="4867" width="9.109375" style="1"/>
    <col min="4868" max="4868" width="12.33203125" style="1" customWidth="1"/>
    <col min="4869" max="4869" width="5.109375" style="1" bestFit="1" customWidth="1"/>
    <col min="4870" max="4870" width="14.109375" style="1" bestFit="1" customWidth="1"/>
    <col min="4871" max="4871" width="10.88671875" style="1" customWidth="1"/>
    <col min="4872" max="4872" width="14.109375" style="1" bestFit="1" customWidth="1"/>
    <col min="4873" max="4873" width="12.88671875" style="1" bestFit="1" customWidth="1"/>
    <col min="4874" max="4874" width="5" style="1" bestFit="1" customWidth="1"/>
    <col min="4875" max="4875" width="8.33203125" style="1" bestFit="1" customWidth="1"/>
    <col min="4876" max="4876" width="7.33203125" style="1" bestFit="1" customWidth="1"/>
    <col min="4877" max="4877" width="13.109375" style="1" bestFit="1" customWidth="1"/>
    <col min="4878" max="4878" width="37.88671875" style="1" customWidth="1"/>
    <col min="4879" max="4879" width="16.33203125" style="1" bestFit="1" customWidth="1"/>
    <col min="4880" max="4880" width="15" style="1" bestFit="1" customWidth="1"/>
    <col min="4881" max="4881" width="11.33203125" style="1" bestFit="1" customWidth="1"/>
    <col min="4882" max="4882" width="11.88671875" style="1" bestFit="1" customWidth="1"/>
    <col min="4883" max="4883" width="14.109375" style="1" customWidth="1"/>
    <col min="4884" max="4884" width="7.6640625" style="1" bestFit="1" customWidth="1"/>
    <col min="4885" max="4885" width="8.88671875" style="1" bestFit="1" customWidth="1"/>
    <col min="4886" max="4886" width="10.109375" style="1" bestFit="1" customWidth="1"/>
    <col min="4887" max="4887" width="6.6640625" style="1" customWidth="1"/>
    <col min="4888" max="4888" width="14.88671875" style="1" customWidth="1"/>
    <col min="4889" max="4889" width="16.33203125" style="1" customWidth="1"/>
    <col min="4890" max="4890" width="14.109375" style="1" customWidth="1"/>
    <col min="4891" max="4891" width="12.5546875" style="1" bestFit="1" customWidth="1"/>
    <col min="4892" max="4893" width="10.6640625" style="1" bestFit="1" customWidth="1"/>
    <col min="4894" max="5123" width="9.109375" style="1"/>
    <col min="5124" max="5124" width="12.33203125" style="1" customWidth="1"/>
    <col min="5125" max="5125" width="5.109375" style="1" bestFit="1" customWidth="1"/>
    <col min="5126" max="5126" width="14.109375" style="1" bestFit="1" customWidth="1"/>
    <col min="5127" max="5127" width="10.88671875" style="1" customWidth="1"/>
    <col min="5128" max="5128" width="14.109375" style="1" bestFit="1" customWidth="1"/>
    <col min="5129" max="5129" width="12.88671875" style="1" bestFit="1" customWidth="1"/>
    <col min="5130" max="5130" width="5" style="1" bestFit="1" customWidth="1"/>
    <col min="5131" max="5131" width="8.33203125" style="1" bestFit="1" customWidth="1"/>
    <col min="5132" max="5132" width="7.33203125" style="1" bestFit="1" customWidth="1"/>
    <col min="5133" max="5133" width="13.109375" style="1" bestFit="1" customWidth="1"/>
    <col min="5134" max="5134" width="37.88671875" style="1" customWidth="1"/>
    <col min="5135" max="5135" width="16.33203125" style="1" bestFit="1" customWidth="1"/>
    <col min="5136" max="5136" width="15" style="1" bestFit="1" customWidth="1"/>
    <col min="5137" max="5137" width="11.33203125" style="1" bestFit="1" customWidth="1"/>
    <col min="5138" max="5138" width="11.88671875" style="1" bestFit="1" customWidth="1"/>
    <col min="5139" max="5139" width="14.109375" style="1" customWidth="1"/>
    <col min="5140" max="5140" width="7.6640625" style="1" bestFit="1" customWidth="1"/>
    <col min="5141" max="5141" width="8.88671875" style="1" bestFit="1" customWidth="1"/>
    <col min="5142" max="5142" width="10.109375" style="1" bestFit="1" customWidth="1"/>
    <col min="5143" max="5143" width="6.6640625" style="1" customWidth="1"/>
    <col min="5144" max="5144" width="14.88671875" style="1" customWidth="1"/>
    <col min="5145" max="5145" width="16.33203125" style="1" customWidth="1"/>
    <col min="5146" max="5146" width="14.109375" style="1" customWidth="1"/>
    <col min="5147" max="5147" width="12.5546875" style="1" bestFit="1" customWidth="1"/>
    <col min="5148" max="5149" width="10.6640625" style="1" bestFit="1" customWidth="1"/>
    <col min="5150" max="5379" width="9.109375" style="1"/>
    <col min="5380" max="5380" width="12.33203125" style="1" customWidth="1"/>
    <col min="5381" max="5381" width="5.109375" style="1" bestFit="1" customWidth="1"/>
    <col min="5382" max="5382" width="14.109375" style="1" bestFit="1" customWidth="1"/>
    <col min="5383" max="5383" width="10.88671875" style="1" customWidth="1"/>
    <col min="5384" max="5384" width="14.109375" style="1" bestFit="1" customWidth="1"/>
    <col min="5385" max="5385" width="12.88671875" style="1" bestFit="1" customWidth="1"/>
    <col min="5386" max="5386" width="5" style="1" bestFit="1" customWidth="1"/>
    <col min="5387" max="5387" width="8.33203125" style="1" bestFit="1" customWidth="1"/>
    <col min="5388" max="5388" width="7.33203125" style="1" bestFit="1" customWidth="1"/>
    <col min="5389" max="5389" width="13.109375" style="1" bestFit="1" customWidth="1"/>
    <col min="5390" max="5390" width="37.88671875" style="1" customWidth="1"/>
    <col min="5391" max="5391" width="16.33203125" style="1" bestFit="1" customWidth="1"/>
    <col min="5392" max="5392" width="15" style="1" bestFit="1" customWidth="1"/>
    <col min="5393" max="5393" width="11.33203125" style="1" bestFit="1" customWidth="1"/>
    <col min="5394" max="5394" width="11.88671875" style="1" bestFit="1" customWidth="1"/>
    <col min="5395" max="5395" width="14.109375" style="1" customWidth="1"/>
    <col min="5396" max="5396" width="7.6640625" style="1" bestFit="1" customWidth="1"/>
    <col min="5397" max="5397" width="8.88671875" style="1" bestFit="1" customWidth="1"/>
    <col min="5398" max="5398" width="10.109375" style="1" bestFit="1" customWidth="1"/>
    <col min="5399" max="5399" width="6.6640625" style="1" customWidth="1"/>
    <col min="5400" max="5400" width="14.88671875" style="1" customWidth="1"/>
    <col min="5401" max="5401" width="16.33203125" style="1" customWidth="1"/>
    <col min="5402" max="5402" width="14.109375" style="1" customWidth="1"/>
    <col min="5403" max="5403" width="12.5546875" style="1" bestFit="1" customWidth="1"/>
    <col min="5404" max="5405" width="10.6640625" style="1" bestFit="1" customWidth="1"/>
    <col min="5406" max="5635" width="9.109375" style="1"/>
    <col min="5636" max="5636" width="12.33203125" style="1" customWidth="1"/>
    <col min="5637" max="5637" width="5.109375" style="1" bestFit="1" customWidth="1"/>
    <col min="5638" max="5638" width="14.109375" style="1" bestFit="1" customWidth="1"/>
    <col min="5639" max="5639" width="10.88671875" style="1" customWidth="1"/>
    <col min="5640" max="5640" width="14.109375" style="1" bestFit="1" customWidth="1"/>
    <col min="5641" max="5641" width="12.88671875" style="1" bestFit="1" customWidth="1"/>
    <col min="5642" max="5642" width="5" style="1" bestFit="1" customWidth="1"/>
    <col min="5643" max="5643" width="8.33203125" style="1" bestFit="1" customWidth="1"/>
    <col min="5644" max="5644" width="7.33203125" style="1" bestFit="1" customWidth="1"/>
    <col min="5645" max="5645" width="13.109375" style="1" bestFit="1" customWidth="1"/>
    <col min="5646" max="5646" width="37.88671875" style="1" customWidth="1"/>
    <col min="5647" max="5647" width="16.33203125" style="1" bestFit="1" customWidth="1"/>
    <col min="5648" max="5648" width="15" style="1" bestFit="1" customWidth="1"/>
    <col min="5649" max="5649" width="11.33203125" style="1" bestFit="1" customWidth="1"/>
    <col min="5650" max="5650" width="11.88671875" style="1" bestFit="1" customWidth="1"/>
    <col min="5651" max="5651" width="14.109375" style="1" customWidth="1"/>
    <col min="5652" max="5652" width="7.6640625" style="1" bestFit="1" customWidth="1"/>
    <col min="5653" max="5653" width="8.88671875" style="1" bestFit="1" customWidth="1"/>
    <col min="5654" max="5654" width="10.109375" style="1" bestFit="1" customWidth="1"/>
    <col min="5655" max="5655" width="6.6640625" style="1" customWidth="1"/>
    <col min="5656" max="5656" width="14.88671875" style="1" customWidth="1"/>
    <col min="5657" max="5657" width="16.33203125" style="1" customWidth="1"/>
    <col min="5658" max="5658" width="14.109375" style="1" customWidth="1"/>
    <col min="5659" max="5659" width="12.5546875" style="1" bestFit="1" customWidth="1"/>
    <col min="5660" max="5661" width="10.6640625" style="1" bestFit="1" customWidth="1"/>
    <col min="5662" max="5891" width="9.109375" style="1"/>
    <col min="5892" max="5892" width="12.33203125" style="1" customWidth="1"/>
    <col min="5893" max="5893" width="5.109375" style="1" bestFit="1" customWidth="1"/>
    <col min="5894" max="5894" width="14.109375" style="1" bestFit="1" customWidth="1"/>
    <col min="5895" max="5895" width="10.88671875" style="1" customWidth="1"/>
    <col min="5896" max="5896" width="14.109375" style="1" bestFit="1" customWidth="1"/>
    <col min="5897" max="5897" width="12.88671875" style="1" bestFit="1" customWidth="1"/>
    <col min="5898" max="5898" width="5" style="1" bestFit="1" customWidth="1"/>
    <col min="5899" max="5899" width="8.33203125" style="1" bestFit="1" customWidth="1"/>
    <col min="5900" max="5900" width="7.33203125" style="1" bestFit="1" customWidth="1"/>
    <col min="5901" max="5901" width="13.109375" style="1" bestFit="1" customWidth="1"/>
    <col min="5902" max="5902" width="37.88671875" style="1" customWidth="1"/>
    <col min="5903" max="5903" width="16.33203125" style="1" bestFit="1" customWidth="1"/>
    <col min="5904" max="5904" width="15" style="1" bestFit="1" customWidth="1"/>
    <col min="5905" max="5905" width="11.33203125" style="1" bestFit="1" customWidth="1"/>
    <col min="5906" max="5906" width="11.88671875" style="1" bestFit="1" customWidth="1"/>
    <col min="5907" max="5907" width="14.109375" style="1" customWidth="1"/>
    <col min="5908" max="5908" width="7.6640625" style="1" bestFit="1" customWidth="1"/>
    <col min="5909" max="5909" width="8.88671875" style="1" bestFit="1" customWidth="1"/>
    <col min="5910" max="5910" width="10.109375" style="1" bestFit="1" customWidth="1"/>
    <col min="5911" max="5911" width="6.6640625" style="1" customWidth="1"/>
    <col min="5912" max="5912" width="14.88671875" style="1" customWidth="1"/>
    <col min="5913" max="5913" width="16.33203125" style="1" customWidth="1"/>
    <col min="5914" max="5914" width="14.109375" style="1" customWidth="1"/>
    <col min="5915" max="5915" width="12.5546875" style="1" bestFit="1" customWidth="1"/>
    <col min="5916" max="5917" width="10.6640625" style="1" bestFit="1" customWidth="1"/>
    <col min="5918" max="6147" width="9.109375" style="1"/>
    <col min="6148" max="6148" width="12.33203125" style="1" customWidth="1"/>
    <col min="6149" max="6149" width="5.109375" style="1" bestFit="1" customWidth="1"/>
    <col min="6150" max="6150" width="14.109375" style="1" bestFit="1" customWidth="1"/>
    <col min="6151" max="6151" width="10.88671875" style="1" customWidth="1"/>
    <col min="6152" max="6152" width="14.109375" style="1" bestFit="1" customWidth="1"/>
    <col min="6153" max="6153" width="12.88671875" style="1" bestFit="1" customWidth="1"/>
    <col min="6154" max="6154" width="5" style="1" bestFit="1" customWidth="1"/>
    <col min="6155" max="6155" width="8.33203125" style="1" bestFit="1" customWidth="1"/>
    <col min="6156" max="6156" width="7.33203125" style="1" bestFit="1" customWidth="1"/>
    <col min="6157" max="6157" width="13.109375" style="1" bestFit="1" customWidth="1"/>
    <col min="6158" max="6158" width="37.88671875" style="1" customWidth="1"/>
    <col min="6159" max="6159" width="16.33203125" style="1" bestFit="1" customWidth="1"/>
    <col min="6160" max="6160" width="15" style="1" bestFit="1" customWidth="1"/>
    <col min="6161" max="6161" width="11.33203125" style="1" bestFit="1" customWidth="1"/>
    <col min="6162" max="6162" width="11.88671875" style="1" bestFit="1" customWidth="1"/>
    <col min="6163" max="6163" width="14.109375" style="1" customWidth="1"/>
    <col min="6164" max="6164" width="7.6640625" style="1" bestFit="1" customWidth="1"/>
    <col min="6165" max="6165" width="8.88671875" style="1" bestFit="1" customWidth="1"/>
    <col min="6166" max="6166" width="10.109375" style="1" bestFit="1" customWidth="1"/>
    <col min="6167" max="6167" width="6.6640625" style="1" customWidth="1"/>
    <col min="6168" max="6168" width="14.88671875" style="1" customWidth="1"/>
    <col min="6169" max="6169" width="16.33203125" style="1" customWidth="1"/>
    <col min="6170" max="6170" width="14.109375" style="1" customWidth="1"/>
    <col min="6171" max="6171" width="12.5546875" style="1" bestFit="1" customWidth="1"/>
    <col min="6172" max="6173" width="10.6640625" style="1" bestFit="1" customWidth="1"/>
    <col min="6174" max="6403" width="9.109375" style="1"/>
    <col min="6404" max="6404" width="12.33203125" style="1" customWidth="1"/>
    <col min="6405" max="6405" width="5.109375" style="1" bestFit="1" customWidth="1"/>
    <col min="6406" max="6406" width="14.109375" style="1" bestFit="1" customWidth="1"/>
    <col min="6407" max="6407" width="10.88671875" style="1" customWidth="1"/>
    <col min="6408" max="6408" width="14.109375" style="1" bestFit="1" customWidth="1"/>
    <col min="6409" max="6409" width="12.88671875" style="1" bestFit="1" customWidth="1"/>
    <col min="6410" max="6410" width="5" style="1" bestFit="1" customWidth="1"/>
    <col min="6411" max="6411" width="8.33203125" style="1" bestFit="1" customWidth="1"/>
    <col min="6412" max="6412" width="7.33203125" style="1" bestFit="1" customWidth="1"/>
    <col min="6413" max="6413" width="13.109375" style="1" bestFit="1" customWidth="1"/>
    <col min="6414" max="6414" width="37.88671875" style="1" customWidth="1"/>
    <col min="6415" max="6415" width="16.33203125" style="1" bestFit="1" customWidth="1"/>
    <col min="6416" max="6416" width="15" style="1" bestFit="1" customWidth="1"/>
    <col min="6417" max="6417" width="11.33203125" style="1" bestFit="1" customWidth="1"/>
    <col min="6418" max="6418" width="11.88671875" style="1" bestFit="1" customWidth="1"/>
    <col min="6419" max="6419" width="14.109375" style="1" customWidth="1"/>
    <col min="6420" max="6420" width="7.6640625" style="1" bestFit="1" customWidth="1"/>
    <col min="6421" max="6421" width="8.88671875" style="1" bestFit="1" customWidth="1"/>
    <col min="6422" max="6422" width="10.109375" style="1" bestFit="1" customWidth="1"/>
    <col min="6423" max="6423" width="6.6640625" style="1" customWidth="1"/>
    <col min="6424" max="6424" width="14.88671875" style="1" customWidth="1"/>
    <col min="6425" max="6425" width="16.33203125" style="1" customWidth="1"/>
    <col min="6426" max="6426" width="14.109375" style="1" customWidth="1"/>
    <col min="6427" max="6427" width="12.5546875" style="1" bestFit="1" customWidth="1"/>
    <col min="6428" max="6429" width="10.6640625" style="1" bestFit="1" customWidth="1"/>
    <col min="6430" max="6659" width="9.109375" style="1"/>
    <col min="6660" max="6660" width="12.33203125" style="1" customWidth="1"/>
    <col min="6661" max="6661" width="5.109375" style="1" bestFit="1" customWidth="1"/>
    <col min="6662" max="6662" width="14.109375" style="1" bestFit="1" customWidth="1"/>
    <col min="6663" max="6663" width="10.88671875" style="1" customWidth="1"/>
    <col min="6664" max="6664" width="14.109375" style="1" bestFit="1" customWidth="1"/>
    <col min="6665" max="6665" width="12.88671875" style="1" bestFit="1" customWidth="1"/>
    <col min="6666" max="6666" width="5" style="1" bestFit="1" customWidth="1"/>
    <col min="6667" max="6667" width="8.33203125" style="1" bestFit="1" customWidth="1"/>
    <col min="6668" max="6668" width="7.33203125" style="1" bestFit="1" customWidth="1"/>
    <col min="6669" max="6669" width="13.109375" style="1" bestFit="1" customWidth="1"/>
    <col min="6670" max="6670" width="37.88671875" style="1" customWidth="1"/>
    <col min="6671" max="6671" width="16.33203125" style="1" bestFit="1" customWidth="1"/>
    <col min="6672" max="6672" width="15" style="1" bestFit="1" customWidth="1"/>
    <col min="6673" max="6673" width="11.33203125" style="1" bestFit="1" customWidth="1"/>
    <col min="6674" max="6674" width="11.88671875" style="1" bestFit="1" customWidth="1"/>
    <col min="6675" max="6675" width="14.109375" style="1" customWidth="1"/>
    <col min="6676" max="6676" width="7.6640625" style="1" bestFit="1" customWidth="1"/>
    <col min="6677" max="6677" width="8.88671875" style="1" bestFit="1" customWidth="1"/>
    <col min="6678" max="6678" width="10.109375" style="1" bestFit="1" customWidth="1"/>
    <col min="6679" max="6679" width="6.6640625" style="1" customWidth="1"/>
    <col min="6680" max="6680" width="14.88671875" style="1" customWidth="1"/>
    <col min="6681" max="6681" width="16.33203125" style="1" customWidth="1"/>
    <col min="6682" max="6682" width="14.109375" style="1" customWidth="1"/>
    <col min="6683" max="6683" width="12.5546875" style="1" bestFit="1" customWidth="1"/>
    <col min="6684" max="6685" width="10.6640625" style="1" bestFit="1" customWidth="1"/>
    <col min="6686" max="6915" width="9.109375" style="1"/>
    <col min="6916" max="6916" width="12.33203125" style="1" customWidth="1"/>
    <col min="6917" max="6917" width="5.109375" style="1" bestFit="1" customWidth="1"/>
    <col min="6918" max="6918" width="14.109375" style="1" bestFit="1" customWidth="1"/>
    <col min="6919" max="6919" width="10.88671875" style="1" customWidth="1"/>
    <col min="6920" max="6920" width="14.109375" style="1" bestFit="1" customWidth="1"/>
    <col min="6921" max="6921" width="12.88671875" style="1" bestFit="1" customWidth="1"/>
    <col min="6922" max="6922" width="5" style="1" bestFit="1" customWidth="1"/>
    <col min="6923" max="6923" width="8.33203125" style="1" bestFit="1" customWidth="1"/>
    <col min="6924" max="6924" width="7.33203125" style="1" bestFit="1" customWidth="1"/>
    <col min="6925" max="6925" width="13.109375" style="1" bestFit="1" customWidth="1"/>
    <col min="6926" max="6926" width="37.88671875" style="1" customWidth="1"/>
    <col min="6927" max="6927" width="16.33203125" style="1" bestFit="1" customWidth="1"/>
    <col min="6928" max="6928" width="15" style="1" bestFit="1" customWidth="1"/>
    <col min="6929" max="6929" width="11.33203125" style="1" bestFit="1" customWidth="1"/>
    <col min="6930" max="6930" width="11.88671875" style="1" bestFit="1" customWidth="1"/>
    <col min="6931" max="6931" width="14.109375" style="1" customWidth="1"/>
    <col min="6932" max="6932" width="7.6640625" style="1" bestFit="1" customWidth="1"/>
    <col min="6933" max="6933" width="8.88671875" style="1" bestFit="1" customWidth="1"/>
    <col min="6934" max="6934" width="10.109375" style="1" bestFit="1" customWidth="1"/>
    <col min="6935" max="6935" width="6.6640625" style="1" customWidth="1"/>
    <col min="6936" max="6936" width="14.88671875" style="1" customWidth="1"/>
    <col min="6937" max="6937" width="16.33203125" style="1" customWidth="1"/>
    <col min="6938" max="6938" width="14.109375" style="1" customWidth="1"/>
    <col min="6939" max="6939" width="12.5546875" style="1" bestFit="1" customWidth="1"/>
    <col min="6940" max="6941" width="10.6640625" style="1" bestFit="1" customWidth="1"/>
    <col min="6942" max="7171" width="9.109375" style="1"/>
    <col min="7172" max="7172" width="12.33203125" style="1" customWidth="1"/>
    <col min="7173" max="7173" width="5.109375" style="1" bestFit="1" customWidth="1"/>
    <col min="7174" max="7174" width="14.109375" style="1" bestFit="1" customWidth="1"/>
    <col min="7175" max="7175" width="10.88671875" style="1" customWidth="1"/>
    <col min="7176" max="7176" width="14.109375" style="1" bestFit="1" customWidth="1"/>
    <col min="7177" max="7177" width="12.88671875" style="1" bestFit="1" customWidth="1"/>
    <col min="7178" max="7178" width="5" style="1" bestFit="1" customWidth="1"/>
    <col min="7179" max="7179" width="8.33203125" style="1" bestFit="1" customWidth="1"/>
    <col min="7180" max="7180" width="7.33203125" style="1" bestFit="1" customWidth="1"/>
    <col min="7181" max="7181" width="13.109375" style="1" bestFit="1" customWidth="1"/>
    <col min="7182" max="7182" width="37.88671875" style="1" customWidth="1"/>
    <col min="7183" max="7183" width="16.33203125" style="1" bestFit="1" customWidth="1"/>
    <col min="7184" max="7184" width="15" style="1" bestFit="1" customWidth="1"/>
    <col min="7185" max="7185" width="11.33203125" style="1" bestFit="1" customWidth="1"/>
    <col min="7186" max="7186" width="11.88671875" style="1" bestFit="1" customWidth="1"/>
    <col min="7187" max="7187" width="14.109375" style="1" customWidth="1"/>
    <col min="7188" max="7188" width="7.6640625" style="1" bestFit="1" customWidth="1"/>
    <col min="7189" max="7189" width="8.88671875" style="1" bestFit="1" customWidth="1"/>
    <col min="7190" max="7190" width="10.109375" style="1" bestFit="1" customWidth="1"/>
    <col min="7191" max="7191" width="6.6640625" style="1" customWidth="1"/>
    <col min="7192" max="7192" width="14.88671875" style="1" customWidth="1"/>
    <col min="7193" max="7193" width="16.33203125" style="1" customWidth="1"/>
    <col min="7194" max="7194" width="14.109375" style="1" customWidth="1"/>
    <col min="7195" max="7195" width="12.5546875" style="1" bestFit="1" customWidth="1"/>
    <col min="7196" max="7197" width="10.6640625" style="1" bestFit="1" customWidth="1"/>
    <col min="7198" max="7427" width="9.109375" style="1"/>
    <col min="7428" max="7428" width="12.33203125" style="1" customWidth="1"/>
    <col min="7429" max="7429" width="5.109375" style="1" bestFit="1" customWidth="1"/>
    <col min="7430" max="7430" width="14.109375" style="1" bestFit="1" customWidth="1"/>
    <col min="7431" max="7431" width="10.88671875" style="1" customWidth="1"/>
    <col min="7432" max="7432" width="14.109375" style="1" bestFit="1" customWidth="1"/>
    <col min="7433" max="7433" width="12.88671875" style="1" bestFit="1" customWidth="1"/>
    <col min="7434" max="7434" width="5" style="1" bestFit="1" customWidth="1"/>
    <col min="7435" max="7435" width="8.33203125" style="1" bestFit="1" customWidth="1"/>
    <col min="7436" max="7436" width="7.33203125" style="1" bestFit="1" customWidth="1"/>
    <col min="7437" max="7437" width="13.109375" style="1" bestFit="1" customWidth="1"/>
    <col min="7438" max="7438" width="37.88671875" style="1" customWidth="1"/>
    <col min="7439" max="7439" width="16.33203125" style="1" bestFit="1" customWidth="1"/>
    <col min="7440" max="7440" width="15" style="1" bestFit="1" customWidth="1"/>
    <col min="7441" max="7441" width="11.33203125" style="1" bestFit="1" customWidth="1"/>
    <col min="7442" max="7442" width="11.88671875" style="1" bestFit="1" customWidth="1"/>
    <col min="7443" max="7443" width="14.109375" style="1" customWidth="1"/>
    <col min="7444" max="7444" width="7.6640625" style="1" bestFit="1" customWidth="1"/>
    <col min="7445" max="7445" width="8.88671875" style="1" bestFit="1" customWidth="1"/>
    <col min="7446" max="7446" width="10.109375" style="1" bestFit="1" customWidth="1"/>
    <col min="7447" max="7447" width="6.6640625" style="1" customWidth="1"/>
    <col min="7448" max="7448" width="14.88671875" style="1" customWidth="1"/>
    <col min="7449" max="7449" width="16.33203125" style="1" customWidth="1"/>
    <col min="7450" max="7450" width="14.109375" style="1" customWidth="1"/>
    <col min="7451" max="7451" width="12.5546875" style="1" bestFit="1" customWidth="1"/>
    <col min="7452" max="7453" width="10.6640625" style="1" bestFit="1" customWidth="1"/>
    <col min="7454" max="7683" width="9.109375" style="1"/>
    <col min="7684" max="7684" width="12.33203125" style="1" customWidth="1"/>
    <col min="7685" max="7685" width="5.109375" style="1" bestFit="1" customWidth="1"/>
    <col min="7686" max="7686" width="14.109375" style="1" bestFit="1" customWidth="1"/>
    <col min="7687" max="7687" width="10.88671875" style="1" customWidth="1"/>
    <col min="7688" max="7688" width="14.109375" style="1" bestFit="1" customWidth="1"/>
    <col min="7689" max="7689" width="12.88671875" style="1" bestFit="1" customWidth="1"/>
    <col min="7690" max="7690" width="5" style="1" bestFit="1" customWidth="1"/>
    <col min="7691" max="7691" width="8.33203125" style="1" bestFit="1" customWidth="1"/>
    <col min="7692" max="7692" width="7.33203125" style="1" bestFit="1" customWidth="1"/>
    <col min="7693" max="7693" width="13.109375" style="1" bestFit="1" customWidth="1"/>
    <col min="7694" max="7694" width="37.88671875" style="1" customWidth="1"/>
    <col min="7695" max="7695" width="16.33203125" style="1" bestFit="1" customWidth="1"/>
    <col min="7696" max="7696" width="15" style="1" bestFit="1" customWidth="1"/>
    <col min="7697" max="7697" width="11.33203125" style="1" bestFit="1" customWidth="1"/>
    <col min="7698" max="7698" width="11.88671875" style="1" bestFit="1" customWidth="1"/>
    <col min="7699" max="7699" width="14.109375" style="1" customWidth="1"/>
    <col min="7700" max="7700" width="7.6640625" style="1" bestFit="1" customWidth="1"/>
    <col min="7701" max="7701" width="8.88671875" style="1" bestFit="1" customWidth="1"/>
    <col min="7702" max="7702" width="10.109375" style="1" bestFit="1" customWidth="1"/>
    <col min="7703" max="7703" width="6.6640625" style="1" customWidth="1"/>
    <col min="7704" max="7704" width="14.88671875" style="1" customWidth="1"/>
    <col min="7705" max="7705" width="16.33203125" style="1" customWidth="1"/>
    <col min="7706" max="7706" width="14.109375" style="1" customWidth="1"/>
    <col min="7707" max="7707" width="12.5546875" style="1" bestFit="1" customWidth="1"/>
    <col min="7708" max="7709" width="10.6640625" style="1" bestFit="1" customWidth="1"/>
    <col min="7710" max="7939" width="9.109375" style="1"/>
    <col min="7940" max="7940" width="12.33203125" style="1" customWidth="1"/>
    <col min="7941" max="7941" width="5.109375" style="1" bestFit="1" customWidth="1"/>
    <col min="7942" max="7942" width="14.109375" style="1" bestFit="1" customWidth="1"/>
    <col min="7943" max="7943" width="10.88671875" style="1" customWidth="1"/>
    <col min="7944" max="7944" width="14.109375" style="1" bestFit="1" customWidth="1"/>
    <col min="7945" max="7945" width="12.88671875" style="1" bestFit="1" customWidth="1"/>
    <col min="7946" max="7946" width="5" style="1" bestFit="1" customWidth="1"/>
    <col min="7947" max="7947" width="8.33203125" style="1" bestFit="1" customWidth="1"/>
    <col min="7948" max="7948" width="7.33203125" style="1" bestFit="1" customWidth="1"/>
    <col min="7949" max="7949" width="13.109375" style="1" bestFit="1" customWidth="1"/>
    <col min="7950" max="7950" width="37.88671875" style="1" customWidth="1"/>
    <col min="7951" max="7951" width="16.33203125" style="1" bestFit="1" customWidth="1"/>
    <col min="7952" max="7952" width="15" style="1" bestFit="1" customWidth="1"/>
    <col min="7953" max="7953" width="11.33203125" style="1" bestFit="1" customWidth="1"/>
    <col min="7954" max="7954" width="11.88671875" style="1" bestFit="1" customWidth="1"/>
    <col min="7955" max="7955" width="14.109375" style="1" customWidth="1"/>
    <col min="7956" max="7956" width="7.6640625" style="1" bestFit="1" customWidth="1"/>
    <col min="7957" max="7957" width="8.88671875" style="1" bestFit="1" customWidth="1"/>
    <col min="7958" max="7958" width="10.109375" style="1" bestFit="1" customWidth="1"/>
    <col min="7959" max="7959" width="6.6640625" style="1" customWidth="1"/>
    <col min="7960" max="7960" width="14.88671875" style="1" customWidth="1"/>
    <col min="7961" max="7961" width="16.33203125" style="1" customWidth="1"/>
    <col min="7962" max="7962" width="14.109375" style="1" customWidth="1"/>
    <col min="7963" max="7963" width="12.5546875" style="1" bestFit="1" customWidth="1"/>
    <col min="7964" max="7965" width="10.6640625" style="1" bestFit="1" customWidth="1"/>
    <col min="7966" max="8195" width="9.109375" style="1"/>
    <col min="8196" max="8196" width="12.33203125" style="1" customWidth="1"/>
    <col min="8197" max="8197" width="5.109375" style="1" bestFit="1" customWidth="1"/>
    <col min="8198" max="8198" width="14.109375" style="1" bestFit="1" customWidth="1"/>
    <col min="8199" max="8199" width="10.88671875" style="1" customWidth="1"/>
    <col min="8200" max="8200" width="14.109375" style="1" bestFit="1" customWidth="1"/>
    <col min="8201" max="8201" width="12.88671875" style="1" bestFit="1" customWidth="1"/>
    <col min="8202" max="8202" width="5" style="1" bestFit="1" customWidth="1"/>
    <col min="8203" max="8203" width="8.33203125" style="1" bestFit="1" customWidth="1"/>
    <col min="8204" max="8204" width="7.33203125" style="1" bestFit="1" customWidth="1"/>
    <col min="8205" max="8205" width="13.109375" style="1" bestFit="1" customWidth="1"/>
    <col min="8206" max="8206" width="37.88671875" style="1" customWidth="1"/>
    <col min="8207" max="8207" width="16.33203125" style="1" bestFit="1" customWidth="1"/>
    <col min="8208" max="8208" width="15" style="1" bestFit="1" customWidth="1"/>
    <col min="8209" max="8209" width="11.33203125" style="1" bestFit="1" customWidth="1"/>
    <col min="8210" max="8210" width="11.88671875" style="1" bestFit="1" customWidth="1"/>
    <col min="8211" max="8211" width="14.109375" style="1" customWidth="1"/>
    <col min="8212" max="8212" width="7.6640625" style="1" bestFit="1" customWidth="1"/>
    <col min="8213" max="8213" width="8.88671875" style="1" bestFit="1" customWidth="1"/>
    <col min="8214" max="8214" width="10.109375" style="1" bestFit="1" customWidth="1"/>
    <col min="8215" max="8215" width="6.6640625" style="1" customWidth="1"/>
    <col min="8216" max="8216" width="14.88671875" style="1" customWidth="1"/>
    <col min="8217" max="8217" width="16.33203125" style="1" customWidth="1"/>
    <col min="8218" max="8218" width="14.109375" style="1" customWidth="1"/>
    <col min="8219" max="8219" width="12.5546875" style="1" bestFit="1" customWidth="1"/>
    <col min="8220" max="8221" width="10.6640625" style="1" bestFit="1" customWidth="1"/>
    <col min="8222" max="8451" width="9.109375" style="1"/>
    <col min="8452" max="8452" width="12.33203125" style="1" customWidth="1"/>
    <col min="8453" max="8453" width="5.109375" style="1" bestFit="1" customWidth="1"/>
    <col min="8454" max="8454" width="14.109375" style="1" bestFit="1" customWidth="1"/>
    <col min="8455" max="8455" width="10.88671875" style="1" customWidth="1"/>
    <col min="8456" max="8456" width="14.109375" style="1" bestFit="1" customWidth="1"/>
    <col min="8457" max="8457" width="12.88671875" style="1" bestFit="1" customWidth="1"/>
    <col min="8458" max="8458" width="5" style="1" bestFit="1" customWidth="1"/>
    <col min="8459" max="8459" width="8.33203125" style="1" bestFit="1" customWidth="1"/>
    <col min="8460" max="8460" width="7.33203125" style="1" bestFit="1" customWidth="1"/>
    <col min="8461" max="8461" width="13.109375" style="1" bestFit="1" customWidth="1"/>
    <col min="8462" max="8462" width="37.88671875" style="1" customWidth="1"/>
    <col min="8463" max="8463" width="16.33203125" style="1" bestFit="1" customWidth="1"/>
    <col min="8464" max="8464" width="15" style="1" bestFit="1" customWidth="1"/>
    <col min="8465" max="8465" width="11.33203125" style="1" bestFit="1" customWidth="1"/>
    <col min="8466" max="8466" width="11.88671875" style="1" bestFit="1" customWidth="1"/>
    <col min="8467" max="8467" width="14.109375" style="1" customWidth="1"/>
    <col min="8468" max="8468" width="7.6640625" style="1" bestFit="1" customWidth="1"/>
    <col min="8469" max="8469" width="8.88671875" style="1" bestFit="1" customWidth="1"/>
    <col min="8470" max="8470" width="10.109375" style="1" bestFit="1" customWidth="1"/>
    <col min="8471" max="8471" width="6.6640625" style="1" customWidth="1"/>
    <col min="8472" max="8472" width="14.88671875" style="1" customWidth="1"/>
    <col min="8473" max="8473" width="16.33203125" style="1" customWidth="1"/>
    <col min="8474" max="8474" width="14.109375" style="1" customWidth="1"/>
    <col min="8475" max="8475" width="12.5546875" style="1" bestFit="1" customWidth="1"/>
    <col min="8476" max="8477" width="10.6640625" style="1" bestFit="1" customWidth="1"/>
    <col min="8478" max="8707" width="9.109375" style="1"/>
    <col min="8708" max="8708" width="12.33203125" style="1" customWidth="1"/>
    <col min="8709" max="8709" width="5.109375" style="1" bestFit="1" customWidth="1"/>
    <col min="8710" max="8710" width="14.109375" style="1" bestFit="1" customWidth="1"/>
    <col min="8711" max="8711" width="10.88671875" style="1" customWidth="1"/>
    <col min="8712" max="8712" width="14.109375" style="1" bestFit="1" customWidth="1"/>
    <col min="8713" max="8713" width="12.88671875" style="1" bestFit="1" customWidth="1"/>
    <col min="8714" max="8714" width="5" style="1" bestFit="1" customWidth="1"/>
    <col min="8715" max="8715" width="8.33203125" style="1" bestFit="1" customWidth="1"/>
    <col min="8716" max="8716" width="7.33203125" style="1" bestFit="1" customWidth="1"/>
    <col min="8717" max="8717" width="13.109375" style="1" bestFit="1" customWidth="1"/>
    <col min="8718" max="8718" width="37.88671875" style="1" customWidth="1"/>
    <col min="8719" max="8719" width="16.33203125" style="1" bestFit="1" customWidth="1"/>
    <col min="8720" max="8720" width="15" style="1" bestFit="1" customWidth="1"/>
    <col min="8721" max="8721" width="11.33203125" style="1" bestFit="1" customWidth="1"/>
    <col min="8722" max="8722" width="11.88671875" style="1" bestFit="1" customWidth="1"/>
    <col min="8723" max="8723" width="14.109375" style="1" customWidth="1"/>
    <col min="8724" max="8724" width="7.6640625" style="1" bestFit="1" customWidth="1"/>
    <col min="8725" max="8725" width="8.88671875" style="1" bestFit="1" customWidth="1"/>
    <col min="8726" max="8726" width="10.109375" style="1" bestFit="1" customWidth="1"/>
    <col min="8727" max="8727" width="6.6640625" style="1" customWidth="1"/>
    <col min="8728" max="8728" width="14.88671875" style="1" customWidth="1"/>
    <col min="8729" max="8729" width="16.33203125" style="1" customWidth="1"/>
    <col min="8730" max="8730" width="14.109375" style="1" customWidth="1"/>
    <col min="8731" max="8731" width="12.5546875" style="1" bestFit="1" customWidth="1"/>
    <col min="8732" max="8733" width="10.6640625" style="1" bestFit="1" customWidth="1"/>
    <col min="8734" max="8963" width="9.109375" style="1"/>
    <col min="8964" max="8964" width="12.33203125" style="1" customWidth="1"/>
    <col min="8965" max="8965" width="5.109375" style="1" bestFit="1" customWidth="1"/>
    <col min="8966" max="8966" width="14.109375" style="1" bestFit="1" customWidth="1"/>
    <col min="8967" max="8967" width="10.88671875" style="1" customWidth="1"/>
    <col min="8968" max="8968" width="14.109375" style="1" bestFit="1" customWidth="1"/>
    <col min="8969" max="8969" width="12.88671875" style="1" bestFit="1" customWidth="1"/>
    <col min="8970" max="8970" width="5" style="1" bestFit="1" customWidth="1"/>
    <col min="8971" max="8971" width="8.33203125" style="1" bestFit="1" customWidth="1"/>
    <col min="8972" max="8972" width="7.33203125" style="1" bestFit="1" customWidth="1"/>
    <col min="8973" max="8973" width="13.109375" style="1" bestFit="1" customWidth="1"/>
    <col min="8974" max="8974" width="37.88671875" style="1" customWidth="1"/>
    <col min="8975" max="8975" width="16.33203125" style="1" bestFit="1" customWidth="1"/>
    <col min="8976" max="8976" width="15" style="1" bestFit="1" customWidth="1"/>
    <col min="8977" max="8977" width="11.33203125" style="1" bestFit="1" customWidth="1"/>
    <col min="8978" max="8978" width="11.88671875" style="1" bestFit="1" customWidth="1"/>
    <col min="8979" max="8979" width="14.109375" style="1" customWidth="1"/>
    <col min="8980" max="8980" width="7.6640625" style="1" bestFit="1" customWidth="1"/>
    <col min="8981" max="8981" width="8.88671875" style="1" bestFit="1" customWidth="1"/>
    <col min="8982" max="8982" width="10.109375" style="1" bestFit="1" customWidth="1"/>
    <col min="8983" max="8983" width="6.6640625" style="1" customWidth="1"/>
    <col min="8984" max="8984" width="14.88671875" style="1" customWidth="1"/>
    <col min="8985" max="8985" width="16.33203125" style="1" customWidth="1"/>
    <col min="8986" max="8986" width="14.109375" style="1" customWidth="1"/>
    <col min="8987" max="8987" width="12.5546875" style="1" bestFit="1" customWidth="1"/>
    <col min="8988" max="8989" width="10.6640625" style="1" bestFit="1" customWidth="1"/>
    <col min="8990" max="9219" width="9.109375" style="1"/>
    <col min="9220" max="9220" width="12.33203125" style="1" customWidth="1"/>
    <col min="9221" max="9221" width="5.109375" style="1" bestFit="1" customWidth="1"/>
    <col min="9222" max="9222" width="14.109375" style="1" bestFit="1" customWidth="1"/>
    <col min="9223" max="9223" width="10.88671875" style="1" customWidth="1"/>
    <col min="9224" max="9224" width="14.109375" style="1" bestFit="1" customWidth="1"/>
    <col min="9225" max="9225" width="12.88671875" style="1" bestFit="1" customWidth="1"/>
    <col min="9226" max="9226" width="5" style="1" bestFit="1" customWidth="1"/>
    <col min="9227" max="9227" width="8.33203125" style="1" bestFit="1" customWidth="1"/>
    <col min="9228" max="9228" width="7.33203125" style="1" bestFit="1" customWidth="1"/>
    <col min="9229" max="9229" width="13.109375" style="1" bestFit="1" customWidth="1"/>
    <col min="9230" max="9230" width="37.88671875" style="1" customWidth="1"/>
    <col min="9231" max="9231" width="16.33203125" style="1" bestFit="1" customWidth="1"/>
    <col min="9232" max="9232" width="15" style="1" bestFit="1" customWidth="1"/>
    <col min="9233" max="9233" width="11.33203125" style="1" bestFit="1" customWidth="1"/>
    <col min="9234" max="9234" width="11.88671875" style="1" bestFit="1" customWidth="1"/>
    <col min="9235" max="9235" width="14.109375" style="1" customWidth="1"/>
    <col min="9236" max="9236" width="7.6640625" style="1" bestFit="1" customWidth="1"/>
    <col min="9237" max="9237" width="8.88671875" style="1" bestFit="1" customWidth="1"/>
    <col min="9238" max="9238" width="10.109375" style="1" bestFit="1" customWidth="1"/>
    <col min="9239" max="9239" width="6.6640625" style="1" customWidth="1"/>
    <col min="9240" max="9240" width="14.88671875" style="1" customWidth="1"/>
    <col min="9241" max="9241" width="16.33203125" style="1" customWidth="1"/>
    <col min="9242" max="9242" width="14.109375" style="1" customWidth="1"/>
    <col min="9243" max="9243" width="12.5546875" style="1" bestFit="1" customWidth="1"/>
    <col min="9244" max="9245" width="10.6640625" style="1" bestFit="1" customWidth="1"/>
    <col min="9246" max="9475" width="9.109375" style="1"/>
    <col min="9476" max="9476" width="12.33203125" style="1" customWidth="1"/>
    <col min="9477" max="9477" width="5.109375" style="1" bestFit="1" customWidth="1"/>
    <col min="9478" max="9478" width="14.109375" style="1" bestFit="1" customWidth="1"/>
    <col min="9479" max="9479" width="10.88671875" style="1" customWidth="1"/>
    <col min="9480" max="9480" width="14.109375" style="1" bestFit="1" customWidth="1"/>
    <col min="9481" max="9481" width="12.88671875" style="1" bestFit="1" customWidth="1"/>
    <col min="9482" max="9482" width="5" style="1" bestFit="1" customWidth="1"/>
    <col min="9483" max="9483" width="8.33203125" style="1" bestFit="1" customWidth="1"/>
    <col min="9484" max="9484" width="7.33203125" style="1" bestFit="1" customWidth="1"/>
    <col min="9485" max="9485" width="13.109375" style="1" bestFit="1" customWidth="1"/>
    <col min="9486" max="9486" width="37.88671875" style="1" customWidth="1"/>
    <col min="9487" max="9487" width="16.33203125" style="1" bestFit="1" customWidth="1"/>
    <col min="9488" max="9488" width="15" style="1" bestFit="1" customWidth="1"/>
    <col min="9489" max="9489" width="11.33203125" style="1" bestFit="1" customWidth="1"/>
    <col min="9490" max="9490" width="11.88671875" style="1" bestFit="1" customWidth="1"/>
    <col min="9491" max="9491" width="14.109375" style="1" customWidth="1"/>
    <col min="9492" max="9492" width="7.6640625" style="1" bestFit="1" customWidth="1"/>
    <col min="9493" max="9493" width="8.88671875" style="1" bestFit="1" customWidth="1"/>
    <col min="9494" max="9494" width="10.109375" style="1" bestFit="1" customWidth="1"/>
    <col min="9495" max="9495" width="6.6640625" style="1" customWidth="1"/>
    <col min="9496" max="9496" width="14.88671875" style="1" customWidth="1"/>
    <col min="9497" max="9497" width="16.33203125" style="1" customWidth="1"/>
    <col min="9498" max="9498" width="14.109375" style="1" customWidth="1"/>
    <col min="9499" max="9499" width="12.5546875" style="1" bestFit="1" customWidth="1"/>
    <col min="9500" max="9501" width="10.6640625" style="1" bestFit="1" customWidth="1"/>
    <col min="9502" max="9731" width="9.109375" style="1"/>
    <col min="9732" max="9732" width="12.33203125" style="1" customWidth="1"/>
    <col min="9733" max="9733" width="5.109375" style="1" bestFit="1" customWidth="1"/>
    <col min="9734" max="9734" width="14.109375" style="1" bestFit="1" customWidth="1"/>
    <col min="9735" max="9735" width="10.88671875" style="1" customWidth="1"/>
    <col min="9736" max="9736" width="14.109375" style="1" bestFit="1" customWidth="1"/>
    <col min="9737" max="9737" width="12.88671875" style="1" bestFit="1" customWidth="1"/>
    <col min="9738" max="9738" width="5" style="1" bestFit="1" customWidth="1"/>
    <col min="9739" max="9739" width="8.33203125" style="1" bestFit="1" customWidth="1"/>
    <col min="9740" max="9740" width="7.33203125" style="1" bestFit="1" customWidth="1"/>
    <col min="9741" max="9741" width="13.109375" style="1" bestFit="1" customWidth="1"/>
    <col min="9742" max="9742" width="37.88671875" style="1" customWidth="1"/>
    <col min="9743" max="9743" width="16.33203125" style="1" bestFit="1" customWidth="1"/>
    <col min="9744" max="9744" width="15" style="1" bestFit="1" customWidth="1"/>
    <col min="9745" max="9745" width="11.33203125" style="1" bestFit="1" customWidth="1"/>
    <col min="9746" max="9746" width="11.88671875" style="1" bestFit="1" customWidth="1"/>
    <col min="9747" max="9747" width="14.109375" style="1" customWidth="1"/>
    <col min="9748" max="9748" width="7.6640625" style="1" bestFit="1" customWidth="1"/>
    <col min="9749" max="9749" width="8.88671875" style="1" bestFit="1" customWidth="1"/>
    <col min="9750" max="9750" width="10.109375" style="1" bestFit="1" customWidth="1"/>
    <col min="9751" max="9751" width="6.6640625" style="1" customWidth="1"/>
    <col min="9752" max="9752" width="14.88671875" style="1" customWidth="1"/>
    <col min="9753" max="9753" width="16.33203125" style="1" customWidth="1"/>
    <col min="9754" max="9754" width="14.109375" style="1" customWidth="1"/>
    <col min="9755" max="9755" width="12.5546875" style="1" bestFit="1" customWidth="1"/>
    <col min="9756" max="9757" width="10.6640625" style="1" bestFit="1" customWidth="1"/>
    <col min="9758" max="9987" width="9.109375" style="1"/>
    <col min="9988" max="9988" width="12.33203125" style="1" customWidth="1"/>
    <col min="9989" max="9989" width="5.109375" style="1" bestFit="1" customWidth="1"/>
    <col min="9990" max="9990" width="14.109375" style="1" bestFit="1" customWidth="1"/>
    <col min="9991" max="9991" width="10.88671875" style="1" customWidth="1"/>
    <col min="9992" max="9992" width="14.109375" style="1" bestFit="1" customWidth="1"/>
    <col min="9993" max="9993" width="12.88671875" style="1" bestFit="1" customWidth="1"/>
    <col min="9994" max="9994" width="5" style="1" bestFit="1" customWidth="1"/>
    <col min="9995" max="9995" width="8.33203125" style="1" bestFit="1" customWidth="1"/>
    <col min="9996" max="9996" width="7.33203125" style="1" bestFit="1" customWidth="1"/>
    <col min="9997" max="9997" width="13.109375" style="1" bestFit="1" customWidth="1"/>
    <col min="9998" max="9998" width="37.88671875" style="1" customWidth="1"/>
    <col min="9999" max="9999" width="16.33203125" style="1" bestFit="1" customWidth="1"/>
    <col min="10000" max="10000" width="15" style="1" bestFit="1" customWidth="1"/>
    <col min="10001" max="10001" width="11.33203125" style="1" bestFit="1" customWidth="1"/>
    <col min="10002" max="10002" width="11.88671875" style="1" bestFit="1" customWidth="1"/>
    <col min="10003" max="10003" width="14.109375" style="1" customWidth="1"/>
    <col min="10004" max="10004" width="7.6640625" style="1" bestFit="1" customWidth="1"/>
    <col min="10005" max="10005" width="8.88671875" style="1" bestFit="1" customWidth="1"/>
    <col min="10006" max="10006" width="10.109375" style="1" bestFit="1" customWidth="1"/>
    <col min="10007" max="10007" width="6.6640625" style="1" customWidth="1"/>
    <col min="10008" max="10008" width="14.88671875" style="1" customWidth="1"/>
    <col min="10009" max="10009" width="16.33203125" style="1" customWidth="1"/>
    <col min="10010" max="10010" width="14.109375" style="1" customWidth="1"/>
    <col min="10011" max="10011" width="12.5546875" style="1" bestFit="1" customWidth="1"/>
    <col min="10012" max="10013" width="10.6640625" style="1" bestFit="1" customWidth="1"/>
    <col min="10014" max="10243" width="9.109375" style="1"/>
    <col min="10244" max="10244" width="12.33203125" style="1" customWidth="1"/>
    <col min="10245" max="10245" width="5.109375" style="1" bestFit="1" customWidth="1"/>
    <col min="10246" max="10246" width="14.109375" style="1" bestFit="1" customWidth="1"/>
    <col min="10247" max="10247" width="10.88671875" style="1" customWidth="1"/>
    <col min="10248" max="10248" width="14.109375" style="1" bestFit="1" customWidth="1"/>
    <col min="10249" max="10249" width="12.88671875" style="1" bestFit="1" customWidth="1"/>
    <col min="10250" max="10250" width="5" style="1" bestFit="1" customWidth="1"/>
    <col min="10251" max="10251" width="8.33203125" style="1" bestFit="1" customWidth="1"/>
    <col min="10252" max="10252" width="7.33203125" style="1" bestFit="1" customWidth="1"/>
    <col min="10253" max="10253" width="13.109375" style="1" bestFit="1" customWidth="1"/>
    <col min="10254" max="10254" width="37.88671875" style="1" customWidth="1"/>
    <col min="10255" max="10255" width="16.33203125" style="1" bestFit="1" customWidth="1"/>
    <col min="10256" max="10256" width="15" style="1" bestFit="1" customWidth="1"/>
    <col min="10257" max="10257" width="11.33203125" style="1" bestFit="1" customWidth="1"/>
    <col min="10258" max="10258" width="11.88671875" style="1" bestFit="1" customWidth="1"/>
    <col min="10259" max="10259" width="14.109375" style="1" customWidth="1"/>
    <col min="10260" max="10260" width="7.6640625" style="1" bestFit="1" customWidth="1"/>
    <col min="10261" max="10261" width="8.88671875" style="1" bestFit="1" customWidth="1"/>
    <col min="10262" max="10262" width="10.109375" style="1" bestFit="1" customWidth="1"/>
    <col min="10263" max="10263" width="6.6640625" style="1" customWidth="1"/>
    <col min="10264" max="10264" width="14.88671875" style="1" customWidth="1"/>
    <col min="10265" max="10265" width="16.33203125" style="1" customWidth="1"/>
    <col min="10266" max="10266" width="14.109375" style="1" customWidth="1"/>
    <col min="10267" max="10267" width="12.5546875" style="1" bestFit="1" customWidth="1"/>
    <col min="10268" max="10269" width="10.6640625" style="1" bestFit="1" customWidth="1"/>
    <col min="10270" max="10499" width="9.109375" style="1"/>
    <col min="10500" max="10500" width="12.33203125" style="1" customWidth="1"/>
    <col min="10501" max="10501" width="5.109375" style="1" bestFit="1" customWidth="1"/>
    <col min="10502" max="10502" width="14.109375" style="1" bestFit="1" customWidth="1"/>
    <col min="10503" max="10503" width="10.88671875" style="1" customWidth="1"/>
    <col min="10504" max="10504" width="14.109375" style="1" bestFit="1" customWidth="1"/>
    <col min="10505" max="10505" width="12.88671875" style="1" bestFit="1" customWidth="1"/>
    <col min="10506" max="10506" width="5" style="1" bestFit="1" customWidth="1"/>
    <col min="10507" max="10507" width="8.33203125" style="1" bestFit="1" customWidth="1"/>
    <col min="10508" max="10508" width="7.33203125" style="1" bestFit="1" customWidth="1"/>
    <col min="10509" max="10509" width="13.109375" style="1" bestFit="1" customWidth="1"/>
    <col min="10510" max="10510" width="37.88671875" style="1" customWidth="1"/>
    <col min="10511" max="10511" width="16.33203125" style="1" bestFit="1" customWidth="1"/>
    <col min="10512" max="10512" width="15" style="1" bestFit="1" customWidth="1"/>
    <col min="10513" max="10513" width="11.33203125" style="1" bestFit="1" customWidth="1"/>
    <col min="10514" max="10514" width="11.88671875" style="1" bestFit="1" customWidth="1"/>
    <col min="10515" max="10515" width="14.109375" style="1" customWidth="1"/>
    <col min="10516" max="10516" width="7.6640625" style="1" bestFit="1" customWidth="1"/>
    <col min="10517" max="10517" width="8.88671875" style="1" bestFit="1" customWidth="1"/>
    <col min="10518" max="10518" width="10.109375" style="1" bestFit="1" customWidth="1"/>
    <col min="10519" max="10519" width="6.6640625" style="1" customWidth="1"/>
    <col min="10520" max="10520" width="14.88671875" style="1" customWidth="1"/>
    <col min="10521" max="10521" width="16.33203125" style="1" customWidth="1"/>
    <col min="10522" max="10522" width="14.109375" style="1" customWidth="1"/>
    <col min="10523" max="10523" width="12.5546875" style="1" bestFit="1" customWidth="1"/>
    <col min="10524" max="10525" width="10.6640625" style="1" bestFit="1" customWidth="1"/>
    <col min="10526" max="10755" width="9.109375" style="1"/>
    <col min="10756" max="10756" width="12.33203125" style="1" customWidth="1"/>
    <col min="10757" max="10757" width="5.109375" style="1" bestFit="1" customWidth="1"/>
    <col min="10758" max="10758" width="14.109375" style="1" bestFit="1" customWidth="1"/>
    <col min="10759" max="10759" width="10.88671875" style="1" customWidth="1"/>
    <col min="10760" max="10760" width="14.109375" style="1" bestFit="1" customWidth="1"/>
    <col min="10761" max="10761" width="12.88671875" style="1" bestFit="1" customWidth="1"/>
    <col min="10762" max="10762" width="5" style="1" bestFit="1" customWidth="1"/>
    <col min="10763" max="10763" width="8.33203125" style="1" bestFit="1" customWidth="1"/>
    <col min="10764" max="10764" width="7.33203125" style="1" bestFit="1" customWidth="1"/>
    <col min="10765" max="10765" width="13.109375" style="1" bestFit="1" customWidth="1"/>
    <col min="10766" max="10766" width="37.88671875" style="1" customWidth="1"/>
    <col min="10767" max="10767" width="16.33203125" style="1" bestFit="1" customWidth="1"/>
    <col min="10768" max="10768" width="15" style="1" bestFit="1" customWidth="1"/>
    <col min="10769" max="10769" width="11.33203125" style="1" bestFit="1" customWidth="1"/>
    <col min="10770" max="10770" width="11.88671875" style="1" bestFit="1" customWidth="1"/>
    <col min="10771" max="10771" width="14.109375" style="1" customWidth="1"/>
    <col min="10772" max="10772" width="7.6640625" style="1" bestFit="1" customWidth="1"/>
    <col min="10773" max="10773" width="8.88671875" style="1" bestFit="1" customWidth="1"/>
    <col min="10774" max="10774" width="10.109375" style="1" bestFit="1" customWidth="1"/>
    <col min="10775" max="10775" width="6.6640625" style="1" customWidth="1"/>
    <col min="10776" max="10776" width="14.88671875" style="1" customWidth="1"/>
    <col min="10777" max="10777" width="16.33203125" style="1" customWidth="1"/>
    <col min="10778" max="10778" width="14.109375" style="1" customWidth="1"/>
    <col min="10779" max="10779" width="12.5546875" style="1" bestFit="1" customWidth="1"/>
    <col min="10780" max="10781" width="10.6640625" style="1" bestFit="1" customWidth="1"/>
    <col min="10782" max="11011" width="9.109375" style="1"/>
    <col min="11012" max="11012" width="12.33203125" style="1" customWidth="1"/>
    <col min="11013" max="11013" width="5.109375" style="1" bestFit="1" customWidth="1"/>
    <col min="11014" max="11014" width="14.109375" style="1" bestFit="1" customWidth="1"/>
    <col min="11015" max="11015" width="10.88671875" style="1" customWidth="1"/>
    <col min="11016" max="11016" width="14.109375" style="1" bestFit="1" customWidth="1"/>
    <col min="11017" max="11017" width="12.88671875" style="1" bestFit="1" customWidth="1"/>
    <col min="11018" max="11018" width="5" style="1" bestFit="1" customWidth="1"/>
    <col min="11019" max="11019" width="8.33203125" style="1" bestFit="1" customWidth="1"/>
    <col min="11020" max="11020" width="7.33203125" style="1" bestFit="1" customWidth="1"/>
    <col min="11021" max="11021" width="13.109375" style="1" bestFit="1" customWidth="1"/>
    <col min="11022" max="11022" width="37.88671875" style="1" customWidth="1"/>
    <col min="11023" max="11023" width="16.33203125" style="1" bestFit="1" customWidth="1"/>
    <col min="11024" max="11024" width="15" style="1" bestFit="1" customWidth="1"/>
    <col min="11025" max="11025" width="11.33203125" style="1" bestFit="1" customWidth="1"/>
    <col min="11026" max="11026" width="11.88671875" style="1" bestFit="1" customWidth="1"/>
    <col min="11027" max="11027" width="14.109375" style="1" customWidth="1"/>
    <col min="11028" max="11028" width="7.6640625" style="1" bestFit="1" customWidth="1"/>
    <col min="11029" max="11029" width="8.88671875" style="1" bestFit="1" customWidth="1"/>
    <col min="11030" max="11030" width="10.109375" style="1" bestFit="1" customWidth="1"/>
    <col min="11031" max="11031" width="6.6640625" style="1" customWidth="1"/>
    <col min="11032" max="11032" width="14.88671875" style="1" customWidth="1"/>
    <col min="11033" max="11033" width="16.33203125" style="1" customWidth="1"/>
    <col min="11034" max="11034" width="14.109375" style="1" customWidth="1"/>
    <col min="11035" max="11035" width="12.5546875" style="1" bestFit="1" customWidth="1"/>
    <col min="11036" max="11037" width="10.6640625" style="1" bestFit="1" customWidth="1"/>
    <col min="11038" max="11267" width="9.109375" style="1"/>
    <col min="11268" max="11268" width="12.33203125" style="1" customWidth="1"/>
    <col min="11269" max="11269" width="5.109375" style="1" bestFit="1" customWidth="1"/>
    <col min="11270" max="11270" width="14.109375" style="1" bestFit="1" customWidth="1"/>
    <col min="11271" max="11271" width="10.88671875" style="1" customWidth="1"/>
    <col min="11272" max="11272" width="14.109375" style="1" bestFit="1" customWidth="1"/>
    <col min="11273" max="11273" width="12.88671875" style="1" bestFit="1" customWidth="1"/>
    <col min="11274" max="11274" width="5" style="1" bestFit="1" customWidth="1"/>
    <col min="11275" max="11275" width="8.33203125" style="1" bestFit="1" customWidth="1"/>
    <col min="11276" max="11276" width="7.33203125" style="1" bestFit="1" customWidth="1"/>
    <col min="11277" max="11277" width="13.109375" style="1" bestFit="1" customWidth="1"/>
    <col min="11278" max="11278" width="37.88671875" style="1" customWidth="1"/>
    <col min="11279" max="11279" width="16.33203125" style="1" bestFit="1" customWidth="1"/>
    <col min="11280" max="11280" width="15" style="1" bestFit="1" customWidth="1"/>
    <col min="11281" max="11281" width="11.33203125" style="1" bestFit="1" customWidth="1"/>
    <col min="11282" max="11282" width="11.88671875" style="1" bestFit="1" customWidth="1"/>
    <col min="11283" max="11283" width="14.109375" style="1" customWidth="1"/>
    <col min="11284" max="11284" width="7.6640625" style="1" bestFit="1" customWidth="1"/>
    <col min="11285" max="11285" width="8.88671875" style="1" bestFit="1" customWidth="1"/>
    <col min="11286" max="11286" width="10.109375" style="1" bestFit="1" customWidth="1"/>
    <col min="11287" max="11287" width="6.6640625" style="1" customWidth="1"/>
    <col min="11288" max="11288" width="14.88671875" style="1" customWidth="1"/>
    <col min="11289" max="11289" width="16.33203125" style="1" customWidth="1"/>
    <col min="11290" max="11290" width="14.109375" style="1" customWidth="1"/>
    <col min="11291" max="11291" width="12.5546875" style="1" bestFit="1" customWidth="1"/>
    <col min="11292" max="11293" width="10.6640625" style="1" bestFit="1" customWidth="1"/>
    <col min="11294" max="11523" width="9.109375" style="1"/>
    <col min="11524" max="11524" width="12.33203125" style="1" customWidth="1"/>
    <col min="11525" max="11525" width="5.109375" style="1" bestFit="1" customWidth="1"/>
    <col min="11526" max="11526" width="14.109375" style="1" bestFit="1" customWidth="1"/>
    <col min="11527" max="11527" width="10.88671875" style="1" customWidth="1"/>
    <col min="11528" max="11528" width="14.109375" style="1" bestFit="1" customWidth="1"/>
    <col min="11529" max="11529" width="12.88671875" style="1" bestFit="1" customWidth="1"/>
    <col min="11530" max="11530" width="5" style="1" bestFit="1" customWidth="1"/>
    <col min="11531" max="11531" width="8.33203125" style="1" bestFit="1" customWidth="1"/>
    <col min="11532" max="11532" width="7.33203125" style="1" bestFit="1" customWidth="1"/>
    <col min="11533" max="11533" width="13.109375" style="1" bestFit="1" customWidth="1"/>
    <col min="11534" max="11534" width="37.88671875" style="1" customWidth="1"/>
    <col min="11535" max="11535" width="16.33203125" style="1" bestFit="1" customWidth="1"/>
    <col min="11536" max="11536" width="15" style="1" bestFit="1" customWidth="1"/>
    <col min="11537" max="11537" width="11.33203125" style="1" bestFit="1" customWidth="1"/>
    <col min="11538" max="11538" width="11.88671875" style="1" bestFit="1" customWidth="1"/>
    <col min="11539" max="11539" width="14.109375" style="1" customWidth="1"/>
    <col min="11540" max="11540" width="7.6640625" style="1" bestFit="1" customWidth="1"/>
    <col min="11541" max="11541" width="8.88671875" style="1" bestFit="1" customWidth="1"/>
    <col min="11542" max="11542" width="10.109375" style="1" bestFit="1" customWidth="1"/>
    <col min="11543" max="11543" width="6.6640625" style="1" customWidth="1"/>
    <col min="11544" max="11544" width="14.88671875" style="1" customWidth="1"/>
    <col min="11545" max="11545" width="16.33203125" style="1" customWidth="1"/>
    <col min="11546" max="11546" width="14.109375" style="1" customWidth="1"/>
    <col min="11547" max="11547" width="12.5546875" style="1" bestFit="1" customWidth="1"/>
    <col min="11548" max="11549" width="10.6640625" style="1" bestFit="1" customWidth="1"/>
    <col min="11550" max="11779" width="9.109375" style="1"/>
    <col min="11780" max="11780" width="12.33203125" style="1" customWidth="1"/>
    <col min="11781" max="11781" width="5.109375" style="1" bestFit="1" customWidth="1"/>
    <col min="11782" max="11782" width="14.109375" style="1" bestFit="1" customWidth="1"/>
    <col min="11783" max="11783" width="10.88671875" style="1" customWidth="1"/>
    <col min="11784" max="11784" width="14.109375" style="1" bestFit="1" customWidth="1"/>
    <col min="11785" max="11785" width="12.88671875" style="1" bestFit="1" customWidth="1"/>
    <col min="11786" max="11786" width="5" style="1" bestFit="1" customWidth="1"/>
    <col min="11787" max="11787" width="8.33203125" style="1" bestFit="1" customWidth="1"/>
    <col min="11788" max="11788" width="7.33203125" style="1" bestFit="1" customWidth="1"/>
    <col min="11789" max="11789" width="13.109375" style="1" bestFit="1" customWidth="1"/>
    <col min="11790" max="11790" width="37.88671875" style="1" customWidth="1"/>
    <col min="11791" max="11791" width="16.33203125" style="1" bestFit="1" customWidth="1"/>
    <col min="11792" max="11792" width="15" style="1" bestFit="1" customWidth="1"/>
    <col min="11793" max="11793" width="11.33203125" style="1" bestFit="1" customWidth="1"/>
    <col min="11794" max="11794" width="11.88671875" style="1" bestFit="1" customWidth="1"/>
    <col min="11795" max="11795" width="14.109375" style="1" customWidth="1"/>
    <col min="11796" max="11796" width="7.6640625" style="1" bestFit="1" customWidth="1"/>
    <col min="11797" max="11797" width="8.88671875" style="1" bestFit="1" customWidth="1"/>
    <col min="11798" max="11798" width="10.109375" style="1" bestFit="1" customWidth="1"/>
    <col min="11799" max="11799" width="6.6640625" style="1" customWidth="1"/>
    <col min="11800" max="11800" width="14.88671875" style="1" customWidth="1"/>
    <col min="11801" max="11801" width="16.33203125" style="1" customWidth="1"/>
    <col min="11802" max="11802" width="14.109375" style="1" customWidth="1"/>
    <col min="11803" max="11803" width="12.5546875" style="1" bestFit="1" customWidth="1"/>
    <col min="11804" max="11805" width="10.6640625" style="1" bestFit="1" customWidth="1"/>
    <col min="11806" max="12035" width="9.109375" style="1"/>
    <col min="12036" max="12036" width="12.33203125" style="1" customWidth="1"/>
    <col min="12037" max="12037" width="5.109375" style="1" bestFit="1" customWidth="1"/>
    <col min="12038" max="12038" width="14.109375" style="1" bestFit="1" customWidth="1"/>
    <col min="12039" max="12039" width="10.88671875" style="1" customWidth="1"/>
    <col min="12040" max="12040" width="14.109375" style="1" bestFit="1" customWidth="1"/>
    <col min="12041" max="12041" width="12.88671875" style="1" bestFit="1" customWidth="1"/>
    <col min="12042" max="12042" width="5" style="1" bestFit="1" customWidth="1"/>
    <col min="12043" max="12043" width="8.33203125" style="1" bestFit="1" customWidth="1"/>
    <col min="12044" max="12044" width="7.33203125" style="1" bestFit="1" customWidth="1"/>
    <col min="12045" max="12045" width="13.109375" style="1" bestFit="1" customWidth="1"/>
    <col min="12046" max="12046" width="37.88671875" style="1" customWidth="1"/>
    <col min="12047" max="12047" width="16.33203125" style="1" bestFit="1" customWidth="1"/>
    <col min="12048" max="12048" width="15" style="1" bestFit="1" customWidth="1"/>
    <col min="12049" max="12049" width="11.33203125" style="1" bestFit="1" customWidth="1"/>
    <col min="12050" max="12050" width="11.88671875" style="1" bestFit="1" customWidth="1"/>
    <col min="12051" max="12051" width="14.109375" style="1" customWidth="1"/>
    <col min="12052" max="12052" width="7.6640625" style="1" bestFit="1" customWidth="1"/>
    <col min="12053" max="12053" width="8.88671875" style="1" bestFit="1" customWidth="1"/>
    <col min="12054" max="12054" width="10.109375" style="1" bestFit="1" customWidth="1"/>
    <col min="12055" max="12055" width="6.6640625" style="1" customWidth="1"/>
    <col min="12056" max="12056" width="14.88671875" style="1" customWidth="1"/>
    <col min="12057" max="12057" width="16.33203125" style="1" customWidth="1"/>
    <col min="12058" max="12058" width="14.109375" style="1" customWidth="1"/>
    <col min="12059" max="12059" width="12.5546875" style="1" bestFit="1" customWidth="1"/>
    <col min="12060" max="12061" width="10.6640625" style="1" bestFit="1" customWidth="1"/>
    <col min="12062" max="12291" width="9.109375" style="1"/>
    <col min="12292" max="12292" width="12.33203125" style="1" customWidth="1"/>
    <col min="12293" max="12293" width="5.109375" style="1" bestFit="1" customWidth="1"/>
    <col min="12294" max="12294" width="14.109375" style="1" bestFit="1" customWidth="1"/>
    <col min="12295" max="12295" width="10.88671875" style="1" customWidth="1"/>
    <col min="12296" max="12296" width="14.109375" style="1" bestFit="1" customWidth="1"/>
    <col min="12297" max="12297" width="12.88671875" style="1" bestFit="1" customWidth="1"/>
    <col min="12298" max="12298" width="5" style="1" bestFit="1" customWidth="1"/>
    <col min="12299" max="12299" width="8.33203125" style="1" bestFit="1" customWidth="1"/>
    <col min="12300" max="12300" width="7.33203125" style="1" bestFit="1" customWidth="1"/>
    <col min="12301" max="12301" width="13.109375" style="1" bestFit="1" customWidth="1"/>
    <col min="12302" max="12302" width="37.88671875" style="1" customWidth="1"/>
    <col min="12303" max="12303" width="16.33203125" style="1" bestFit="1" customWidth="1"/>
    <col min="12304" max="12304" width="15" style="1" bestFit="1" customWidth="1"/>
    <col min="12305" max="12305" width="11.33203125" style="1" bestFit="1" customWidth="1"/>
    <col min="12306" max="12306" width="11.88671875" style="1" bestFit="1" customWidth="1"/>
    <col min="12307" max="12307" width="14.109375" style="1" customWidth="1"/>
    <col min="12308" max="12308" width="7.6640625" style="1" bestFit="1" customWidth="1"/>
    <col min="12309" max="12309" width="8.88671875" style="1" bestFit="1" customWidth="1"/>
    <col min="12310" max="12310" width="10.109375" style="1" bestFit="1" customWidth="1"/>
    <col min="12311" max="12311" width="6.6640625" style="1" customWidth="1"/>
    <col min="12312" max="12312" width="14.88671875" style="1" customWidth="1"/>
    <col min="12313" max="12313" width="16.33203125" style="1" customWidth="1"/>
    <col min="12314" max="12314" width="14.109375" style="1" customWidth="1"/>
    <col min="12315" max="12315" width="12.5546875" style="1" bestFit="1" customWidth="1"/>
    <col min="12316" max="12317" width="10.6640625" style="1" bestFit="1" customWidth="1"/>
    <col min="12318" max="12547" width="9.109375" style="1"/>
    <col min="12548" max="12548" width="12.33203125" style="1" customWidth="1"/>
    <col min="12549" max="12549" width="5.109375" style="1" bestFit="1" customWidth="1"/>
    <col min="12550" max="12550" width="14.109375" style="1" bestFit="1" customWidth="1"/>
    <col min="12551" max="12551" width="10.88671875" style="1" customWidth="1"/>
    <col min="12552" max="12552" width="14.109375" style="1" bestFit="1" customWidth="1"/>
    <col min="12553" max="12553" width="12.88671875" style="1" bestFit="1" customWidth="1"/>
    <col min="12554" max="12554" width="5" style="1" bestFit="1" customWidth="1"/>
    <col min="12555" max="12555" width="8.33203125" style="1" bestFit="1" customWidth="1"/>
    <col min="12556" max="12556" width="7.33203125" style="1" bestFit="1" customWidth="1"/>
    <col min="12557" max="12557" width="13.109375" style="1" bestFit="1" customWidth="1"/>
    <col min="12558" max="12558" width="37.88671875" style="1" customWidth="1"/>
    <col min="12559" max="12559" width="16.33203125" style="1" bestFit="1" customWidth="1"/>
    <col min="12560" max="12560" width="15" style="1" bestFit="1" customWidth="1"/>
    <col min="12561" max="12561" width="11.33203125" style="1" bestFit="1" customWidth="1"/>
    <col min="12562" max="12562" width="11.88671875" style="1" bestFit="1" customWidth="1"/>
    <col min="12563" max="12563" width="14.109375" style="1" customWidth="1"/>
    <col min="12564" max="12564" width="7.6640625" style="1" bestFit="1" customWidth="1"/>
    <col min="12565" max="12565" width="8.88671875" style="1" bestFit="1" customWidth="1"/>
    <col min="12566" max="12566" width="10.109375" style="1" bestFit="1" customWidth="1"/>
    <col min="12567" max="12567" width="6.6640625" style="1" customWidth="1"/>
    <col min="12568" max="12568" width="14.88671875" style="1" customWidth="1"/>
    <col min="12569" max="12569" width="16.33203125" style="1" customWidth="1"/>
    <col min="12570" max="12570" width="14.109375" style="1" customWidth="1"/>
    <col min="12571" max="12571" width="12.5546875" style="1" bestFit="1" customWidth="1"/>
    <col min="12572" max="12573" width="10.6640625" style="1" bestFit="1" customWidth="1"/>
    <col min="12574" max="12803" width="9.109375" style="1"/>
    <col min="12804" max="12804" width="12.33203125" style="1" customWidth="1"/>
    <col min="12805" max="12805" width="5.109375" style="1" bestFit="1" customWidth="1"/>
    <col min="12806" max="12806" width="14.109375" style="1" bestFit="1" customWidth="1"/>
    <col min="12807" max="12807" width="10.88671875" style="1" customWidth="1"/>
    <col min="12808" max="12808" width="14.109375" style="1" bestFit="1" customWidth="1"/>
    <col min="12809" max="12809" width="12.88671875" style="1" bestFit="1" customWidth="1"/>
    <col min="12810" max="12810" width="5" style="1" bestFit="1" customWidth="1"/>
    <col min="12811" max="12811" width="8.33203125" style="1" bestFit="1" customWidth="1"/>
    <col min="12812" max="12812" width="7.33203125" style="1" bestFit="1" customWidth="1"/>
    <col min="12813" max="12813" width="13.109375" style="1" bestFit="1" customWidth="1"/>
    <col min="12814" max="12814" width="37.88671875" style="1" customWidth="1"/>
    <col min="12815" max="12815" width="16.33203125" style="1" bestFit="1" customWidth="1"/>
    <col min="12816" max="12816" width="15" style="1" bestFit="1" customWidth="1"/>
    <col min="12817" max="12817" width="11.33203125" style="1" bestFit="1" customWidth="1"/>
    <col min="12818" max="12818" width="11.88671875" style="1" bestFit="1" customWidth="1"/>
    <col min="12819" max="12819" width="14.109375" style="1" customWidth="1"/>
    <col min="12820" max="12820" width="7.6640625" style="1" bestFit="1" customWidth="1"/>
    <col min="12821" max="12821" width="8.88671875" style="1" bestFit="1" customWidth="1"/>
    <col min="12822" max="12822" width="10.109375" style="1" bestFit="1" customWidth="1"/>
    <col min="12823" max="12823" width="6.6640625" style="1" customWidth="1"/>
    <col min="12824" max="12824" width="14.88671875" style="1" customWidth="1"/>
    <col min="12825" max="12825" width="16.33203125" style="1" customWidth="1"/>
    <col min="12826" max="12826" width="14.109375" style="1" customWidth="1"/>
    <col min="12827" max="12827" width="12.5546875" style="1" bestFit="1" customWidth="1"/>
    <col min="12828" max="12829" width="10.6640625" style="1" bestFit="1" customWidth="1"/>
    <col min="12830" max="13059" width="9.109375" style="1"/>
    <col min="13060" max="13060" width="12.33203125" style="1" customWidth="1"/>
    <col min="13061" max="13061" width="5.109375" style="1" bestFit="1" customWidth="1"/>
    <col min="13062" max="13062" width="14.109375" style="1" bestFit="1" customWidth="1"/>
    <col min="13063" max="13063" width="10.88671875" style="1" customWidth="1"/>
    <col min="13064" max="13064" width="14.109375" style="1" bestFit="1" customWidth="1"/>
    <col min="13065" max="13065" width="12.88671875" style="1" bestFit="1" customWidth="1"/>
    <col min="13066" max="13066" width="5" style="1" bestFit="1" customWidth="1"/>
    <col min="13067" max="13067" width="8.33203125" style="1" bestFit="1" customWidth="1"/>
    <col min="13068" max="13068" width="7.33203125" style="1" bestFit="1" customWidth="1"/>
    <col min="13069" max="13069" width="13.109375" style="1" bestFit="1" customWidth="1"/>
    <col min="13070" max="13070" width="37.88671875" style="1" customWidth="1"/>
    <col min="13071" max="13071" width="16.33203125" style="1" bestFit="1" customWidth="1"/>
    <col min="13072" max="13072" width="15" style="1" bestFit="1" customWidth="1"/>
    <col min="13073" max="13073" width="11.33203125" style="1" bestFit="1" customWidth="1"/>
    <col min="13074" max="13074" width="11.88671875" style="1" bestFit="1" customWidth="1"/>
    <col min="13075" max="13075" width="14.109375" style="1" customWidth="1"/>
    <col min="13076" max="13076" width="7.6640625" style="1" bestFit="1" customWidth="1"/>
    <col min="13077" max="13077" width="8.88671875" style="1" bestFit="1" customWidth="1"/>
    <col min="13078" max="13078" width="10.109375" style="1" bestFit="1" customWidth="1"/>
    <col min="13079" max="13079" width="6.6640625" style="1" customWidth="1"/>
    <col min="13080" max="13080" width="14.88671875" style="1" customWidth="1"/>
    <col min="13081" max="13081" width="16.33203125" style="1" customWidth="1"/>
    <col min="13082" max="13082" width="14.109375" style="1" customWidth="1"/>
    <col min="13083" max="13083" width="12.5546875" style="1" bestFit="1" customWidth="1"/>
    <col min="13084" max="13085" width="10.6640625" style="1" bestFit="1" customWidth="1"/>
    <col min="13086" max="13315" width="9.109375" style="1"/>
    <col min="13316" max="13316" width="12.33203125" style="1" customWidth="1"/>
    <col min="13317" max="13317" width="5.109375" style="1" bestFit="1" customWidth="1"/>
    <col min="13318" max="13318" width="14.109375" style="1" bestFit="1" customWidth="1"/>
    <col min="13319" max="13319" width="10.88671875" style="1" customWidth="1"/>
    <col min="13320" max="13320" width="14.109375" style="1" bestFit="1" customWidth="1"/>
    <col min="13321" max="13321" width="12.88671875" style="1" bestFit="1" customWidth="1"/>
    <col min="13322" max="13322" width="5" style="1" bestFit="1" customWidth="1"/>
    <col min="13323" max="13323" width="8.33203125" style="1" bestFit="1" customWidth="1"/>
    <col min="13324" max="13324" width="7.33203125" style="1" bestFit="1" customWidth="1"/>
    <col min="13325" max="13325" width="13.109375" style="1" bestFit="1" customWidth="1"/>
    <col min="13326" max="13326" width="37.88671875" style="1" customWidth="1"/>
    <col min="13327" max="13327" width="16.33203125" style="1" bestFit="1" customWidth="1"/>
    <col min="13328" max="13328" width="15" style="1" bestFit="1" customWidth="1"/>
    <col min="13329" max="13329" width="11.33203125" style="1" bestFit="1" customWidth="1"/>
    <col min="13330" max="13330" width="11.88671875" style="1" bestFit="1" customWidth="1"/>
    <col min="13331" max="13331" width="14.109375" style="1" customWidth="1"/>
    <col min="13332" max="13332" width="7.6640625" style="1" bestFit="1" customWidth="1"/>
    <col min="13333" max="13333" width="8.88671875" style="1" bestFit="1" customWidth="1"/>
    <col min="13334" max="13334" width="10.109375" style="1" bestFit="1" customWidth="1"/>
    <col min="13335" max="13335" width="6.6640625" style="1" customWidth="1"/>
    <col min="13336" max="13336" width="14.88671875" style="1" customWidth="1"/>
    <col min="13337" max="13337" width="16.33203125" style="1" customWidth="1"/>
    <col min="13338" max="13338" width="14.109375" style="1" customWidth="1"/>
    <col min="13339" max="13339" width="12.5546875" style="1" bestFit="1" customWidth="1"/>
    <col min="13340" max="13341" width="10.6640625" style="1" bestFit="1" customWidth="1"/>
    <col min="13342" max="13571" width="9.109375" style="1"/>
    <col min="13572" max="13572" width="12.33203125" style="1" customWidth="1"/>
    <col min="13573" max="13573" width="5.109375" style="1" bestFit="1" customWidth="1"/>
    <col min="13574" max="13574" width="14.109375" style="1" bestFit="1" customWidth="1"/>
    <col min="13575" max="13575" width="10.88671875" style="1" customWidth="1"/>
    <col min="13576" max="13576" width="14.109375" style="1" bestFit="1" customWidth="1"/>
    <col min="13577" max="13577" width="12.88671875" style="1" bestFit="1" customWidth="1"/>
    <col min="13578" max="13578" width="5" style="1" bestFit="1" customWidth="1"/>
    <col min="13579" max="13579" width="8.33203125" style="1" bestFit="1" customWidth="1"/>
    <col min="13580" max="13580" width="7.33203125" style="1" bestFit="1" customWidth="1"/>
    <col min="13581" max="13581" width="13.109375" style="1" bestFit="1" customWidth="1"/>
    <col min="13582" max="13582" width="37.88671875" style="1" customWidth="1"/>
    <col min="13583" max="13583" width="16.33203125" style="1" bestFit="1" customWidth="1"/>
    <col min="13584" max="13584" width="15" style="1" bestFit="1" customWidth="1"/>
    <col min="13585" max="13585" width="11.33203125" style="1" bestFit="1" customWidth="1"/>
    <col min="13586" max="13586" width="11.88671875" style="1" bestFit="1" customWidth="1"/>
    <col min="13587" max="13587" width="14.109375" style="1" customWidth="1"/>
    <col min="13588" max="13588" width="7.6640625" style="1" bestFit="1" customWidth="1"/>
    <col min="13589" max="13589" width="8.88671875" style="1" bestFit="1" customWidth="1"/>
    <col min="13590" max="13590" width="10.109375" style="1" bestFit="1" customWidth="1"/>
    <col min="13591" max="13591" width="6.6640625" style="1" customWidth="1"/>
    <col min="13592" max="13592" width="14.88671875" style="1" customWidth="1"/>
    <col min="13593" max="13593" width="16.33203125" style="1" customWidth="1"/>
    <col min="13594" max="13594" width="14.109375" style="1" customWidth="1"/>
    <col min="13595" max="13595" width="12.5546875" style="1" bestFit="1" customWidth="1"/>
    <col min="13596" max="13597" width="10.6640625" style="1" bestFit="1" customWidth="1"/>
    <col min="13598" max="13827" width="9.109375" style="1"/>
    <col min="13828" max="13828" width="12.33203125" style="1" customWidth="1"/>
    <col min="13829" max="13829" width="5.109375" style="1" bestFit="1" customWidth="1"/>
    <col min="13830" max="13830" width="14.109375" style="1" bestFit="1" customWidth="1"/>
    <col min="13831" max="13831" width="10.88671875" style="1" customWidth="1"/>
    <col min="13832" max="13832" width="14.109375" style="1" bestFit="1" customWidth="1"/>
    <col min="13833" max="13833" width="12.88671875" style="1" bestFit="1" customWidth="1"/>
    <col min="13834" max="13834" width="5" style="1" bestFit="1" customWidth="1"/>
    <col min="13835" max="13835" width="8.33203125" style="1" bestFit="1" customWidth="1"/>
    <col min="13836" max="13836" width="7.33203125" style="1" bestFit="1" customWidth="1"/>
    <col min="13837" max="13837" width="13.109375" style="1" bestFit="1" customWidth="1"/>
    <col min="13838" max="13838" width="37.88671875" style="1" customWidth="1"/>
    <col min="13839" max="13839" width="16.33203125" style="1" bestFit="1" customWidth="1"/>
    <col min="13840" max="13840" width="15" style="1" bestFit="1" customWidth="1"/>
    <col min="13841" max="13841" width="11.33203125" style="1" bestFit="1" customWidth="1"/>
    <col min="13842" max="13842" width="11.88671875" style="1" bestFit="1" customWidth="1"/>
    <col min="13843" max="13843" width="14.109375" style="1" customWidth="1"/>
    <col min="13844" max="13844" width="7.6640625" style="1" bestFit="1" customWidth="1"/>
    <col min="13845" max="13845" width="8.88671875" style="1" bestFit="1" customWidth="1"/>
    <col min="13846" max="13846" width="10.109375" style="1" bestFit="1" customWidth="1"/>
    <col min="13847" max="13847" width="6.6640625" style="1" customWidth="1"/>
    <col min="13848" max="13848" width="14.88671875" style="1" customWidth="1"/>
    <col min="13849" max="13849" width="16.33203125" style="1" customWidth="1"/>
    <col min="13850" max="13850" width="14.109375" style="1" customWidth="1"/>
    <col min="13851" max="13851" width="12.5546875" style="1" bestFit="1" customWidth="1"/>
    <col min="13852" max="13853" width="10.6640625" style="1" bestFit="1" customWidth="1"/>
    <col min="13854" max="14083" width="9.109375" style="1"/>
    <col min="14084" max="14084" width="12.33203125" style="1" customWidth="1"/>
    <col min="14085" max="14085" width="5.109375" style="1" bestFit="1" customWidth="1"/>
    <col min="14086" max="14086" width="14.109375" style="1" bestFit="1" customWidth="1"/>
    <col min="14087" max="14087" width="10.88671875" style="1" customWidth="1"/>
    <col min="14088" max="14088" width="14.109375" style="1" bestFit="1" customWidth="1"/>
    <col min="14089" max="14089" width="12.88671875" style="1" bestFit="1" customWidth="1"/>
    <col min="14090" max="14090" width="5" style="1" bestFit="1" customWidth="1"/>
    <col min="14091" max="14091" width="8.33203125" style="1" bestFit="1" customWidth="1"/>
    <col min="14092" max="14092" width="7.33203125" style="1" bestFit="1" customWidth="1"/>
    <col min="14093" max="14093" width="13.109375" style="1" bestFit="1" customWidth="1"/>
    <col min="14094" max="14094" width="37.88671875" style="1" customWidth="1"/>
    <col min="14095" max="14095" width="16.33203125" style="1" bestFit="1" customWidth="1"/>
    <col min="14096" max="14096" width="15" style="1" bestFit="1" customWidth="1"/>
    <col min="14097" max="14097" width="11.33203125" style="1" bestFit="1" customWidth="1"/>
    <col min="14098" max="14098" width="11.88671875" style="1" bestFit="1" customWidth="1"/>
    <col min="14099" max="14099" width="14.109375" style="1" customWidth="1"/>
    <col min="14100" max="14100" width="7.6640625" style="1" bestFit="1" customWidth="1"/>
    <col min="14101" max="14101" width="8.88671875" style="1" bestFit="1" customWidth="1"/>
    <col min="14102" max="14102" width="10.109375" style="1" bestFit="1" customWidth="1"/>
    <col min="14103" max="14103" width="6.6640625" style="1" customWidth="1"/>
    <col min="14104" max="14104" width="14.88671875" style="1" customWidth="1"/>
    <col min="14105" max="14105" width="16.33203125" style="1" customWidth="1"/>
    <col min="14106" max="14106" width="14.109375" style="1" customWidth="1"/>
    <col min="14107" max="14107" width="12.5546875" style="1" bestFit="1" customWidth="1"/>
    <col min="14108" max="14109" width="10.6640625" style="1" bestFit="1" customWidth="1"/>
    <col min="14110" max="14339" width="9.109375" style="1"/>
    <col min="14340" max="14340" width="12.33203125" style="1" customWidth="1"/>
    <col min="14341" max="14341" width="5.109375" style="1" bestFit="1" customWidth="1"/>
    <col min="14342" max="14342" width="14.109375" style="1" bestFit="1" customWidth="1"/>
    <col min="14343" max="14343" width="10.88671875" style="1" customWidth="1"/>
    <col min="14344" max="14344" width="14.109375" style="1" bestFit="1" customWidth="1"/>
    <col min="14345" max="14345" width="12.88671875" style="1" bestFit="1" customWidth="1"/>
    <col min="14346" max="14346" width="5" style="1" bestFit="1" customWidth="1"/>
    <col min="14347" max="14347" width="8.33203125" style="1" bestFit="1" customWidth="1"/>
    <col min="14348" max="14348" width="7.33203125" style="1" bestFit="1" customWidth="1"/>
    <col min="14349" max="14349" width="13.109375" style="1" bestFit="1" customWidth="1"/>
    <col min="14350" max="14350" width="37.88671875" style="1" customWidth="1"/>
    <col min="14351" max="14351" width="16.33203125" style="1" bestFit="1" customWidth="1"/>
    <col min="14352" max="14352" width="15" style="1" bestFit="1" customWidth="1"/>
    <col min="14353" max="14353" width="11.33203125" style="1" bestFit="1" customWidth="1"/>
    <col min="14354" max="14354" width="11.88671875" style="1" bestFit="1" customWidth="1"/>
    <col min="14355" max="14355" width="14.109375" style="1" customWidth="1"/>
    <col min="14356" max="14356" width="7.6640625" style="1" bestFit="1" customWidth="1"/>
    <col min="14357" max="14357" width="8.88671875" style="1" bestFit="1" customWidth="1"/>
    <col min="14358" max="14358" width="10.109375" style="1" bestFit="1" customWidth="1"/>
    <col min="14359" max="14359" width="6.6640625" style="1" customWidth="1"/>
    <col min="14360" max="14360" width="14.88671875" style="1" customWidth="1"/>
    <col min="14361" max="14361" width="16.33203125" style="1" customWidth="1"/>
    <col min="14362" max="14362" width="14.109375" style="1" customWidth="1"/>
    <col min="14363" max="14363" width="12.5546875" style="1" bestFit="1" customWidth="1"/>
    <col min="14364" max="14365" width="10.6640625" style="1" bestFit="1" customWidth="1"/>
    <col min="14366" max="14595" width="9.109375" style="1"/>
    <col min="14596" max="14596" width="12.33203125" style="1" customWidth="1"/>
    <col min="14597" max="14597" width="5.109375" style="1" bestFit="1" customWidth="1"/>
    <col min="14598" max="14598" width="14.109375" style="1" bestFit="1" customWidth="1"/>
    <col min="14599" max="14599" width="10.88671875" style="1" customWidth="1"/>
    <col min="14600" max="14600" width="14.109375" style="1" bestFit="1" customWidth="1"/>
    <col min="14601" max="14601" width="12.88671875" style="1" bestFit="1" customWidth="1"/>
    <col min="14602" max="14602" width="5" style="1" bestFit="1" customWidth="1"/>
    <col min="14603" max="14603" width="8.33203125" style="1" bestFit="1" customWidth="1"/>
    <col min="14604" max="14604" width="7.33203125" style="1" bestFit="1" customWidth="1"/>
    <col min="14605" max="14605" width="13.109375" style="1" bestFit="1" customWidth="1"/>
    <col min="14606" max="14606" width="37.88671875" style="1" customWidth="1"/>
    <col min="14607" max="14607" width="16.33203125" style="1" bestFit="1" customWidth="1"/>
    <col min="14608" max="14608" width="15" style="1" bestFit="1" customWidth="1"/>
    <col min="14609" max="14609" width="11.33203125" style="1" bestFit="1" customWidth="1"/>
    <col min="14610" max="14610" width="11.88671875" style="1" bestFit="1" customWidth="1"/>
    <col min="14611" max="14611" width="14.109375" style="1" customWidth="1"/>
    <col min="14612" max="14612" width="7.6640625" style="1" bestFit="1" customWidth="1"/>
    <col min="14613" max="14613" width="8.88671875" style="1" bestFit="1" customWidth="1"/>
    <col min="14614" max="14614" width="10.109375" style="1" bestFit="1" customWidth="1"/>
    <col min="14615" max="14615" width="6.6640625" style="1" customWidth="1"/>
    <col min="14616" max="14616" width="14.88671875" style="1" customWidth="1"/>
    <col min="14617" max="14617" width="16.33203125" style="1" customWidth="1"/>
    <col min="14618" max="14618" width="14.109375" style="1" customWidth="1"/>
    <col min="14619" max="14619" width="12.5546875" style="1" bestFit="1" customWidth="1"/>
    <col min="14620" max="14621" width="10.6640625" style="1" bestFit="1" customWidth="1"/>
    <col min="14622" max="14851" width="9.109375" style="1"/>
    <col min="14852" max="14852" width="12.33203125" style="1" customWidth="1"/>
    <col min="14853" max="14853" width="5.109375" style="1" bestFit="1" customWidth="1"/>
    <col min="14854" max="14854" width="14.109375" style="1" bestFit="1" customWidth="1"/>
    <col min="14855" max="14855" width="10.88671875" style="1" customWidth="1"/>
    <col min="14856" max="14856" width="14.109375" style="1" bestFit="1" customWidth="1"/>
    <col min="14857" max="14857" width="12.88671875" style="1" bestFit="1" customWidth="1"/>
    <col min="14858" max="14858" width="5" style="1" bestFit="1" customWidth="1"/>
    <col min="14859" max="14859" width="8.33203125" style="1" bestFit="1" customWidth="1"/>
    <col min="14860" max="14860" width="7.33203125" style="1" bestFit="1" customWidth="1"/>
    <col min="14861" max="14861" width="13.109375" style="1" bestFit="1" customWidth="1"/>
    <col min="14862" max="14862" width="37.88671875" style="1" customWidth="1"/>
    <col min="14863" max="14863" width="16.33203125" style="1" bestFit="1" customWidth="1"/>
    <col min="14864" max="14864" width="15" style="1" bestFit="1" customWidth="1"/>
    <col min="14865" max="14865" width="11.33203125" style="1" bestFit="1" customWidth="1"/>
    <col min="14866" max="14866" width="11.88671875" style="1" bestFit="1" customWidth="1"/>
    <col min="14867" max="14867" width="14.109375" style="1" customWidth="1"/>
    <col min="14868" max="14868" width="7.6640625" style="1" bestFit="1" customWidth="1"/>
    <col min="14869" max="14869" width="8.88671875" style="1" bestFit="1" customWidth="1"/>
    <col min="14870" max="14870" width="10.109375" style="1" bestFit="1" customWidth="1"/>
    <col min="14871" max="14871" width="6.6640625" style="1" customWidth="1"/>
    <col min="14872" max="14872" width="14.88671875" style="1" customWidth="1"/>
    <col min="14873" max="14873" width="16.33203125" style="1" customWidth="1"/>
    <col min="14874" max="14874" width="14.109375" style="1" customWidth="1"/>
    <col min="14875" max="14875" width="12.5546875" style="1" bestFit="1" customWidth="1"/>
    <col min="14876" max="14877" width="10.6640625" style="1" bestFit="1" customWidth="1"/>
    <col min="14878" max="15107" width="9.109375" style="1"/>
    <col min="15108" max="15108" width="12.33203125" style="1" customWidth="1"/>
    <col min="15109" max="15109" width="5.109375" style="1" bestFit="1" customWidth="1"/>
    <col min="15110" max="15110" width="14.109375" style="1" bestFit="1" customWidth="1"/>
    <col min="15111" max="15111" width="10.88671875" style="1" customWidth="1"/>
    <col min="15112" max="15112" width="14.109375" style="1" bestFit="1" customWidth="1"/>
    <col min="15113" max="15113" width="12.88671875" style="1" bestFit="1" customWidth="1"/>
    <col min="15114" max="15114" width="5" style="1" bestFit="1" customWidth="1"/>
    <col min="15115" max="15115" width="8.33203125" style="1" bestFit="1" customWidth="1"/>
    <col min="15116" max="15116" width="7.33203125" style="1" bestFit="1" customWidth="1"/>
    <col min="15117" max="15117" width="13.109375" style="1" bestFit="1" customWidth="1"/>
    <col min="15118" max="15118" width="37.88671875" style="1" customWidth="1"/>
    <col min="15119" max="15119" width="16.33203125" style="1" bestFit="1" customWidth="1"/>
    <col min="15120" max="15120" width="15" style="1" bestFit="1" customWidth="1"/>
    <col min="15121" max="15121" width="11.33203125" style="1" bestFit="1" customWidth="1"/>
    <col min="15122" max="15122" width="11.88671875" style="1" bestFit="1" customWidth="1"/>
    <col min="15123" max="15123" width="14.109375" style="1" customWidth="1"/>
    <col min="15124" max="15124" width="7.6640625" style="1" bestFit="1" customWidth="1"/>
    <col min="15125" max="15125" width="8.88671875" style="1" bestFit="1" customWidth="1"/>
    <col min="15126" max="15126" width="10.109375" style="1" bestFit="1" customWidth="1"/>
    <col min="15127" max="15127" width="6.6640625" style="1" customWidth="1"/>
    <col min="15128" max="15128" width="14.88671875" style="1" customWidth="1"/>
    <col min="15129" max="15129" width="16.33203125" style="1" customWidth="1"/>
    <col min="15130" max="15130" width="14.109375" style="1" customWidth="1"/>
    <col min="15131" max="15131" width="12.5546875" style="1" bestFit="1" customWidth="1"/>
    <col min="15132" max="15133" width="10.6640625" style="1" bestFit="1" customWidth="1"/>
    <col min="15134" max="15363" width="9.109375" style="1"/>
    <col min="15364" max="15364" width="12.33203125" style="1" customWidth="1"/>
    <col min="15365" max="15365" width="5.109375" style="1" bestFit="1" customWidth="1"/>
    <col min="15366" max="15366" width="14.109375" style="1" bestFit="1" customWidth="1"/>
    <col min="15367" max="15367" width="10.88671875" style="1" customWidth="1"/>
    <col min="15368" max="15368" width="14.109375" style="1" bestFit="1" customWidth="1"/>
    <col min="15369" max="15369" width="12.88671875" style="1" bestFit="1" customWidth="1"/>
    <col min="15370" max="15370" width="5" style="1" bestFit="1" customWidth="1"/>
    <col min="15371" max="15371" width="8.33203125" style="1" bestFit="1" customWidth="1"/>
    <col min="15372" max="15372" width="7.33203125" style="1" bestFit="1" customWidth="1"/>
    <col min="15373" max="15373" width="13.109375" style="1" bestFit="1" customWidth="1"/>
    <col min="15374" max="15374" width="37.88671875" style="1" customWidth="1"/>
    <col min="15375" max="15375" width="16.33203125" style="1" bestFit="1" customWidth="1"/>
    <col min="15376" max="15376" width="15" style="1" bestFit="1" customWidth="1"/>
    <col min="15377" max="15377" width="11.33203125" style="1" bestFit="1" customWidth="1"/>
    <col min="15378" max="15378" width="11.88671875" style="1" bestFit="1" customWidth="1"/>
    <col min="15379" max="15379" width="14.109375" style="1" customWidth="1"/>
    <col min="15380" max="15380" width="7.6640625" style="1" bestFit="1" customWidth="1"/>
    <col min="15381" max="15381" width="8.88671875" style="1" bestFit="1" customWidth="1"/>
    <col min="15382" max="15382" width="10.109375" style="1" bestFit="1" customWidth="1"/>
    <col min="15383" max="15383" width="6.6640625" style="1" customWidth="1"/>
    <col min="15384" max="15384" width="14.88671875" style="1" customWidth="1"/>
    <col min="15385" max="15385" width="16.33203125" style="1" customWidth="1"/>
    <col min="15386" max="15386" width="14.109375" style="1" customWidth="1"/>
    <col min="15387" max="15387" width="12.5546875" style="1" bestFit="1" customWidth="1"/>
    <col min="15388" max="15389" width="10.6640625" style="1" bestFit="1" customWidth="1"/>
    <col min="15390" max="15619" width="9.109375" style="1"/>
    <col min="15620" max="15620" width="12.33203125" style="1" customWidth="1"/>
    <col min="15621" max="15621" width="5.109375" style="1" bestFit="1" customWidth="1"/>
    <col min="15622" max="15622" width="14.109375" style="1" bestFit="1" customWidth="1"/>
    <col min="15623" max="15623" width="10.88671875" style="1" customWidth="1"/>
    <col min="15624" max="15624" width="14.109375" style="1" bestFit="1" customWidth="1"/>
    <col min="15625" max="15625" width="12.88671875" style="1" bestFit="1" customWidth="1"/>
    <col min="15626" max="15626" width="5" style="1" bestFit="1" customWidth="1"/>
    <col min="15627" max="15627" width="8.33203125" style="1" bestFit="1" customWidth="1"/>
    <col min="15628" max="15628" width="7.33203125" style="1" bestFit="1" customWidth="1"/>
    <col min="15629" max="15629" width="13.109375" style="1" bestFit="1" customWidth="1"/>
    <col min="15630" max="15630" width="37.88671875" style="1" customWidth="1"/>
    <col min="15631" max="15631" width="16.33203125" style="1" bestFit="1" customWidth="1"/>
    <col min="15632" max="15632" width="15" style="1" bestFit="1" customWidth="1"/>
    <col min="15633" max="15633" width="11.33203125" style="1" bestFit="1" customWidth="1"/>
    <col min="15634" max="15634" width="11.88671875" style="1" bestFit="1" customWidth="1"/>
    <col min="15635" max="15635" width="14.109375" style="1" customWidth="1"/>
    <col min="15636" max="15636" width="7.6640625" style="1" bestFit="1" customWidth="1"/>
    <col min="15637" max="15637" width="8.88671875" style="1" bestFit="1" customWidth="1"/>
    <col min="15638" max="15638" width="10.109375" style="1" bestFit="1" customWidth="1"/>
    <col min="15639" max="15639" width="6.6640625" style="1" customWidth="1"/>
    <col min="15640" max="15640" width="14.88671875" style="1" customWidth="1"/>
    <col min="15641" max="15641" width="16.33203125" style="1" customWidth="1"/>
    <col min="15642" max="15642" width="14.109375" style="1" customWidth="1"/>
    <col min="15643" max="15643" width="12.5546875" style="1" bestFit="1" customWidth="1"/>
    <col min="15644" max="15645" width="10.6640625" style="1" bestFit="1" customWidth="1"/>
    <col min="15646" max="15875" width="9.109375" style="1"/>
    <col min="15876" max="15876" width="12.33203125" style="1" customWidth="1"/>
    <col min="15877" max="15877" width="5.109375" style="1" bestFit="1" customWidth="1"/>
    <col min="15878" max="15878" width="14.109375" style="1" bestFit="1" customWidth="1"/>
    <col min="15879" max="15879" width="10.88671875" style="1" customWidth="1"/>
    <col min="15880" max="15880" width="14.109375" style="1" bestFit="1" customWidth="1"/>
    <col min="15881" max="15881" width="12.88671875" style="1" bestFit="1" customWidth="1"/>
    <col min="15882" max="15882" width="5" style="1" bestFit="1" customWidth="1"/>
    <col min="15883" max="15883" width="8.33203125" style="1" bestFit="1" customWidth="1"/>
    <col min="15884" max="15884" width="7.33203125" style="1" bestFit="1" customWidth="1"/>
    <col min="15885" max="15885" width="13.109375" style="1" bestFit="1" customWidth="1"/>
    <col min="15886" max="15886" width="37.88671875" style="1" customWidth="1"/>
    <col min="15887" max="15887" width="16.33203125" style="1" bestFit="1" customWidth="1"/>
    <col min="15888" max="15888" width="15" style="1" bestFit="1" customWidth="1"/>
    <col min="15889" max="15889" width="11.33203125" style="1" bestFit="1" customWidth="1"/>
    <col min="15890" max="15890" width="11.88671875" style="1" bestFit="1" customWidth="1"/>
    <col min="15891" max="15891" width="14.109375" style="1" customWidth="1"/>
    <col min="15892" max="15892" width="7.6640625" style="1" bestFit="1" customWidth="1"/>
    <col min="15893" max="15893" width="8.88671875" style="1" bestFit="1" customWidth="1"/>
    <col min="15894" max="15894" width="10.109375" style="1" bestFit="1" customWidth="1"/>
    <col min="15895" max="15895" width="6.6640625" style="1" customWidth="1"/>
    <col min="15896" max="15896" width="14.88671875" style="1" customWidth="1"/>
    <col min="15897" max="15897" width="16.33203125" style="1" customWidth="1"/>
    <col min="15898" max="15898" width="14.109375" style="1" customWidth="1"/>
    <col min="15899" max="15899" width="12.5546875" style="1" bestFit="1" customWidth="1"/>
    <col min="15900" max="15901" width="10.6640625" style="1" bestFit="1" customWidth="1"/>
    <col min="15902" max="16131" width="9.109375" style="1"/>
    <col min="16132" max="16132" width="12.33203125" style="1" customWidth="1"/>
    <col min="16133" max="16133" width="5.109375" style="1" bestFit="1" customWidth="1"/>
    <col min="16134" max="16134" width="14.109375" style="1" bestFit="1" customWidth="1"/>
    <col min="16135" max="16135" width="10.88671875" style="1" customWidth="1"/>
    <col min="16136" max="16136" width="14.109375" style="1" bestFit="1" customWidth="1"/>
    <col min="16137" max="16137" width="12.88671875" style="1" bestFit="1" customWidth="1"/>
    <col min="16138" max="16138" width="5" style="1" bestFit="1" customWidth="1"/>
    <col min="16139" max="16139" width="8.33203125" style="1" bestFit="1" customWidth="1"/>
    <col min="16140" max="16140" width="7.33203125" style="1" bestFit="1" customWidth="1"/>
    <col min="16141" max="16141" width="13.109375" style="1" bestFit="1" customWidth="1"/>
    <col min="16142" max="16142" width="37.88671875" style="1" customWidth="1"/>
    <col min="16143" max="16143" width="16.33203125" style="1" bestFit="1" customWidth="1"/>
    <col min="16144" max="16144" width="15" style="1" bestFit="1" customWidth="1"/>
    <col min="16145" max="16145" width="11.33203125" style="1" bestFit="1" customWidth="1"/>
    <col min="16146" max="16146" width="11.88671875" style="1" bestFit="1" customWidth="1"/>
    <col min="16147" max="16147" width="14.109375" style="1" customWidth="1"/>
    <col min="16148" max="16148" width="7.6640625" style="1" bestFit="1" customWidth="1"/>
    <col min="16149" max="16149" width="8.88671875" style="1" bestFit="1" customWidth="1"/>
    <col min="16150" max="16150" width="10.109375" style="1" bestFit="1" customWidth="1"/>
    <col min="16151" max="16151" width="6.6640625" style="1" customWidth="1"/>
    <col min="16152" max="16152" width="14.88671875" style="1" customWidth="1"/>
    <col min="16153" max="16153" width="16.33203125" style="1" customWidth="1"/>
    <col min="16154" max="16154" width="14.109375" style="1" customWidth="1"/>
    <col min="16155" max="16155" width="12.5546875" style="1" bestFit="1" customWidth="1"/>
    <col min="16156" max="16157" width="10.6640625" style="1" bestFit="1" customWidth="1"/>
    <col min="16158" max="16384" width="9.109375" style="1"/>
  </cols>
  <sheetData>
    <row r="1" spans="1:29" ht="39.75" customHeight="1">
      <c r="A1" s="169" t="s">
        <v>71</v>
      </c>
      <c r="B1" s="170"/>
      <c r="C1" s="170"/>
      <c r="D1" s="170"/>
      <c r="E1" s="170"/>
      <c r="F1" s="170"/>
      <c r="G1" s="170"/>
      <c r="H1" s="170"/>
      <c r="I1" s="170"/>
      <c r="J1" s="170"/>
      <c r="K1" s="170"/>
      <c r="L1" s="170"/>
      <c r="M1" s="170"/>
      <c r="N1" s="170"/>
      <c r="O1" s="170"/>
      <c r="P1" s="170"/>
      <c r="Q1" s="170"/>
      <c r="R1" s="170"/>
      <c r="S1" s="170"/>
      <c r="T1" s="170"/>
      <c r="U1" s="170"/>
      <c r="V1" s="170"/>
      <c r="W1" s="170"/>
      <c r="X1" s="170"/>
      <c r="Y1" s="170"/>
      <c r="Z1" s="170"/>
      <c r="AA1" s="170"/>
      <c r="AB1" s="170"/>
      <c r="AC1" s="170"/>
    </row>
    <row r="2" spans="1:29" s="10" customFormat="1" ht="66">
      <c r="A2" s="74" t="s">
        <v>44</v>
      </c>
      <c r="B2" s="74" t="s">
        <v>0</v>
      </c>
      <c r="C2" s="74" t="s">
        <v>1</v>
      </c>
      <c r="D2" s="75" t="s">
        <v>2</v>
      </c>
      <c r="E2" s="74" t="s">
        <v>68</v>
      </c>
      <c r="F2" s="76" t="s">
        <v>3</v>
      </c>
      <c r="G2" s="76" t="s">
        <v>70</v>
      </c>
      <c r="H2" s="74" t="s">
        <v>4</v>
      </c>
      <c r="I2" s="74" t="s">
        <v>69</v>
      </c>
      <c r="J2" s="74" t="s">
        <v>5</v>
      </c>
      <c r="K2" s="74" t="s">
        <v>6</v>
      </c>
      <c r="L2" s="75" t="s">
        <v>35</v>
      </c>
      <c r="M2" s="74" t="s">
        <v>7</v>
      </c>
      <c r="N2" s="74" t="s">
        <v>8</v>
      </c>
      <c r="O2" s="74" t="s">
        <v>9</v>
      </c>
      <c r="P2" s="74" t="s">
        <v>10</v>
      </c>
      <c r="Q2" s="74" t="s">
        <v>67</v>
      </c>
      <c r="R2" s="77" t="s">
        <v>11</v>
      </c>
      <c r="S2" s="74" t="s">
        <v>12</v>
      </c>
      <c r="T2" s="74" t="s">
        <v>13</v>
      </c>
      <c r="U2" s="74" t="s">
        <v>14</v>
      </c>
      <c r="V2" s="74" t="s">
        <v>15</v>
      </c>
      <c r="W2" s="74" t="s">
        <v>16</v>
      </c>
      <c r="X2" s="74" t="s">
        <v>17</v>
      </c>
      <c r="Y2" s="74" t="s">
        <v>18</v>
      </c>
      <c r="Z2" s="74" t="s">
        <v>19</v>
      </c>
      <c r="AA2" s="78" t="s">
        <v>20</v>
      </c>
      <c r="AB2" s="78" t="s">
        <v>21</v>
      </c>
      <c r="AC2" s="78" t="s">
        <v>22</v>
      </c>
    </row>
    <row r="3" spans="1:29" s="9" customFormat="1" ht="30" customHeight="1">
      <c r="A3" s="5">
        <v>1</v>
      </c>
      <c r="B3" s="5"/>
      <c r="C3" s="79" t="s">
        <v>72</v>
      </c>
      <c r="D3" s="51"/>
      <c r="E3" s="52"/>
      <c r="F3" s="53"/>
      <c r="G3" s="53"/>
      <c r="H3" s="52"/>
      <c r="I3" s="72"/>
      <c r="J3" s="52"/>
      <c r="K3" s="52"/>
      <c r="L3" s="51"/>
      <c r="M3" s="54"/>
      <c r="N3" s="55"/>
      <c r="O3" s="52"/>
      <c r="P3" s="56"/>
      <c r="Q3" s="56"/>
      <c r="R3" s="51"/>
      <c r="S3" s="57"/>
      <c r="T3" s="52"/>
      <c r="U3" s="52"/>
      <c r="V3" s="52"/>
      <c r="W3" s="52"/>
      <c r="X3" s="58"/>
      <c r="Y3" s="57"/>
      <c r="Z3" s="59"/>
      <c r="AA3" s="17"/>
      <c r="AB3" s="61"/>
      <c r="AC3" s="52"/>
    </row>
    <row r="4" spans="1:29" s="9" customFormat="1" ht="30" customHeight="1">
      <c r="A4" s="5">
        <v>2</v>
      </c>
      <c r="B4" s="5"/>
      <c r="C4" s="79" t="s">
        <v>72</v>
      </c>
      <c r="D4" s="51"/>
      <c r="E4" s="52"/>
      <c r="F4" s="52"/>
      <c r="G4" s="53"/>
      <c r="H4" s="52"/>
      <c r="I4" s="72"/>
      <c r="J4" s="52"/>
      <c r="K4" s="52"/>
      <c r="L4" s="51"/>
      <c r="M4" s="60"/>
      <c r="N4" s="55"/>
      <c r="O4" s="52"/>
      <c r="P4" s="56"/>
      <c r="Q4" s="56"/>
      <c r="R4" s="51"/>
      <c r="S4" s="57"/>
      <c r="T4" s="52"/>
      <c r="U4" s="52"/>
      <c r="V4" s="52"/>
      <c r="W4" s="52"/>
      <c r="X4" s="58"/>
      <c r="Y4" s="57"/>
      <c r="Z4" s="59"/>
      <c r="AA4" s="17"/>
      <c r="AB4" s="61"/>
      <c r="AC4" s="52"/>
    </row>
    <row r="5" spans="1:29" s="9" customFormat="1" ht="30" customHeight="1">
      <c r="A5" s="5">
        <v>3</v>
      </c>
      <c r="B5" s="5">
        <v>1</v>
      </c>
      <c r="C5" s="144" t="s">
        <v>73</v>
      </c>
      <c r="D5" s="51">
        <v>46098</v>
      </c>
      <c r="E5" s="52" t="s">
        <v>74</v>
      </c>
      <c r="F5" s="52">
        <v>6306020149</v>
      </c>
      <c r="G5" s="53"/>
      <c r="H5" s="52">
        <v>1</v>
      </c>
      <c r="I5" s="72"/>
      <c r="J5" s="52">
        <v>1</v>
      </c>
      <c r="K5" s="52">
        <v>1</v>
      </c>
      <c r="L5" s="51">
        <v>46097</v>
      </c>
      <c r="M5" s="60" t="s">
        <v>75</v>
      </c>
      <c r="N5" s="55" t="s">
        <v>76</v>
      </c>
      <c r="O5" s="7">
        <v>4126030600</v>
      </c>
      <c r="P5" s="8">
        <v>46098</v>
      </c>
      <c r="Q5" s="8">
        <v>46109</v>
      </c>
      <c r="R5" s="6">
        <v>46109</v>
      </c>
      <c r="S5" s="57" t="s">
        <v>77</v>
      </c>
      <c r="T5" s="52" t="s">
        <v>139</v>
      </c>
      <c r="U5" s="52" t="s">
        <v>78</v>
      </c>
      <c r="V5" s="52">
        <v>11723</v>
      </c>
      <c r="W5" s="52">
        <v>2</v>
      </c>
      <c r="X5" s="58">
        <v>0</v>
      </c>
      <c r="Y5" s="57">
        <v>1229757</v>
      </c>
      <c r="Z5" s="57">
        <v>1229757</v>
      </c>
      <c r="AA5" s="17">
        <v>46109</v>
      </c>
      <c r="AB5" s="61"/>
      <c r="AC5" s="52"/>
    </row>
    <row r="6" spans="1:29" s="9" customFormat="1" ht="30" customHeight="1">
      <c r="A6" s="5"/>
      <c r="B6" s="5"/>
      <c r="C6" s="81"/>
      <c r="D6" s="51"/>
      <c r="E6" s="52"/>
      <c r="F6" s="52"/>
      <c r="G6" s="53"/>
      <c r="H6" s="52"/>
      <c r="I6" s="72"/>
      <c r="J6" s="52"/>
      <c r="K6" s="52"/>
      <c r="L6" s="51"/>
      <c r="M6" s="60"/>
      <c r="N6" s="55"/>
      <c r="O6" s="143"/>
      <c r="P6" s="8"/>
      <c r="Q6" s="8"/>
      <c r="R6" s="6"/>
      <c r="S6" s="57"/>
      <c r="T6" s="52"/>
      <c r="U6" s="52"/>
      <c r="V6" s="52"/>
      <c r="W6" s="52"/>
      <c r="X6" s="58"/>
      <c r="Y6" s="57"/>
      <c r="Z6" s="59"/>
      <c r="AA6" s="17"/>
      <c r="AB6" s="61"/>
      <c r="AC6" s="52"/>
    </row>
    <row r="9" spans="1:29">
      <c r="A9" s="80"/>
    </row>
    <row r="14" spans="1:29">
      <c r="A14" s="80"/>
    </row>
    <row r="15" spans="1:29">
      <c r="A15" s="80"/>
    </row>
  </sheetData>
  <mergeCells count="1">
    <mergeCell ref="A1:AC1"/>
  </mergeCells>
  <phoneticPr fontId="6" type="noConversion"/>
  <hyperlinks>
    <hyperlink ref="C5" r:id="rId1" xr:uid="{A40EB9C7-6D22-44EF-B166-84A8121FA72C}"/>
  </hyperlinks>
  <pageMargins left="0.7" right="0.7" top="0.75" bottom="0.75" header="0.3" footer="0.3"/>
  <pageSetup paperSize="9" orientation="portrait" verticalDpi="0"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765A9-2509-439B-B9B6-F4A8E560B5B5}">
  <dimension ref="A1:Z72"/>
  <sheetViews>
    <sheetView zoomScale="85" zoomScaleNormal="85" workbookViewId="0">
      <selection activeCell="AE16" sqref="AE16"/>
    </sheetView>
  </sheetViews>
  <sheetFormatPr defaultRowHeight="13.8"/>
  <cols>
    <col min="1" max="1" width="32.33203125" style="82" customWidth="1"/>
    <col min="2" max="2" width="18.109375" style="82" customWidth="1"/>
    <col min="3" max="26" width="6.88671875" style="82" customWidth="1"/>
    <col min="27" max="257" width="8.88671875" style="82"/>
    <col min="258" max="258" width="25.33203125" style="82" bestFit="1" customWidth="1"/>
    <col min="259" max="261" width="9.33203125" style="82" bestFit="1" customWidth="1"/>
    <col min="262" max="268" width="9.44140625" style="82" bestFit="1" customWidth="1"/>
    <col min="269" max="269" width="9.5546875" style="82" customWidth="1"/>
    <col min="270" max="270" width="9.44140625" style="82" bestFit="1" customWidth="1"/>
    <col min="271" max="271" width="9.33203125" style="82" customWidth="1"/>
    <col min="272" max="272" width="10.33203125" style="82" customWidth="1"/>
    <col min="273" max="273" width="9.33203125" style="82" bestFit="1" customWidth="1"/>
    <col min="274" max="274" width="10.33203125" style="82" bestFit="1" customWidth="1"/>
    <col min="275" max="278" width="9.33203125" style="82" bestFit="1" customWidth="1"/>
    <col min="279" max="282" width="10.33203125" style="82" bestFit="1" customWidth="1"/>
    <col min="283" max="513" width="8.88671875" style="82"/>
    <col min="514" max="514" width="25.33203125" style="82" bestFit="1" customWidth="1"/>
    <col min="515" max="517" width="9.33203125" style="82" bestFit="1" customWidth="1"/>
    <col min="518" max="524" width="9.44140625" style="82" bestFit="1" customWidth="1"/>
    <col min="525" max="525" width="9.5546875" style="82" customWidth="1"/>
    <col min="526" max="526" width="9.44140625" style="82" bestFit="1" customWidth="1"/>
    <col min="527" max="527" width="9.33203125" style="82" customWidth="1"/>
    <col min="528" max="528" width="10.33203125" style="82" customWidth="1"/>
    <col min="529" max="529" width="9.33203125" style="82" bestFit="1" customWidth="1"/>
    <col min="530" max="530" width="10.33203125" style="82" bestFit="1" customWidth="1"/>
    <col min="531" max="534" width="9.33203125" style="82" bestFit="1" customWidth="1"/>
    <col min="535" max="538" width="10.33203125" style="82" bestFit="1" customWidth="1"/>
    <col min="539" max="769" width="8.88671875" style="82"/>
    <col min="770" max="770" width="25.33203125" style="82" bestFit="1" customWidth="1"/>
    <col min="771" max="773" width="9.33203125" style="82" bestFit="1" customWidth="1"/>
    <col min="774" max="780" width="9.44140625" style="82" bestFit="1" customWidth="1"/>
    <col min="781" max="781" width="9.5546875" style="82" customWidth="1"/>
    <col min="782" max="782" width="9.44140625" style="82" bestFit="1" customWidth="1"/>
    <col min="783" max="783" width="9.33203125" style="82" customWidth="1"/>
    <col min="784" max="784" width="10.33203125" style="82" customWidth="1"/>
    <col min="785" max="785" width="9.33203125" style="82" bestFit="1" customWidth="1"/>
    <col min="786" max="786" width="10.33203125" style="82" bestFit="1" customWidth="1"/>
    <col min="787" max="790" width="9.33203125" style="82" bestFit="1" customWidth="1"/>
    <col min="791" max="794" width="10.33203125" style="82" bestFit="1" customWidth="1"/>
    <col min="795" max="1025" width="8.88671875" style="82"/>
    <col min="1026" max="1026" width="25.33203125" style="82" bestFit="1" customWidth="1"/>
    <col min="1027" max="1029" width="9.33203125" style="82" bestFit="1" customWidth="1"/>
    <col min="1030" max="1036" width="9.44140625" style="82" bestFit="1" customWidth="1"/>
    <col min="1037" max="1037" width="9.5546875" style="82" customWidth="1"/>
    <col min="1038" max="1038" width="9.44140625" style="82" bestFit="1" customWidth="1"/>
    <col min="1039" max="1039" width="9.33203125" style="82" customWidth="1"/>
    <col min="1040" max="1040" width="10.33203125" style="82" customWidth="1"/>
    <col min="1041" max="1041" width="9.33203125" style="82" bestFit="1" customWidth="1"/>
    <col min="1042" max="1042" width="10.33203125" style="82" bestFit="1" customWidth="1"/>
    <col min="1043" max="1046" width="9.33203125" style="82" bestFit="1" customWidth="1"/>
    <col min="1047" max="1050" width="10.33203125" style="82" bestFit="1" customWidth="1"/>
    <col min="1051" max="1281" width="8.88671875" style="82"/>
    <col min="1282" max="1282" width="25.33203125" style="82" bestFit="1" customWidth="1"/>
    <col min="1283" max="1285" width="9.33203125" style="82" bestFit="1" customWidth="1"/>
    <col min="1286" max="1292" width="9.44140625" style="82" bestFit="1" customWidth="1"/>
    <col min="1293" max="1293" width="9.5546875" style="82" customWidth="1"/>
    <col min="1294" max="1294" width="9.44140625" style="82" bestFit="1" customWidth="1"/>
    <col min="1295" max="1295" width="9.33203125" style="82" customWidth="1"/>
    <col min="1296" max="1296" width="10.33203125" style="82" customWidth="1"/>
    <col min="1297" max="1297" width="9.33203125" style="82" bestFit="1" customWidth="1"/>
    <col min="1298" max="1298" width="10.33203125" style="82" bestFit="1" customWidth="1"/>
    <col min="1299" max="1302" width="9.33203125" style="82" bestFit="1" customWidth="1"/>
    <col min="1303" max="1306" width="10.33203125" style="82" bestFit="1" customWidth="1"/>
    <col min="1307" max="1537" width="8.88671875" style="82"/>
    <col min="1538" max="1538" width="25.33203125" style="82" bestFit="1" customWidth="1"/>
    <col min="1539" max="1541" width="9.33203125" style="82" bestFit="1" customWidth="1"/>
    <col min="1542" max="1548" width="9.44140625" style="82" bestFit="1" customWidth="1"/>
    <col min="1549" max="1549" width="9.5546875" style="82" customWidth="1"/>
    <col min="1550" max="1550" width="9.44140625" style="82" bestFit="1" customWidth="1"/>
    <col min="1551" max="1551" width="9.33203125" style="82" customWidth="1"/>
    <col min="1552" max="1552" width="10.33203125" style="82" customWidth="1"/>
    <col min="1553" max="1553" width="9.33203125" style="82" bestFit="1" customWidth="1"/>
    <col min="1554" max="1554" width="10.33203125" style="82" bestFit="1" customWidth="1"/>
    <col min="1555" max="1558" width="9.33203125" style="82" bestFit="1" customWidth="1"/>
    <col min="1559" max="1562" width="10.33203125" style="82" bestFit="1" customWidth="1"/>
    <col min="1563" max="1793" width="8.88671875" style="82"/>
    <col min="1794" max="1794" width="25.33203125" style="82" bestFit="1" customWidth="1"/>
    <col min="1795" max="1797" width="9.33203125" style="82" bestFit="1" customWidth="1"/>
    <col min="1798" max="1804" width="9.44140625" style="82" bestFit="1" customWidth="1"/>
    <col min="1805" max="1805" width="9.5546875" style="82" customWidth="1"/>
    <col min="1806" max="1806" width="9.44140625" style="82" bestFit="1" customWidth="1"/>
    <col min="1807" max="1807" width="9.33203125" style="82" customWidth="1"/>
    <col min="1808" max="1808" width="10.33203125" style="82" customWidth="1"/>
    <col min="1809" max="1809" width="9.33203125" style="82" bestFit="1" customWidth="1"/>
    <col min="1810" max="1810" width="10.33203125" style="82" bestFit="1" customWidth="1"/>
    <col min="1811" max="1814" width="9.33203125" style="82" bestFit="1" customWidth="1"/>
    <col min="1815" max="1818" width="10.33203125" style="82" bestFit="1" customWidth="1"/>
    <col min="1819" max="2049" width="8.88671875" style="82"/>
    <col min="2050" max="2050" width="25.33203125" style="82" bestFit="1" customWidth="1"/>
    <col min="2051" max="2053" width="9.33203125" style="82" bestFit="1" customWidth="1"/>
    <col min="2054" max="2060" width="9.44140625" style="82" bestFit="1" customWidth="1"/>
    <col min="2061" max="2061" width="9.5546875" style="82" customWidth="1"/>
    <col min="2062" max="2062" width="9.44140625" style="82" bestFit="1" customWidth="1"/>
    <col min="2063" max="2063" width="9.33203125" style="82" customWidth="1"/>
    <col min="2064" max="2064" width="10.33203125" style="82" customWidth="1"/>
    <col min="2065" max="2065" width="9.33203125" style="82" bestFit="1" customWidth="1"/>
    <col min="2066" max="2066" width="10.33203125" style="82" bestFit="1" customWidth="1"/>
    <col min="2067" max="2070" width="9.33203125" style="82" bestFit="1" customWidth="1"/>
    <col min="2071" max="2074" width="10.33203125" style="82" bestFit="1" customWidth="1"/>
    <col min="2075" max="2305" width="8.88671875" style="82"/>
    <col min="2306" max="2306" width="25.33203125" style="82" bestFit="1" customWidth="1"/>
    <col min="2307" max="2309" width="9.33203125" style="82" bestFit="1" customWidth="1"/>
    <col min="2310" max="2316" width="9.44140625" style="82" bestFit="1" customWidth="1"/>
    <col min="2317" max="2317" width="9.5546875" style="82" customWidth="1"/>
    <col min="2318" max="2318" width="9.44140625" style="82" bestFit="1" customWidth="1"/>
    <col min="2319" max="2319" width="9.33203125" style="82" customWidth="1"/>
    <col min="2320" max="2320" width="10.33203125" style="82" customWidth="1"/>
    <col min="2321" max="2321" width="9.33203125" style="82" bestFit="1" customWidth="1"/>
    <col min="2322" max="2322" width="10.33203125" style="82" bestFit="1" customWidth="1"/>
    <col min="2323" max="2326" width="9.33203125" style="82" bestFit="1" customWidth="1"/>
    <col min="2327" max="2330" width="10.33203125" style="82" bestFit="1" customWidth="1"/>
    <col min="2331" max="2561" width="8.88671875" style="82"/>
    <col min="2562" max="2562" width="25.33203125" style="82" bestFit="1" customWidth="1"/>
    <col min="2563" max="2565" width="9.33203125" style="82" bestFit="1" customWidth="1"/>
    <col min="2566" max="2572" width="9.44140625" style="82" bestFit="1" customWidth="1"/>
    <col min="2573" max="2573" width="9.5546875" style="82" customWidth="1"/>
    <col min="2574" max="2574" width="9.44140625" style="82" bestFit="1" customWidth="1"/>
    <col min="2575" max="2575" width="9.33203125" style="82" customWidth="1"/>
    <col min="2576" max="2576" width="10.33203125" style="82" customWidth="1"/>
    <col min="2577" max="2577" width="9.33203125" style="82" bestFit="1" customWidth="1"/>
    <col min="2578" max="2578" width="10.33203125" style="82" bestFit="1" customWidth="1"/>
    <col min="2579" max="2582" width="9.33203125" style="82" bestFit="1" customWidth="1"/>
    <col min="2583" max="2586" width="10.33203125" style="82" bestFit="1" customWidth="1"/>
    <col min="2587" max="2817" width="8.88671875" style="82"/>
    <col min="2818" max="2818" width="25.33203125" style="82" bestFit="1" customWidth="1"/>
    <col min="2819" max="2821" width="9.33203125" style="82" bestFit="1" customWidth="1"/>
    <col min="2822" max="2828" width="9.44140625" style="82" bestFit="1" customWidth="1"/>
    <col min="2829" max="2829" width="9.5546875" style="82" customWidth="1"/>
    <col min="2830" max="2830" width="9.44140625" style="82" bestFit="1" customWidth="1"/>
    <col min="2831" max="2831" width="9.33203125" style="82" customWidth="1"/>
    <col min="2832" max="2832" width="10.33203125" style="82" customWidth="1"/>
    <col min="2833" max="2833" width="9.33203125" style="82" bestFit="1" customWidth="1"/>
    <col min="2834" max="2834" width="10.33203125" style="82" bestFit="1" customWidth="1"/>
    <col min="2835" max="2838" width="9.33203125" style="82" bestFit="1" customWidth="1"/>
    <col min="2839" max="2842" width="10.33203125" style="82" bestFit="1" customWidth="1"/>
    <col min="2843" max="3073" width="8.88671875" style="82"/>
    <col min="3074" max="3074" width="25.33203125" style="82" bestFit="1" customWidth="1"/>
    <col min="3075" max="3077" width="9.33203125" style="82" bestFit="1" customWidth="1"/>
    <col min="3078" max="3084" width="9.44140625" style="82" bestFit="1" customWidth="1"/>
    <col min="3085" max="3085" width="9.5546875" style="82" customWidth="1"/>
    <col min="3086" max="3086" width="9.44140625" style="82" bestFit="1" customWidth="1"/>
    <col min="3087" max="3087" width="9.33203125" style="82" customWidth="1"/>
    <col min="3088" max="3088" width="10.33203125" style="82" customWidth="1"/>
    <col min="3089" max="3089" width="9.33203125" style="82" bestFit="1" customWidth="1"/>
    <col min="3090" max="3090" width="10.33203125" style="82" bestFit="1" customWidth="1"/>
    <col min="3091" max="3094" width="9.33203125" style="82" bestFit="1" customWidth="1"/>
    <col min="3095" max="3098" width="10.33203125" style="82" bestFit="1" customWidth="1"/>
    <col min="3099" max="3329" width="8.88671875" style="82"/>
    <col min="3330" max="3330" width="25.33203125" style="82" bestFit="1" customWidth="1"/>
    <col min="3331" max="3333" width="9.33203125" style="82" bestFit="1" customWidth="1"/>
    <col min="3334" max="3340" width="9.44140625" style="82" bestFit="1" customWidth="1"/>
    <col min="3341" max="3341" width="9.5546875" style="82" customWidth="1"/>
    <col min="3342" max="3342" width="9.44140625" style="82" bestFit="1" customWidth="1"/>
    <col min="3343" max="3343" width="9.33203125" style="82" customWidth="1"/>
    <col min="3344" max="3344" width="10.33203125" style="82" customWidth="1"/>
    <col min="3345" max="3345" width="9.33203125" style="82" bestFit="1" customWidth="1"/>
    <col min="3346" max="3346" width="10.33203125" style="82" bestFit="1" customWidth="1"/>
    <col min="3347" max="3350" width="9.33203125" style="82" bestFit="1" customWidth="1"/>
    <col min="3351" max="3354" width="10.33203125" style="82" bestFit="1" customWidth="1"/>
    <col min="3355" max="3585" width="8.88671875" style="82"/>
    <col min="3586" max="3586" width="25.33203125" style="82" bestFit="1" customWidth="1"/>
    <col min="3587" max="3589" width="9.33203125" style="82" bestFit="1" customWidth="1"/>
    <col min="3590" max="3596" width="9.44140625" style="82" bestFit="1" customWidth="1"/>
    <col min="3597" max="3597" width="9.5546875" style="82" customWidth="1"/>
    <col min="3598" max="3598" width="9.44140625" style="82" bestFit="1" customWidth="1"/>
    <col min="3599" max="3599" width="9.33203125" style="82" customWidth="1"/>
    <col min="3600" max="3600" width="10.33203125" style="82" customWidth="1"/>
    <col min="3601" max="3601" width="9.33203125" style="82" bestFit="1" customWidth="1"/>
    <col min="3602" max="3602" width="10.33203125" style="82" bestFit="1" customWidth="1"/>
    <col min="3603" max="3606" width="9.33203125" style="82" bestFit="1" customWidth="1"/>
    <col min="3607" max="3610" width="10.33203125" style="82" bestFit="1" customWidth="1"/>
    <col min="3611" max="3841" width="8.88671875" style="82"/>
    <col min="3842" max="3842" width="25.33203125" style="82" bestFit="1" customWidth="1"/>
    <col min="3843" max="3845" width="9.33203125" style="82" bestFit="1" customWidth="1"/>
    <col min="3846" max="3852" width="9.44140625" style="82" bestFit="1" customWidth="1"/>
    <col min="3853" max="3853" width="9.5546875" style="82" customWidth="1"/>
    <col min="3854" max="3854" width="9.44140625" style="82" bestFit="1" customWidth="1"/>
    <col min="3855" max="3855" width="9.33203125" style="82" customWidth="1"/>
    <col min="3856" max="3856" width="10.33203125" style="82" customWidth="1"/>
    <col min="3857" max="3857" width="9.33203125" style="82" bestFit="1" customWidth="1"/>
    <col min="3858" max="3858" width="10.33203125" style="82" bestFit="1" customWidth="1"/>
    <col min="3859" max="3862" width="9.33203125" style="82" bestFit="1" customWidth="1"/>
    <col min="3863" max="3866" width="10.33203125" style="82" bestFit="1" customWidth="1"/>
    <col min="3867" max="4097" width="8.88671875" style="82"/>
    <col min="4098" max="4098" width="25.33203125" style="82" bestFit="1" customWidth="1"/>
    <col min="4099" max="4101" width="9.33203125" style="82" bestFit="1" customWidth="1"/>
    <col min="4102" max="4108" width="9.44140625" style="82" bestFit="1" customWidth="1"/>
    <col min="4109" max="4109" width="9.5546875" style="82" customWidth="1"/>
    <col min="4110" max="4110" width="9.44140625" style="82" bestFit="1" customWidth="1"/>
    <col min="4111" max="4111" width="9.33203125" style="82" customWidth="1"/>
    <col min="4112" max="4112" width="10.33203125" style="82" customWidth="1"/>
    <col min="4113" max="4113" width="9.33203125" style="82" bestFit="1" customWidth="1"/>
    <col min="4114" max="4114" width="10.33203125" style="82" bestFit="1" customWidth="1"/>
    <col min="4115" max="4118" width="9.33203125" style="82" bestFit="1" customWidth="1"/>
    <col min="4119" max="4122" width="10.33203125" style="82" bestFit="1" customWidth="1"/>
    <col min="4123" max="4353" width="8.88671875" style="82"/>
    <col min="4354" max="4354" width="25.33203125" style="82" bestFit="1" customWidth="1"/>
    <col min="4355" max="4357" width="9.33203125" style="82" bestFit="1" customWidth="1"/>
    <col min="4358" max="4364" width="9.44140625" style="82" bestFit="1" customWidth="1"/>
    <col min="4365" max="4365" width="9.5546875" style="82" customWidth="1"/>
    <col min="4366" max="4366" width="9.44140625" style="82" bestFit="1" customWidth="1"/>
    <col min="4367" max="4367" width="9.33203125" style="82" customWidth="1"/>
    <col min="4368" max="4368" width="10.33203125" style="82" customWidth="1"/>
    <col min="4369" max="4369" width="9.33203125" style="82" bestFit="1" customWidth="1"/>
    <col min="4370" max="4370" width="10.33203125" style="82" bestFit="1" customWidth="1"/>
    <col min="4371" max="4374" width="9.33203125" style="82" bestFit="1" customWidth="1"/>
    <col min="4375" max="4378" width="10.33203125" style="82" bestFit="1" customWidth="1"/>
    <col min="4379" max="4609" width="8.88671875" style="82"/>
    <col min="4610" max="4610" width="25.33203125" style="82" bestFit="1" customWidth="1"/>
    <col min="4611" max="4613" width="9.33203125" style="82" bestFit="1" customWidth="1"/>
    <col min="4614" max="4620" width="9.44140625" style="82" bestFit="1" customWidth="1"/>
    <col min="4621" max="4621" width="9.5546875" style="82" customWidth="1"/>
    <col min="4622" max="4622" width="9.44140625" style="82" bestFit="1" customWidth="1"/>
    <col min="4623" max="4623" width="9.33203125" style="82" customWidth="1"/>
    <col min="4624" max="4624" width="10.33203125" style="82" customWidth="1"/>
    <col min="4625" max="4625" width="9.33203125" style="82" bestFit="1" customWidth="1"/>
    <col min="4626" max="4626" width="10.33203125" style="82" bestFit="1" customWidth="1"/>
    <col min="4627" max="4630" width="9.33203125" style="82" bestFit="1" customWidth="1"/>
    <col min="4631" max="4634" width="10.33203125" style="82" bestFit="1" customWidth="1"/>
    <col min="4635" max="4865" width="8.88671875" style="82"/>
    <col min="4866" max="4866" width="25.33203125" style="82" bestFit="1" customWidth="1"/>
    <col min="4867" max="4869" width="9.33203125" style="82" bestFit="1" customWidth="1"/>
    <col min="4870" max="4876" width="9.44140625" style="82" bestFit="1" customWidth="1"/>
    <col min="4877" max="4877" width="9.5546875" style="82" customWidth="1"/>
    <col min="4878" max="4878" width="9.44140625" style="82" bestFit="1" customWidth="1"/>
    <col min="4879" max="4879" width="9.33203125" style="82" customWidth="1"/>
    <col min="4880" max="4880" width="10.33203125" style="82" customWidth="1"/>
    <col min="4881" max="4881" width="9.33203125" style="82" bestFit="1" customWidth="1"/>
    <col min="4882" max="4882" width="10.33203125" style="82" bestFit="1" customWidth="1"/>
    <col min="4883" max="4886" width="9.33203125" style="82" bestFit="1" customWidth="1"/>
    <col min="4887" max="4890" width="10.33203125" style="82" bestFit="1" customWidth="1"/>
    <col min="4891" max="5121" width="8.88671875" style="82"/>
    <col min="5122" max="5122" width="25.33203125" style="82" bestFit="1" customWidth="1"/>
    <col min="5123" max="5125" width="9.33203125" style="82" bestFit="1" customWidth="1"/>
    <col min="5126" max="5132" width="9.44140625" style="82" bestFit="1" customWidth="1"/>
    <col min="5133" max="5133" width="9.5546875" style="82" customWidth="1"/>
    <col min="5134" max="5134" width="9.44140625" style="82" bestFit="1" customWidth="1"/>
    <col min="5135" max="5135" width="9.33203125" style="82" customWidth="1"/>
    <col min="5136" max="5136" width="10.33203125" style="82" customWidth="1"/>
    <col min="5137" max="5137" width="9.33203125" style="82" bestFit="1" customWidth="1"/>
    <col min="5138" max="5138" width="10.33203125" style="82" bestFit="1" customWidth="1"/>
    <col min="5139" max="5142" width="9.33203125" style="82" bestFit="1" customWidth="1"/>
    <col min="5143" max="5146" width="10.33203125" style="82" bestFit="1" customWidth="1"/>
    <col min="5147" max="5377" width="8.88671875" style="82"/>
    <col min="5378" max="5378" width="25.33203125" style="82" bestFit="1" customWidth="1"/>
    <col min="5379" max="5381" width="9.33203125" style="82" bestFit="1" customWidth="1"/>
    <col min="5382" max="5388" width="9.44140625" style="82" bestFit="1" customWidth="1"/>
    <col min="5389" max="5389" width="9.5546875" style="82" customWidth="1"/>
    <col min="5390" max="5390" width="9.44140625" style="82" bestFit="1" customWidth="1"/>
    <col min="5391" max="5391" width="9.33203125" style="82" customWidth="1"/>
    <col min="5392" max="5392" width="10.33203125" style="82" customWidth="1"/>
    <col min="5393" max="5393" width="9.33203125" style="82" bestFit="1" customWidth="1"/>
    <col min="5394" max="5394" width="10.33203125" style="82" bestFit="1" customWidth="1"/>
    <col min="5395" max="5398" width="9.33203125" style="82" bestFit="1" customWidth="1"/>
    <col min="5399" max="5402" width="10.33203125" style="82" bestFit="1" customWidth="1"/>
    <col min="5403" max="5633" width="8.88671875" style="82"/>
    <col min="5634" max="5634" width="25.33203125" style="82" bestFit="1" customWidth="1"/>
    <col min="5635" max="5637" width="9.33203125" style="82" bestFit="1" customWidth="1"/>
    <col min="5638" max="5644" width="9.44140625" style="82" bestFit="1" customWidth="1"/>
    <col min="5645" max="5645" width="9.5546875" style="82" customWidth="1"/>
    <col min="5646" max="5646" width="9.44140625" style="82" bestFit="1" customWidth="1"/>
    <col min="5647" max="5647" width="9.33203125" style="82" customWidth="1"/>
    <col min="5648" max="5648" width="10.33203125" style="82" customWidth="1"/>
    <col min="5649" max="5649" width="9.33203125" style="82" bestFit="1" customWidth="1"/>
    <col min="5650" max="5650" width="10.33203125" style="82" bestFit="1" customWidth="1"/>
    <col min="5651" max="5654" width="9.33203125" style="82" bestFit="1" customWidth="1"/>
    <col min="5655" max="5658" width="10.33203125" style="82" bestFit="1" customWidth="1"/>
    <col min="5659" max="5889" width="8.88671875" style="82"/>
    <col min="5890" max="5890" width="25.33203125" style="82" bestFit="1" customWidth="1"/>
    <col min="5891" max="5893" width="9.33203125" style="82" bestFit="1" customWidth="1"/>
    <col min="5894" max="5900" width="9.44140625" style="82" bestFit="1" customWidth="1"/>
    <col min="5901" max="5901" width="9.5546875" style="82" customWidth="1"/>
    <col min="5902" max="5902" width="9.44140625" style="82" bestFit="1" customWidth="1"/>
    <col min="5903" max="5903" width="9.33203125" style="82" customWidth="1"/>
    <col min="5904" max="5904" width="10.33203125" style="82" customWidth="1"/>
    <col min="5905" max="5905" width="9.33203125" style="82" bestFit="1" customWidth="1"/>
    <col min="5906" max="5906" width="10.33203125" style="82" bestFit="1" customWidth="1"/>
    <col min="5907" max="5910" width="9.33203125" style="82" bestFit="1" customWidth="1"/>
    <col min="5911" max="5914" width="10.33203125" style="82" bestFit="1" customWidth="1"/>
    <col min="5915" max="6145" width="8.88671875" style="82"/>
    <col min="6146" max="6146" width="25.33203125" style="82" bestFit="1" customWidth="1"/>
    <col min="6147" max="6149" width="9.33203125" style="82" bestFit="1" customWidth="1"/>
    <col min="6150" max="6156" width="9.44140625" style="82" bestFit="1" customWidth="1"/>
    <col min="6157" max="6157" width="9.5546875" style="82" customWidth="1"/>
    <col min="6158" max="6158" width="9.44140625" style="82" bestFit="1" customWidth="1"/>
    <col min="6159" max="6159" width="9.33203125" style="82" customWidth="1"/>
    <col min="6160" max="6160" width="10.33203125" style="82" customWidth="1"/>
    <col min="6161" max="6161" width="9.33203125" style="82" bestFit="1" customWidth="1"/>
    <col min="6162" max="6162" width="10.33203125" style="82" bestFit="1" customWidth="1"/>
    <col min="6163" max="6166" width="9.33203125" style="82" bestFit="1" customWidth="1"/>
    <col min="6167" max="6170" width="10.33203125" style="82" bestFit="1" customWidth="1"/>
    <col min="6171" max="6401" width="8.88671875" style="82"/>
    <col min="6402" max="6402" width="25.33203125" style="82" bestFit="1" customWidth="1"/>
    <col min="6403" max="6405" width="9.33203125" style="82" bestFit="1" customWidth="1"/>
    <col min="6406" max="6412" width="9.44140625" style="82" bestFit="1" customWidth="1"/>
    <col min="6413" max="6413" width="9.5546875" style="82" customWidth="1"/>
    <col min="6414" max="6414" width="9.44140625" style="82" bestFit="1" customWidth="1"/>
    <col min="6415" max="6415" width="9.33203125" style="82" customWidth="1"/>
    <col min="6416" max="6416" width="10.33203125" style="82" customWidth="1"/>
    <col min="6417" max="6417" width="9.33203125" style="82" bestFit="1" customWidth="1"/>
    <col min="6418" max="6418" width="10.33203125" style="82" bestFit="1" customWidth="1"/>
    <col min="6419" max="6422" width="9.33203125" style="82" bestFit="1" customWidth="1"/>
    <col min="6423" max="6426" width="10.33203125" style="82" bestFit="1" customWidth="1"/>
    <col min="6427" max="6657" width="8.88671875" style="82"/>
    <col min="6658" max="6658" width="25.33203125" style="82" bestFit="1" customWidth="1"/>
    <col min="6659" max="6661" width="9.33203125" style="82" bestFit="1" customWidth="1"/>
    <col min="6662" max="6668" width="9.44140625" style="82" bestFit="1" customWidth="1"/>
    <col min="6669" max="6669" width="9.5546875" style="82" customWidth="1"/>
    <col min="6670" max="6670" width="9.44140625" style="82" bestFit="1" customWidth="1"/>
    <col min="6671" max="6671" width="9.33203125" style="82" customWidth="1"/>
    <col min="6672" max="6672" width="10.33203125" style="82" customWidth="1"/>
    <col min="6673" max="6673" width="9.33203125" style="82" bestFit="1" customWidth="1"/>
    <col min="6674" max="6674" width="10.33203125" style="82" bestFit="1" customWidth="1"/>
    <col min="6675" max="6678" width="9.33203125" style="82" bestFit="1" customWidth="1"/>
    <col min="6679" max="6682" width="10.33203125" style="82" bestFit="1" customWidth="1"/>
    <col min="6683" max="6913" width="8.88671875" style="82"/>
    <col min="6914" max="6914" width="25.33203125" style="82" bestFit="1" customWidth="1"/>
    <col min="6915" max="6917" width="9.33203125" style="82" bestFit="1" customWidth="1"/>
    <col min="6918" max="6924" width="9.44140625" style="82" bestFit="1" customWidth="1"/>
    <col min="6925" max="6925" width="9.5546875" style="82" customWidth="1"/>
    <col min="6926" max="6926" width="9.44140625" style="82" bestFit="1" customWidth="1"/>
    <col min="6927" max="6927" width="9.33203125" style="82" customWidth="1"/>
    <col min="6928" max="6928" width="10.33203125" style="82" customWidth="1"/>
    <col min="6929" max="6929" width="9.33203125" style="82" bestFit="1" customWidth="1"/>
    <col min="6930" max="6930" width="10.33203125" style="82" bestFit="1" customWidth="1"/>
    <col min="6931" max="6934" width="9.33203125" style="82" bestFit="1" customWidth="1"/>
    <col min="6935" max="6938" width="10.33203125" style="82" bestFit="1" customWidth="1"/>
    <col min="6939" max="7169" width="8.88671875" style="82"/>
    <col min="7170" max="7170" width="25.33203125" style="82" bestFit="1" customWidth="1"/>
    <col min="7171" max="7173" width="9.33203125" style="82" bestFit="1" customWidth="1"/>
    <col min="7174" max="7180" width="9.44140625" style="82" bestFit="1" customWidth="1"/>
    <col min="7181" max="7181" width="9.5546875" style="82" customWidth="1"/>
    <col min="7182" max="7182" width="9.44140625" style="82" bestFit="1" customWidth="1"/>
    <col min="7183" max="7183" width="9.33203125" style="82" customWidth="1"/>
    <col min="7184" max="7184" width="10.33203125" style="82" customWidth="1"/>
    <col min="7185" max="7185" width="9.33203125" style="82" bestFit="1" customWidth="1"/>
    <col min="7186" max="7186" width="10.33203125" style="82" bestFit="1" customWidth="1"/>
    <col min="7187" max="7190" width="9.33203125" style="82" bestFit="1" customWidth="1"/>
    <col min="7191" max="7194" width="10.33203125" style="82" bestFit="1" customWidth="1"/>
    <col min="7195" max="7425" width="8.88671875" style="82"/>
    <col min="7426" max="7426" width="25.33203125" style="82" bestFit="1" customWidth="1"/>
    <col min="7427" max="7429" width="9.33203125" style="82" bestFit="1" customWidth="1"/>
    <col min="7430" max="7436" width="9.44140625" style="82" bestFit="1" customWidth="1"/>
    <col min="7437" max="7437" width="9.5546875" style="82" customWidth="1"/>
    <col min="7438" max="7438" width="9.44140625" style="82" bestFit="1" customWidth="1"/>
    <col min="7439" max="7439" width="9.33203125" style="82" customWidth="1"/>
    <col min="7440" max="7440" width="10.33203125" style="82" customWidth="1"/>
    <col min="7441" max="7441" width="9.33203125" style="82" bestFit="1" customWidth="1"/>
    <col min="7442" max="7442" width="10.33203125" style="82" bestFit="1" customWidth="1"/>
    <col min="7443" max="7446" width="9.33203125" style="82" bestFit="1" customWidth="1"/>
    <col min="7447" max="7450" width="10.33203125" style="82" bestFit="1" customWidth="1"/>
    <col min="7451" max="7681" width="8.88671875" style="82"/>
    <col min="7682" max="7682" width="25.33203125" style="82" bestFit="1" customWidth="1"/>
    <col min="7683" max="7685" width="9.33203125" style="82" bestFit="1" customWidth="1"/>
    <col min="7686" max="7692" width="9.44140625" style="82" bestFit="1" customWidth="1"/>
    <col min="7693" max="7693" width="9.5546875" style="82" customWidth="1"/>
    <col min="7694" max="7694" width="9.44140625" style="82" bestFit="1" customWidth="1"/>
    <col min="7695" max="7695" width="9.33203125" style="82" customWidth="1"/>
    <col min="7696" max="7696" width="10.33203125" style="82" customWidth="1"/>
    <col min="7697" max="7697" width="9.33203125" style="82" bestFit="1" customWidth="1"/>
    <col min="7698" max="7698" width="10.33203125" style="82" bestFit="1" customWidth="1"/>
    <col min="7699" max="7702" width="9.33203125" style="82" bestFit="1" customWidth="1"/>
    <col min="7703" max="7706" width="10.33203125" style="82" bestFit="1" customWidth="1"/>
    <col min="7707" max="7937" width="8.88671875" style="82"/>
    <col min="7938" max="7938" width="25.33203125" style="82" bestFit="1" customWidth="1"/>
    <col min="7939" max="7941" width="9.33203125" style="82" bestFit="1" customWidth="1"/>
    <col min="7942" max="7948" width="9.44140625" style="82" bestFit="1" customWidth="1"/>
    <col min="7949" max="7949" width="9.5546875" style="82" customWidth="1"/>
    <col min="7950" max="7950" width="9.44140625" style="82" bestFit="1" customWidth="1"/>
    <col min="7951" max="7951" width="9.33203125" style="82" customWidth="1"/>
    <col min="7952" max="7952" width="10.33203125" style="82" customWidth="1"/>
    <col min="7953" max="7953" width="9.33203125" style="82" bestFit="1" customWidth="1"/>
    <col min="7954" max="7954" width="10.33203125" style="82" bestFit="1" customWidth="1"/>
    <col min="7955" max="7958" width="9.33203125" style="82" bestFit="1" customWidth="1"/>
    <col min="7959" max="7962" width="10.33203125" style="82" bestFit="1" customWidth="1"/>
    <col min="7963" max="8193" width="8.88671875" style="82"/>
    <col min="8194" max="8194" width="25.33203125" style="82" bestFit="1" customWidth="1"/>
    <col min="8195" max="8197" width="9.33203125" style="82" bestFit="1" customWidth="1"/>
    <col min="8198" max="8204" width="9.44140625" style="82" bestFit="1" customWidth="1"/>
    <col min="8205" max="8205" width="9.5546875" style="82" customWidth="1"/>
    <col min="8206" max="8206" width="9.44140625" style="82" bestFit="1" customWidth="1"/>
    <col min="8207" max="8207" width="9.33203125" style="82" customWidth="1"/>
    <col min="8208" max="8208" width="10.33203125" style="82" customWidth="1"/>
    <col min="8209" max="8209" width="9.33203125" style="82" bestFit="1" customWidth="1"/>
    <col min="8210" max="8210" width="10.33203125" style="82" bestFit="1" customWidth="1"/>
    <col min="8211" max="8214" width="9.33203125" style="82" bestFit="1" customWidth="1"/>
    <col min="8215" max="8218" width="10.33203125" style="82" bestFit="1" customWidth="1"/>
    <col min="8219" max="8449" width="8.88671875" style="82"/>
    <col min="8450" max="8450" width="25.33203125" style="82" bestFit="1" customWidth="1"/>
    <col min="8451" max="8453" width="9.33203125" style="82" bestFit="1" customWidth="1"/>
    <col min="8454" max="8460" width="9.44140625" style="82" bestFit="1" customWidth="1"/>
    <col min="8461" max="8461" width="9.5546875" style="82" customWidth="1"/>
    <col min="8462" max="8462" width="9.44140625" style="82" bestFit="1" customWidth="1"/>
    <col min="8463" max="8463" width="9.33203125" style="82" customWidth="1"/>
    <col min="8464" max="8464" width="10.33203125" style="82" customWidth="1"/>
    <col min="8465" max="8465" width="9.33203125" style="82" bestFit="1" customWidth="1"/>
    <col min="8466" max="8466" width="10.33203125" style="82" bestFit="1" customWidth="1"/>
    <col min="8467" max="8470" width="9.33203125" style="82" bestFit="1" customWidth="1"/>
    <col min="8471" max="8474" width="10.33203125" style="82" bestFit="1" customWidth="1"/>
    <col min="8475" max="8705" width="8.88671875" style="82"/>
    <col min="8706" max="8706" width="25.33203125" style="82" bestFit="1" customWidth="1"/>
    <col min="8707" max="8709" width="9.33203125" style="82" bestFit="1" customWidth="1"/>
    <col min="8710" max="8716" width="9.44140625" style="82" bestFit="1" customWidth="1"/>
    <col min="8717" max="8717" width="9.5546875" style="82" customWidth="1"/>
    <col min="8718" max="8718" width="9.44140625" style="82" bestFit="1" customWidth="1"/>
    <col min="8719" max="8719" width="9.33203125" style="82" customWidth="1"/>
    <col min="8720" max="8720" width="10.33203125" style="82" customWidth="1"/>
    <col min="8721" max="8721" width="9.33203125" style="82" bestFit="1" customWidth="1"/>
    <col min="8722" max="8722" width="10.33203125" style="82" bestFit="1" customWidth="1"/>
    <col min="8723" max="8726" width="9.33203125" style="82" bestFit="1" customWidth="1"/>
    <col min="8727" max="8730" width="10.33203125" style="82" bestFit="1" customWidth="1"/>
    <col min="8731" max="8961" width="8.88671875" style="82"/>
    <col min="8962" max="8962" width="25.33203125" style="82" bestFit="1" customWidth="1"/>
    <col min="8963" max="8965" width="9.33203125" style="82" bestFit="1" customWidth="1"/>
    <col min="8966" max="8972" width="9.44140625" style="82" bestFit="1" customWidth="1"/>
    <col min="8973" max="8973" width="9.5546875" style="82" customWidth="1"/>
    <col min="8974" max="8974" width="9.44140625" style="82" bestFit="1" customWidth="1"/>
    <col min="8975" max="8975" width="9.33203125" style="82" customWidth="1"/>
    <col min="8976" max="8976" width="10.33203125" style="82" customWidth="1"/>
    <col min="8977" max="8977" width="9.33203125" style="82" bestFit="1" customWidth="1"/>
    <col min="8978" max="8978" width="10.33203125" style="82" bestFit="1" customWidth="1"/>
    <col min="8979" max="8982" width="9.33203125" style="82" bestFit="1" customWidth="1"/>
    <col min="8983" max="8986" width="10.33203125" style="82" bestFit="1" customWidth="1"/>
    <col min="8987" max="9217" width="8.88671875" style="82"/>
    <col min="9218" max="9218" width="25.33203125" style="82" bestFit="1" customWidth="1"/>
    <col min="9219" max="9221" width="9.33203125" style="82" bestFit="1" customWidth="1"/>
    <col min="9222" max="9228" width="9.44140625" style="82" bestFit="1" customWidth="1"/>
    <col min="9229" max="9229" width="9.5546875" style="82" customWidth="1"/>
    <col min="9230" max="9230" width="9.44140625" style="82" bestFit="1" customWidth="1"/>
    <col min="9231" max="9231" width="9.33203125" style="82" customWidth="1"/>
    <col min="9232" max="9232" width="10.33203125" style="82" customWidth="1"/>
    <col min="9233" max="9233" width="9.33203125" style="82" bestFit="1" customWidth="1"/>
    <col min="9234" max="9234" width="10.33203125" style="82" bestFit="1" customWidth="1"/>
    <col min="9235" max="9238" width="9.33203125" style="82" bestFit="1" customWidth="1"/>
    <col min="9239" max="9242" width="10.33203125" style="82" bestFit="1" customWidth="1"/>
    <col min="9243" max="9473" width="8.88671875" style="82"/>
    <col min="9474" max="9474" width="25.33203125" style="82" bestFit="1" customWidth="1"/>
    <col min="9475" max="9477" width="9.33203125" style="82" bestFit="1" customWidth="1"/>
    <col min="9478" max="9484" width="9.44140625" style="82" bestFit="1" customWidth="1"/>
    <col min="9485" max="9485" width="9.5546875" style="82" customWidth="1"/>
    <col min="9486" max="9486" width="9.44140625" style="82" bestFit="1" customWidth="1"/>
    <col min="9487" max="9487" width="9.33203125" style="82" customWidth="1"/>
    <col min="9488" max="9488" width="10.33203125" style="82" customWidth="1"/>
    <col min="9489" max="9489" width="9.33203125" style="82" bestFit="1" customWidth="1"/>
    <col min="9490" max="9490" width="10.33203125" style="82" bestFit="1" customWidth="1"/>
    <col min="9491" max="9494" width="9.33203125" style="82" bestFit="1" customWidth="1"/>
    <col min="9495" max="9498" width="10.33203125" style="82" bestFit="1" customWidth="1"/>
    <col min="9499" max="9729" width="8.88671875" style="82"/>
    <col min="9730" max="9730" width="25.33203125" style="82" bestFit="1" customWidth="1"/>
    <col min="9731" max="9733" width="9.33203125" style="82" bestFit="1" customWidth="1"/>
    <col min="9734" max="9740" width="9.44140625" style="82" bestFit="1" customWidth="1"/>
    <col min="9741" max="9741" width="9.5546875" style="82" customWidth="1"/>
    <col min="9742" max="9742" width="9.44140625" style="82" bestFit="1" customWidth="1"/>
    <col min="9743" max="9743" width="9.33203125" style="82" customWidth="1"/>
    <col min="9744" max="9744" width="10.33203125" style="82" customWidth="1"/>
    <col min="9745" max="9745" width="9.33203125" style="82" bestFit="1" customWidth="1"/>
    <col min="9746" max="9746" width="10.33203125" style="82" bestFit="1" customWidth="1"/>
    <col min="9747" max="9750" width="9.33203125" style="82" bestFit="1" customWidth="1"/>
    <col min="9751" max="9754" width="10.33203125" style="82" bestFit="1" customWidth="1"/>
    <col min="9755" max="9985" width="8.88671875" style="82"/>
    <col min="9986" max="9986" width="25.33203125" style="82" bestFit="1" customWidth="1"/>
    <col min="9987" max="9989" width="9.33203125" style="82" bestFit="1" customWidth="1"/>
    <col min="9990" max="9996" width="9.44140625" style="82" bestFit="1" customWidth="1"/>
    <col min="9997" max="9997" width="9.5546875" style="82" customWidth="1"/>
    <col min="9998" max="9998" width="9.44140625" style="82" bestFit="1" customWidth="1"/>
    <col min="9999" max="9999" width="9.33203125" style="82" customWidth="1"/>
    <col min="10000" max="10000" width="10.33203125" style="82" customWidth="1"/>
    <col min="10001" max="10001" width="9.33203125" style="82" bestFit="1" customWidth="1"/>
    <col min="10002" max="10002" width="10.33203125" style="82" bestFit="1" customWidth="1"/>
    <col min="10003" max="10006" width="9.33203125" style="82" bestFit="1" customWidth="1"/>
    <col min="10007" max="10010" width="10.33203125" style="82" bestFit="1" customWidth="1"/>
    <col min="10011" max="10241" width="8.88671875" style="82"/>
    <col min="10242" max="10242" width="25.33203125" style="82" bestFit="1" customWidth="1"/>
    <col min="10243" max="10245" width="9.33203125" style="82" bestFit="1" customWidth="1"/>
    <col min="10246" max="10252" width="9.44140625" style="82" bestFit="1" customWidth="1"/>
    <col min="10253" max="10253" width="9.5546875" style="82" customWidth="1"/>
    <col min="10254" max="10254" width="9.44140625" style="82" bestFit="1" customWidth="1"/>
    <col min="10255" max="10255" width="9.33203125" style="82" customWidth="1"/>
    <col min="10256" max="10256" width="10.33203125" style="82" customWidth="1"/>
    <col min="10257" max="10257" width="9.33203125" style="82" bestFit="1" customWidth="1"/>
    <col min="10258" max="10258" width="10.33203125" style="82" bestFit="1" customWidth="1"/>
    <col min="10259" max="10262" width="9.33203125" style="82" bestFit="1" customWidth="1"/>
    <col min="10263" max="10266" width="10.33203125" style="82" bestFit="1" customWidth="1"/>
    <col min="10267" max="10497" width="8.88671875" style="82"/>
    <col min="10498" max="10498" width="25.33203125" style="82" bestFit="1" customWidth="1"/>
    <col min="10499" max="10501" width="9.33203125" style="82" bestFit="1" customWidth="1"/>
    <col min="10502" max="10508" width="9.44140625" style="82" bestFit="1" customWidth="1"/>
    <col min="10509" max="10509" width="9.5546875" style="82" customWidth="1"/>
    <col min="10510" max="10510" width="9.44140625" style="82" bestFit="1" customWidth="1"/>
    <col min="10511" max="10511" width="9.33203125" style="82" customWidth="1"/>
    <col min="10512" max="10512" width="10.33203125" style="82" customWidth="1"/>
    <col min="10513" max="10513" width="9.33203125" style="82" bestFit="1" customWidth="1"/>
    <col min="10514" max="10514" width="10.33203125" style="82" bestFit="1" customWidth="1"/>
    <col min="10515" max="10518" width="9.33203125" style="82" bestFit="1" customWidth="1"/>
    <col min="10519" max="10522" width="10.33203125" style="82" bestFit="1" customWidth="1"/>
    <col min="10523" max="10753" width="8.88671875" style="82"/>
    <col min="10754" max="10754" width="25.33203125" style="82" bestFit="1" customWidth="1"/>
    <col min="10755" max="10757" width="9.33203125" style="82" bestFit="1" customWidth="1"/>
    <col min="10758" max="10764" width="9.44140625" style="82" bestFit="1" customWidth="1"/>
    <col min="10765" max="10765" width="9.5546875" style="82" customWidth="1"/>
    <col min="10766" max="10766" width="9.44140625" style="82" bestFit="1" customWidth="1"/>
    <col min="10767" max="10767" width="9.33203125" style="82" customWidth="1"/>
    <col min="10768" max="10768" width="10.33203125" style="82" customWidth="1"/>
    <col min="10769" max="10769" width="9.33203125" style="82" bestFit="1" customWidth="1"/>
    <col min="10770" max="10770" width="10.33203125" style="82" bestFit="1" customWidth="1"/>
    <col min="10771" max="10774" width="9.33203125" style="82" bestFit="1" customWidth="1"/>
    <col min="10775" max="10778" width="10.33203125" style="82" bestFit="1" customWidth="1"/>
    <col min="10779" max="11009" width="8.88671875" style="82"/>
    <col min="11010" max="11010" width="25.33203125" style="82" bestFit="1" customWidth="1"/>
    <col min="11011" max="11013" width="9.33203125" style="82" bestFit="1" customWidth="1"/>
    <col min="11014" max="11020" width="9.44140625" style="82" bestFit="1" customWidth="1"/>
    <col min="11021" max="11021" width="9.5546875" style="82" customWidth="1"/>
    <col min="11022" max="11022" width="9.44140625" style="82" bestFit="1" customWidth="1"/>
    <col min="11023" max="11023" width="9.33203125" style="82" customWidth="1"/>
    <col min="11024" max="11024" width="10.33203125" style="82" customWidth="1"/>
    <col min="11025" max="11025" width="9.33203125" style="82" bestFit="1" customWidth="1"/>
    <col min="11026" max="11026" width="10.33203125" style="82" bestFit="1" customWidth="1"/>
    <col min="11027" max="11030" width="9.33203125" style="82" bestFit="1" customWidth="1"/>
    <col min="11031" max="11034" width="10.33203125" style="82" bestFit="1" customWidth="1"/>
    <col min="11035" max="11265" width="8.88671875" style="82"/>
    <col min="11266" max="11266" width="25.33203125" style="82" bestFit="1" customWidth="1"/>
    <col min="11267" max="11269" width="9.33203125" style="82" bestFit="1" customWidth="1"/>
    <col min="11270" max="11276" width="9.44140625" style="82" bestFit="1" customWidth="1"/>
    <col min="11277" max="11277" width="9.5546875" style="82" customWidth="1"/>
    <col min="11278" max="11278" width="9.44140625" style="82" bestFit="1" customWidth="1"/>
    <col min="11279" max="11279" width="9.33203125" style="82" customWidth="1"/>
    <col min="11280" max="11280" width="10.33203125" style="82" customWidth="1"/>
    <col min="11281" max="11281" width="9.33203125" style="82" bestFit="1" customWidth="1"/>
    <col min="11282" max="11282" width="10.33203125" style="82" bestFit="1" customWidth="1"/>
    <col min="11283" max="11286" width="9.33203125" style="82" bestFit="1" customWidth="1"/>
    <col min="11287" max="11290" width="10.33203125" style="82" bestFit="1" customWidth="1"/>
    <col min="11291" max="11521" width="8.88671875" style="82"/>
    <col min="11522" max="11522" width="25.33203125" style="82" bestFit="1" customWidth="1"/>
    <col min="11523" max="11525" width="9.33203125" style="82" bestFit="1" customWidth="1"/>
    <col min="11526" max="11532" width="9.44140625" style="82" bestFit="1" customWidth="1"/>
    <col min="11533" max="11533" width="9.5546875" style="82" customWidth="1"/>
    <col min="11534" max="11534" width="9.44140625" style="82" bestFit="1" customWidth="1"/>
    <col min="11535" max="11535" width="9.33203125" style="82" customWidth="1"/>
    <col min="11536" max="11536" width="10.33203125" style="82" customWidth="1"/>
    <col min="11537" max="11537" width="9.33203125" style="82" bestFit="1" customWidth="1"/>
    <col min="11538" max="11538" width="10.33203125" style="82" bestFit="1" customWidth="1"/>
    <col min="11539" max="11542" width="9.33203125" style="82" bestFit="1" customWidth="1"/>
    <col min="11543" max="11546" width="10.33203125" style="82" bestFit="1" customWidth="1"/>
    <col min="11547" max="11777" width="8.88671875" style="82"/>
    <col min="11778" max="11778" width="25.33203125" style="82" bestFit="1" customWidth="1"/>
    <col min="11779" max="11781" width="9.33203125" style="82" bestFit="1" customWidth="1"/>
    <col min="11782" max="11788" width="9.44140625" style="82" bestFit="1" customWidth="1"/>
    <col min="11789" max="11789" width="9.5546875" style="82" customWidth="1"/>
    <col min="11790" max="11790" width="9.44140625" style="82" bestFit="1" customWidth="1"/>
    <col min="11791" max="11791" width="9.33203125" style="82" customWidth="1"/>
    <col min="11792" max="11792" width="10.33203125" style="82" customWidth="1"/>
    <col min="11793" max="11793" width="9.33203125" style="82" bestFit="1" customWidth="1"/>
    <col min="11794" max="11794" width="10.33203125" style="82" bestFit="1" customWidth="1"/>
    <col min="11795" max="11798" width="9.33203125" style="82" bestFit="1" customWidth="1"/>
    <col min="11799" max="11802" width="10.33203125" style="82" bestFit="1" customWidth="1"/>
    <col min="11803" max="12033" width="8.88671875" style="82"/>
    <col min="12034" max="12034" width="25.33203125" style="82" bestFit="1" customWidth="1"/>
    <col min="12035" max="12037" width="9.33203125" style="82" bestFit="1" customWidth="1"/>
    <col min="12038" max="12044" width="9.44140625" style="82" bestFit="1" customWidth="1"/>
    <col min="12045" max="12045" width="9.5546875" style="82" customWidth="1"/>
    <col min="12046" max="12046" width="9.44140625" style="82" bestFit="1" customWidth="1"/>
    <col min="12047" max="12047" width="9.33203125" style="82" customWidth="1"/>
    <col min="12048" max="12048" width="10.33203125" style="82" customWidth="1"/>
    <col min="12049" max="12049" width="9.33203125" style="82" bestFit="1" customWidth="1"/>
    <col min="12050" max="12050" width="10.33203125" style="82" bestFit="1" customWidth="1"/>
    <col min="12051" max="12054" width="9.33203125" style="82" bestFit="1" customWidth="1"/>
    <col min="12055" max="12058" width="10.33203125" style="82" bestFit="1" customWidth="1"/>
    <col min="12059" max="12289" width="8.88671875" style="82"/>
    <col min="12290" max="12290" width="25.33203125" style="82" bestFit="1" customWidth="1"/>
    <col min="12291" max="12293" width="9.33203125" style="82" bestFit="1" customWidth="1"/>
    <col min="12294" max="12300" width="9.44140625" style="82" bestFit="1" customWidth="1"/>
    <col min="12301" max="12301" width="9.5546875" style="82" customWidth="1"/>
    <col min="12302" max="12302" width="9.44140625" style="82" bestFit="1" customWidth="1"/>
    <col min="12303" max="12303" width="9.33203125" style="82" customWidth="1"/>
    <col min="12304" max="12304" width="10.33203125" style="82" customWidth="1"/>
    <col min="12305" max="12305" width="9.33203125" style="82" bestFit="1" customWidth="1"/>
    <col min="12306" max="12306" width="10.33203125" style="82" bestFit="1" customWidth="1"/>
    <col min="12307" max="12310" width="9.33203125" style="82" bestFit="1" customWidth="1"/>
    <col min="12311" max="12314" width="10.33203125" style="82" bestFit="1" customWidth="1"/>
    <col min="12315" max="12545" width="8.88671875" style="82"/>
    <col min="12546" max="12546" width="25.33203125" style="82" bestFit="1" customWidth="1"/>
    <col min="12547" max="12549" width="9.33203125" style="82" bestFit="1" customWidth="1"/>
    <col min="12550" max="12556" width="9.44140625" style="82" bestFit="1" customWidth="1"/>
    <col min="12557" max="12557" width="9.5546875" style="82" customWidth="1"/>
    <col min="12558" max="12558" width="9.44140625" style="82" bestFit="1" customWidth="1"/>
    <col min="12559" max="12559" width="9.33203125" style="82" customWidth="1"/>
    <col min="12560" max="12560" width="10.33203125" style="82" customWidth="1"/>
    <col min="12561" max="12561" width="9.33203125" style="82" bestFit="1" customWidth="1"/>
    <col min="12562" max="12562" width="10.33203125" style="82" bestFit="1" customWidth="1"/>
    <col min="12563" max="12566" width="9.33203125" style="82" bestFit="1" customWidth="1"/>
    <col min="12567" max="12570" width="10.33203125" style="82" bestFit="1" customWidth="1"/>
    <col min="12571" max="12801" width="8.88671875" style="82"/>
    <col min="12802" max="12802" width="25.33203125" style="82" bestFit="1" customWidth="1"/>
    <col min="12803" max="12805" width="9.33203125" style="82" bestFit="1" customWidth="1"/>
    <col min="12806" max="12812" width="9.44140625" style="82" bestFit="1" customWidth="1"/>
    <col min="12813" max="12813" width="9.5546875" style="82" customWidth="1"/>
    <col min="12814" max="12814" width="9.44140625" style="82" bestFit="1" customWidth="1"/>
    <col min="12815" max="12815" width="9.33203125" style="82" customWidth="1"/>
    <col min="12816" max="12816" width="10.33203125" style="82" customWidth="1"/>
    <col min="12817" max="12817" width="9.33203125" style="82" bestFit="1" customWidth="1"/>
    <col min="12818" max="12818" width="10.33203125" style="82" bestFit="1" customWidth="1"/>
    <col min="12819" max="12822" width="9.33203125" style="82" bestFit="1" customWidth="1"/>
    <col min="12823" max="12826" width="10.33203125" style="82" bestFit="1" customWidth="1"/>
    <col min="12827" max="13057" width="8.88671875" style="82"/>
    <col min="13058" max="13058" width="25.33203125" style="82" bestFit="1" customWidth="1"/>
    <col min="13059" max="13061" width="9.33203125" style="82" bestFit="1" customWidth="1"/>
    <col min="13062" max="13068" width="9.44140625" style="82" bestFit="1" customWidth="1"/>
    <col min="13069" max="13069" width="9.5546875" style="82" customWidth="1"/>
    <col min="13070" max="13070" width="9.44140625" style="82" bestFit="1" customWidth="1"/>
    <col min="13071" max="13071" width="9.33203125" style="82" customWidth="1"/>
    <col min="13072" max="13072" width="10.33203125" style="82" customWidth="1"/>
    <col min="13073" max="13073" width="9.33203125" style="82" bestFit="1" customWidth="1"/>
    <col min="13074" max="13074" width="10.33203125" style="82" bestFit="1" customWidth="1"/>
    <col min="13075" max="13078" width="9.33203125" style="82" bestFit="1" customWidth="1"/>
    <col min="13079" max="13082" width="10.33203125" style="82" bestFit="1" customWidth="1"/>
    <col min="13083" max="13313" width="8.88671875" style="82"/>
    <col min="13314" max="13314" width="25.33203125" style="82" bestFit="1" customWidth="1"/>
    <col min="13315" max="13317" width="9.33203125" style="82" bestFit="1" customWidth="1"/>
    <col min="13318" max="13324" width="9.44140625" style="82" bestFit="1" customWidth="1"/>
    <col min="13325" max="13325" width="9.5546875" style="82" customWidth="1"/>
    <col min="13326" max="13326" width="9.44140625" style="82" bestFit="1" customWidth="1"/>
    <col min="13327" max="13327" width="9.33203125" style="82" customWidth="1"/>
    <col min="13328" max="13328" width="10.33203125" style="82" customWidth="1"/>
    <col min="13329" max="13329" width="9.33203125" style="82" bestFit="1" customWidth="1"/>
    <col min="13330" max="13330" width="10.33203125" style="82" bestFit="1" customWidth="1"/>
    <col min="13331" max="13334" width="9.33203125" style="82" bestFit="1" customWidth="1"/>
    <col min="13335" max="13338" width="10.33203125" style="82" bestFit="1" customWidth="1"/>
    <col min="13339" max="13569" width="8.88671875" style="82"/>
    <col min="13570" max="13570" width="25.33203125" style="82" bestFit="1" customWidth="1"/>
    <col min="13571" max="13573" width="9.33203125" style="82" bestFit="1" customWidth="1"/>
    <col min="13574" max="13580" width="9.44140625" style="82" bestFit="1" customWidth="1"/>
    <col min="13581" max="13581" width="9.5546875" style="82" customWidth="1"/>
    <col min="13582" max="13582" width="9.44140625" style="82" bestFit="1" customWidth="1"/>
    <col min="13583" max="13583" width="9.33203125" style="82" customWidth="1"/>
    <col min="13584" max="13584" width="10.33203125" style="82" customWidth="1"/>
    <col min="13585" max="13585" width="9.33203125" style="82" bestFit="1" customWidth="1"/>
    <col min="13586" max="13586" width="10.33203125" style="82" bestFit="1" customWidth="1"/>
    <col min="13587" max="13590" width="9.33203125" style="82" bestFit="1" customWidth="1"/>
    <col min="13591" max="13594" width="10.33203125" style="82" bestFit="1" customWidth="1"/>
    <col min="13595" max="13825" width="8.88671875" style="82"/>
    <col min="13826" max="13826" width="25.33203125" style="82" bestFit="1" customWidth="1"/>
    <col min="13827" max="13829" width="9.33203125" style="82" bestFit="1" customWidth="1"/>
    <col min="13830" max="13836" width="9.44140625" style="82" bestFit="1" customWidth="1"/>
    <col min="13837" max="13837" width="9.5546875" style="82" customWidth="1"/>
    <col min="13838" max="13838" width="9.44140625" style="82" bestFit="1" customWidth="1"/>
    <col min="13839" max="13839" width="9.33203125" style="82" customWidth="1"/>
    <col min="13840" max="13840" width="10.33203125" style="82" customWidth="1"/>
    <col min="13841" max="13841" width="9.33203125" style="82" bestFit="1" customWidth="1"/>
    <col min="13842" max="13842" width="10.33203125" style="82" bestFit="1" customWidth="1"/>
    <col min="13843" max="13846" width="9.33203125" style="82" bestFit="1" customWidth="1"/>
    <col min="13847" max="13850" width="10.33203125" style="82" bestFit="1" customWidth="1"/>
    <col min="13851" max="14081" width="8.88671875" style="82"/>
    <col min="14082" max="14082" width="25.33203125" style="82" bestFit="1" customWidth="1"/>
    <col min="14083" max="14085" width="9.33203125" style="82" bestFit="1" customWidth="1"/>
    <col min="14086" max="14092" width="9.44140625" style="82" bestFit="1" customWidth="1"/>
    <col min="14093" max="14093" width="9.5546875" style="82" customWidth="1"/>
    <col min="14094" max="14094" width="9.44140625" style="82" bestFit="1" customWidth="1"/>
    <col min="14095" max="14095" width="9.33203125" style="82" customWidth="1"/>
    <col min="14096" max="14096" width="10.33203125" style="82" customWidth="1"/>
    <col min="14097" max="14097" width="9.33203125" style="82" bestFit="1" customWidth="1"/>
    <col min="14098" max="14098" width="10.33203125" style="82" bestFit="1" customWidth="1"/>
    <col min="14099" max="14102" width="9.33203125" style="82" bestFit="1" customWidth="1"/>
    <col min="14103" max="14106" width="10.33203125" style="82" bestFit="1" customWidth="1"/>
    <col min="14107" max="14337" width="8.88671875" style="82"/>
    <col min="14338" max="14338" width="25.33203125" style="82" bestFit="1" customWidth="1"/>
    <col min="14339" max="14341" width="9.33203125" style="82" bestFit="1" customWidth="1"/>
    <col min="14342" max="14348" width="9.44140625" style="82" bestFit="1" customWidth="1"/>
    <col min="14349" max="14349" width="9.5546875" style="82" customWidth="1"/>
    <col min="14350" max="14350" width="9.44140625" style="82" bestFit="1" customWidth="1"/>
    <col min="14351" max="14351" width="9.33203125" style="82" customWidth="1"/>
    <col min="14352" max="14352" width="10.33203125" style="82" customWidth="1"/>
    <col min="14353" max="14353" width="9.33203125" style="82" bestFit="1" customWidth="1"/>
    <col min="14354" max="14354" width="10.33203125" style="82" bestFit="1" customWidth="1"/>
    <col min="14355" max="14358" width="9.33203125" style="82" bestFit="1" customWidth="1"/>
    <col min="14359" max="14362" width="10.33203125" style="82" bestFit="1" customWidth="1"/>
    <col min="14363" max="14593" width="8.88671875" style="82"/>
    <col min="14594" max="14594" width="25.33203125" style="82" bestFit="1" customWidth="1"/>
    <col min="14595" max="14597" width="9.33203125" style="82" bestFit="1" customWidth="1"/>
    <col min="14598" max="14604" width="9.44140625" style="82" bestFit="1" customWidth="1"/>
    <col min="14605" max="14605" width="9.5546875" style="82" customWidth="1"/>
    <col min="14606" max="14606" width="9.44140625" style="82" bestFit="1" customWidth="1"/>
    <col min="14607" max="14607" width="9.33203125" style="82" customWidth="1"/>
    <col min="14608" max="14608" width="10.33203125" style="82" customWidth="1"/>
    <col min="14609" max="14609" width="9.33203125" style="82" bestFit="1" customWidth="1"/>
    <col min="14610" max="14610" width="10.33203125" style="82" bestFit="1" customWidth="1"/>
    <col min="14611" max="14614" width="9.33203125" style="82" bestFit="1" customWidth="1"/>
    <col min="14615" max="14618" width="10.33203125" style="82" bestFit="1" customWidth="1"/>
    <col min="14619" max="14849" width="8.88671875" style="82"/>
    <col min="14850" max="14850" width="25.33203125" style="82" bestFit="1" customWidth="1"/>
    <col min="14851" max="14853" width="9.33203125" style="82" bestFit="1" customWidth="1"/>
    <col min="14854" max="14860" width="9.44140625" style="82" bestFit="1" customWidth="1"/>
    <col min="14861" max="14861" width="9.5546875" style="82" customWidth="1"/>
    <col min="14862" max="14862" width="9.44140625" style="82" bestFit="1" customWidth="1"/>
    <col min="14863" max="14863" width="9.33203125" style="82" customWidth="1"/>
    <col min="14864" max="14864" width="10.33203125" style="82" customWidth="1"/>
    <col min="14865" max="14865" width="9.33203125" style="82" bestFit="1" customWidth="1"/>
    <col min="14866" max="14866" width="10.33203125" style="82" bestFit="1" customWidth="1"/>
    <col min="14867" max="14870" width="9.33203125" style="82" bestFit="1" customWidth="1"/>
    <col min="14871" max="14874" width="10.33203125" style="82" bestFit="1" customWidth="1"/>
    <col min="14875" max="15105" width="8.88671875" style="82"/>
    <col min="15106" max="15106" width="25.33203125" style="82" bestFit="1" customWidth="1"/>
    <col min="15107" max="15109" width="9.33203125" style="82" bestFit="1" customWidth="1"/>
    <col min="15110" max="15116" width="9.44140625" style="82" bestFit="1" customWidth="1"/>
    <col min="15117" max="15117" width="9.5546875" style="82" customWidth="1"/>
    <col min="15118" max="15118" width="9.44140625" style="82" bestFit="1" customWidth="1"/>
    <col min="15119" max="15119" width="9.33203125" style="82" customWidth="1"/>
    <col min="15120" max="15120" width="10.33203125" style="82" customWidth="1"/>
    <col min="15121" max="15121" width="9.33203125" style="82" bestFit="1" customWidth="1"/>
    <col min="15122" max="15122" width="10.33203125" style="82" bestFit="1" customWidth="1"/>
    <col min="15123" max="15126" width="9.33203125" style="82" bestFit="1" customWidth="1"/>
    <col min="15127" max="15130" width="10.33203125" style="82" bestFit="1" customWidth="1"/>
    <col min="15131" max="15361" width="8.88671875" style="82"/>
    <col min="15362" max="15362" width="25.33203125" style="82" bestFit="1" customWidth="1"/>
    <col min="15363" max="15365" width="9.33203125" style="82" bestFit="1" customWidth="1"/>
    <col min="15366" max="15372" width="9.44140625" style="82" bestFit="1" customWidth="1"/>
    <col min="15373" max="15373" width="9.5546875" style="82" customWidth="1"/>
    <col min="15374" max="15374" width="9.44140625" style="82" bestFit="1" customWidth="1"/>
    <col min="15375" max="15375" width="9.33203125" style="82" customWidth="1"/>
    <col min="15376" max="15376" width="10.33203125" style="82" customWidth="1"/>
    <col min="15377" max="15377" width="9.33203125" style="82" bestFit="1" customWidth="1"/>
    <col min="15378" max="15378" width="10.33203125" style="82" bestFit="1" customWidth="1"/>
    <col min="15379" max="15382" width="9.33203125" style="82" bestFit="1" customWidth="1"/>
    <col min="15383" max="15386" width="10.33203125" style="82" bestFit="1" customWidth="1"/>
    <col min="15387" max="15617" width="8.88671875" style="82"/>
    <col min="15618" max="15618" width="25.33203125" style="82" bestFit="1" customWidth="1"/>
    <col min="15619" max="15621" width="9.33203125" style="82" bestFit="1" customWidth="1"/>
    <col min="15622" max="15628" width="9.44140625" style="82" bestFit="1" customWidth="1"/>
    <col min="15629" max="15629" width="9.5546875" style="82" customWidth="1"/>
    <col min="15630" max="15630" width="9.44140625" style="82" bestFit="1" customWidth="1"/>
    <col min="15631" max="15631" width="9.33203125" style="82" customWidth="1"/>
    <col min="15632" max="15632" width="10.33203125" style="82" customWidth="1"/>
    <col min="15633" max="15633" width="9.33203125" style="82" bestFit="1" customWidth="1"/>
    <col min="15634" max="15634" width="10.33203125" style="82" bestFit="1" customWidth="1"/>
    <col min="15635" max="15638" width="9.33203125" style="82" bestFit="1" customWidth="1"/>
    <col min="15639" max="15642" width="10.33203125" style="82" bestFit="1" customWidth="1"/>
    <col min="15643" max="15873" width="8.88671875" style="82"/>
    <col min="15874" max="15874" width="25.33203125" style="82" bestFit="1" customWidth="1"/>
    <col min="15875" max="15877" width="9.33203125" style="82" bestFit="1" customWidth="1"/>
    <col min="15878" max="15884" width="9.44140625" style="82" bestFit="1" customWidth="1"/>
    <col min="15885" max="15885" width="9.5546875" style="82" customWidth="1"/>
    <col min="15886" max="15886" width="9.44140625" style="82" bestFit="1" customWidth="1"/>
    <col min="15887" max="15887" width="9.33203125" style="82" customWidth="1"/>
    <col min="15888" max="15888" width="10.33203125" style="82" customWidth="1"/>
    <col min="15889" max="15889" width="9.33203125" style="82" bestFit="1" customWidth="1"/>
    <col min="15890" max="15890" width="10.33203125" style="82" bestFit="1" customWidth="1"/>
    <col min="15891" max="15894" width="9.33203125" style="82" bestFit="1" customWidth="1"/>
    <col min="15895" max="15898" width="10.33203125" style="82" bestFit="1" customWidth="1"/>
    <col min="15899" max="16129" width="8.88671875" style="82"/>
    <col min="16130" max="16130" width="25.33203125" style="82" bestFit="1" customWidth="1"/>
    <col min="16131" max="16133" width="9.33203125" style="82" bestFit="1" customWidth="1"/>
    <col min="16134" max="16140" width="9.44140625" style="82" bestFit="1" customWidth="1"/>
    <col min="16141" max="16141" width="9.5546875" style="82" customWidth="1"/>
    <col min="16142" max="16142" width="9.44140625" style="82" bestFit="1" customWidth="1"/>
    <col min="16143" max="16143" width="9.33203125" style="82" customWidth="1"/>
    <col min="16144" max="16144" width="10.33203125" style="82" customWidth="1"/>
    <col min="16145" max="16145" width="9.33203125" style="82" bestFit="1" customWidth="1"/>
    <col min="16146" max="16146" width="10.33203125" style="82" bestFit="1" customWidth="1"/>
    <col min="16147" max="16150" width="9.33203125" style="82" bestFit="1" customWidth="1"/>
    <col min="16151" max="16154" width="10.33203125" style="82" bestFit="1" customWidth="1"/>
    <col min="16155" max="16384" width="8.88671875" style="82"/>
  </cols>
  <sheetData>
    <row r="1" spans="2:26" ht="44.25" customHeight="1">
      <c r="C1" s="172" t="s">
        <v>79</v>
      </c>
      <c r="D1" s="172"/>
      <c r="E1" s="172"/>
      <c r="F1" s="172"/>
      <c r="G1" s="172"/>
      <c r="H1" s="172"/>
      <c r="I1" s="172"/>
      <c r="J1" s="172"/>
      <c r="K1" s="172"/>
      <c r="L1" s="172"/>
      <c r="M1" s="172"/>
      <c r="N1" s="172"/>
      <c r="O1" s="172"/>
      <c r="P1" s="172"/>
      <c r="Q1" s="172"/>
      <c r="R1" s="172"/>
      <c r="S1" s="172"/>
      <c r="T1" s="172"/>
      <c r="U1" s="172"/>
      <c r="V1" s="172"/>
      <c r="W1" s="172"/>
      <c r="X1" s="172"/>
      <c r="Y1" s="172"/>
      <c r="Z1" s="172"/>
    </row>
    <row r="2" spans="2:26">
      <c r="B2" s="83"/>
      <c r="C2" s="173">
        <v>2024</v>
      </c>
      <c r="D2" s="174"/>
      <c r="E2" s="174"/>
      <c r="F2" s="174"/>
      <c r="G2" s="174"/>
      <c r="H2" s="174"/>
      <c r="I2" s="174"/>
      <c r="J2" s="174"/>
      <c r="K2" s="174"/>
      <c r="L2" s="174"/>
      <c r="M2" s="174"/>
      <c r="N2" s="175"/>
      <c r="O2" s="176">
        <v>2025</v>
      </c>
      <c r="P2" s="176"/>
      <c r="Q2" s="176"/>
      <c r="R2" s="176"/>
      <c r="S2" s="176"/>
      <c r="T2" s="176"/>
      <c r="U2" s="176"/>
      <c r="V2" s="176"/>
      <c r="W2" s="176"/>
      <c r="X2" s="176"/>
      <c r="Y2" s="176"/>
      <c r="Z2" s="176"/>
    </row>
    <row r="3" spans="2:26">
      <c r="B3" s="84"/>
      <c r="C3" s="85" t="s">
        <v>23</v>
      </c>
      <c r="D3" s="85" t="s">
        <v>24</v>
      </c>
      <c r="E3" s="85" t="s">
        <v>25</v>
      </c>
      <c r="F3" s="85" t="s">
        <v>26</v>
      </c>
      <c r="G3" s="85" t="s">
        <v>27</v>
      </c>
      <c r="H3" s="85" t="s">
        <v>28</v>
      </c>
      <c r="I3" s="85" t="s">
        <v>29</v>
      </c>
      <c r="J3" s="85" t="s">
        <v>30</v>
      </c>
      <c r="K3" s="85" t="s">
        <v>31</v>
      </c>
      <c r="L3" s="85" t="s">
        <v>32</v>
      </c>
      <c r="M3" s="85" t="s">
        <v>33</v>
      </c>
      <c r="N3" s="85" t="s">
        <v>34</v>
      </c>
      <c r="O3" s="85" t="s">
        <v>23</v>
      </c>
      <c r="P3" s="85" t="s">
        <v>24</v>
      </c>
      <c r="Q3" s="85" t="s">
        <v>25</v>
      </c>
      <c r="R3" s="85" t="s">
        <v>26</v>
      </c>
      <c r="S3" s="85" t="s">
        <v>27</v>
      </c>
      <c r="T3" s="85" t="s">
        <v>28</v>
      </c>
      <c r="U3" s="85" t="s">
        <v>29</v>
      </c>
      <c r="V3" s="85" t="s">
        <v>30</v>
      </c>
      <c r="W3" s="85" t="s">
        <v>31</v>
      </c>
      <c r="X3" s="85" t="s">
        <v>32</v>
      </c>
      <c r="Y3" s="85" t="s">
        <v>33</v>
      </c>
      <c r="Z3" s="85" t="s">
        <v>34</v>
      </c>
    </row>
    <row r="4" spans="2:26">
      <c r="B4" s="86" t="s">
        <v>80</v>
      </c>
      <c r="C4" s="14">
        <v>0</v>
      </c>
      <c r="D4" s="14">
        <v>1</v>
      </c>
      <c r="E4" s="14">
        <v>1</v>
      </c>
      <c r="F4" s="14">
        <v>0</v>
      </c>
      <c r="G4" s="14">
        <v>1</v>
      </c>
      <c r="H4" s="14">
        <v>0</v>
      </c>
      <c r="I4" s="14">
        <v>0</v>
      </c>
      <c r="J4" s="14">
        <v>0</v>
      </c>
      <c r="K4" s="14">
        <v>1</v>
      </c>
      <c r="L4" s="14">
        <v>1</v>
      </c>
      <c r="M4" s="14">
        <v>3</v>
      </c>
      <c r="N4" s="14"/>
      <c r="O4" s="87">
        <v>0</v>
      </c>
      <c r="P4" s="87">
        <v>1</v>
      </c>
      <c r="Q4" s="87">
        <v>0</v>
      </c>
      <c r="R4" s="87">
        <v>1</v>
      </c>
      <c r="S4" s="87">
        <v>0</v>
      </c>
      <c r="T4" s="87">
        <v>1</v>
      </c>
      <c r="U4" s="87">
        <v>0</v>
      </c>
      <c r="V4" s="87">
        <v>1</v>
      </c>
      <c r="W4" s="87">
        <v>0</v>
      </c>
      <c r="X4" s="87">
        <v>1</v>
      </c>
      <c r="Y4" s="87">
        <v>0</v>
      </c>
      <c r="Z4" s="88">
        <v>1</v>
      </c>
    </row>
    <row r="5" spans="2:26">
      <c r="B5" s="89" t="s">
        <v>58</v>
      </c>
      <c r="C5" s="90">
        <v>100</v>
      </c>
      <c r="D5" s="90">
        <v>100</v>
      </c>
      <c r="E5" s="90">
        <v>100</v>
      </c>
      <c r="F5" s="90">
        <v>99.989887754070182</v>
      </c>
      <c r="G5" s="90">
        <v>99.992026789985644</v>
      </c>
      <c r="H5" s="90">
        <v>99.987028990206881</v>
      </c>
      <c r="I5" s="90">
        <v>99.988983751032777</v>
      </c>
      <c r="J5" s="90">
        <v>99.985677456316253</v>
      </c>
      <c r="K5" s="90">
        <v>99.987316619456294</v>
      </c>
      <c r="L5" s="90">
        <v>99.984914199509717</v>
      </c>
      <c r="M5" s="90">
        <v>99.986288691598389</v>
      </c>
      <c r="N5" s="90">
        <v>99.987504295398452</v>
      </c>
      <c r="O5" s="91">
        <v>100</v>
      </c>
      <c r="P5" s="91">
        <v>100</v>
      </c>
      <c r="Q5" s="91">
        <v>100</v>
      </c>
      <c r="R5" s="91">
        <v>99.989887754070182</v>
      </c>
      <c r="S5" s="91">
        <v>99.992026789985644</v>
      </c>
      <c r="T5" s="91">
        <v>99.987028990206881</v>
      </c>
      <c r="U5" s="91">
        <v>99.988983751032777</v>
      </c>
      <c r="V5" s="91">
        <v>99.985677456316253</v>
      </c>
      <c r="W5" s="91">
        <v>99.987316619456294</v>
      </c>
      <c r="X5" s="91">
        <v>99.984914199509717</v>
      </c>
      <c r="Y5" s="91">
        <v>99.986288691598389</v>
      </c>
      <c r="Z5" s="91">
        <v>99.987504295398452</v>
      </c>
    </row>
    <row r="6" spans="2:26" ht="21" customHeight="1">
      <c r="B6" s="89" t="s">
        <v>59</v>
      </c>
      <c r="C6" s="92">
        <v>1</v>
      </c>
      <c r="D6" s="93">
        <v>0.99977174161150417</v>
      </c>
      <c r="E6" s="93">
        <v>0.99971554544161567</v>
      </c>
      <c r="F6" s="93">
        <v>0.99979493489182814</v>
      </c>
      <c r="G6" s="94">
        <v>0.9997648165569144</v>
      </c>
      <c r="H6" s="93">
        <v>0.99980696222894283</v>
      </c>
      <c r="I6" s="93">
        <v>0.99983731901740691</v>
      </c>
      <c r="J6" s="93">
        <v>0.99985697258641237</v>
      </c>
      <c r="K6" s="93">
        <v>0.99982943158074278</v>
      </c>
      <c r="L6" s="93">
        <v>0.99980793608112783</v>
      </c>
      <c r="M6" s="93">
        <v>0.99971837927271445</v>
      </c>
      <c r="N6" s="94">
        <v>0.99971837927271445</v>
      </c>
      <c r="O6" s="95"/>
      <c r="P6" s="96"/>
      <c r="Q6" s="96"/>
      <c r="R6" s="96"/>
      <c r="S6" s="95"/>
      <c r="T6" s="95"/>
      <c r="U6" s="96"/>
      <c r="V6" s="96"/>
      <c r="W6" s="96"/>
      <c r="X6" s="96"/>
      <c r="Y6" s="96"/>
      <c r="Z6" s="95"/>
    </row>
    <row r="7" spans="2:26">
      <c r="O7" s="97"/>
      <c r="P7" s="97"/>
      <c r="Q7" s="97"/>
      <c r="R7" s="97"/>
      <c r="S7" s="97"/>
      <c r="T7" s="97"/>
      <c r="U7" s="97"/>
      <c r="V7" s="97"/>
      <c r="W7" s="97"/>
      <c r="X7" s="97"/>
      <c r="Y7" s="97"/>
      <c r="Z7" s="97"/>
    </row>
    <row r="8" spans="2:26">
      <c r="C8" s="98"/>
      <c r="D8" s="98"/>
      <c r="E8" s="98"/>
      <c r="F8" s="98"/>
      <c r="G8" s="98"/>
      <c r="H8" s="98"/>
      <c r="I8" s="98"/>
      <c r="J8" s="98"/>
      <c r="K8" s="98"/>
      <c r="L8" s="98"/>
      <c r="M8" s="98"/>
      <c r="N8" s="98"/>
      <c r="O8" s="98"/>
      <c r="P8" s="98"/>
      <c r="Q8" s="98"/>
      <c r="R8" s="98"/>
      <c r="S8" s="98"/>
      <c r="T8" s="98"/>
      <c r="U8" s="98"/>
      <c r="V8" s="98"/>
      <c r="W8" s="98"/>
      <c r="X8" s="98"/>
      <c r="Y8" s="98"/>
      <c r="Z8" s="98"/>
    </row>
    <row r="9" spans="2:26">
      <c r="C9" s="98"/>
      <c r="D9" s="98"/>
      <c r="E9" s="98"/>
      <c r="F9" s="98"/>
      <c r="G9" s="98"/>
      <c r="H9" s="98"/>
      <c r="I9" s="98"/>
      <c r="J9" s="98"/>
      <c r="K9" s="98"/>
      <c r="L9" s="98"/>
      <c r="M9" s="98"/>
      <c r="N9" s="98"/>
      <c r="O9" s="98"/>
      <c r="P9" s="98"/>
      <c r="Q9" s="98"/>
      <c r="R9" s="98"/>
      <c r="S9" s="98"/>
      <c r="T9" s="98"/>
      <c r="U9" s="98"/>
      <c r="V9" s="98"/>
      <c r="W9" s="98"/>
      <c r="X9" s="98"/>
      <c r="Y9" s="98"/>
      <c r="Z9" s="98"/>
    </row>
    <row r="22" spans="2:26" ht="21.75" customHeight="1">
      <c r="B22" s="99" t="s">
        <v>81</v>
      </c>
      <c r="C22" s="173">
        <v>2024</v>
      </c>
      <c r="D22" s="174"/>
      <c r="E22" s="174"/>
      <c r="F22" s="174"/>
      <c r="G22" s="174"/>
      <c r="H22" s="174"/>
      <c r="I22" s="174"/>
      <c r="J22" s="174"/>
      <c r="K22" s="174"/>
      <c r="L22" s="174"/>
      <c r="M22" s="174"/>
      <c r="N22" s="175"/>
      <c r="O22" s="176">
        <v>2025</v>
      </c>
      <c r="P22" s="176"/>
      <c r="Q22" s="176"/>
      <c r="R22" s="176"/>
      <c r="S22" s="176"/>
      <c r="T22" s="176"/>
      <c r="U22" s="176"/>
      <c r="V22" s="176"/>
      <c r="W22" s="176"/>
      <c r="X22" s="176"/>
      <c r="Y22" s="176"/>
      <c r="Z22" s="176"/>
    </row>
    <row r="23" spans="2:26" ht="21" customHeight="1">
      <c r="B23" s="52" t="s">
        <v>82</v>
      </c>
      <c r="C23" s="7" t="s">
        <v>83</v>
      </c>
      <c r="D23" s="7" t="s">
        <v>84</v>
      </c>
      <c r="E23" s="7" t="s">
        <v>85</v>
      </c>
      <c r="F23" s="7" t="s">
        <v>86</v>
      </c>
      <c r="G23" s="7" t="s">
        <v>87</v>
      </c>
      <c r="H23" s="7" t="s">
        <v>88</v>
      </c>
      <c r="I23" s="7" t="s">
        <v>89</v>
      </c>
      <c r="J23" s="7" t="s">
        <v>90</v>
      </c>
      <c r="K23" s="7" t="s">
        <v>91</v>
      </c>
      <c r="L23" s="7" t="s">
        <v>92</v>
      </c>
      <c r="M23" s="7" t="s">
        <v>93</v>
      </c>
      <c r="N23" s="7" t="s">
        <v>94</v>
      </c>
      <c r="O23" s="7" t="s">
        <v>83</v>
      </c>
      <c r="P23" s="7" t="s">
        <v>84</v>
      </c>
      <c r="Q23" s="7" t="s">
        <v>85</v>
      </c>
      <c r="R23" s="7" t="s">
        <v>86</v>
      </c>
      <c r="S23" s="7" t="s">
        <v>87</v>
      </c>
      <c r="T23" s="7" t="s">
        <v>88</v>
      </c>
      <c r="U23" s="7" t="s">
        <v>89</v>
      </c>
      <c r="V23" s="7" t="s">
        <v>90</v>
      </c>
      <c r="W23" s="7" t="s">
        <v>91</v>
      </c>
      <c r="X23" s="7" t="s">
        <v>92</v>
      </c>
      <c r="Y23" s="7" t="s">
        <v>93</v>
      </c>
      <c r="Z23" s="7" t="s">
        <v>94</v>
      </c>
    </row>
    <row r="24" spans="2:26" ht="27" customHeight="1">
      <c r="B24" s="100" t="s">
        <v>50</v>
      </c>
      <c r="C24" s="7">
        <v>0</v>
      </c>
      <c r="D24" s="7">
        <v>0</v>
      </c>
      <c r="E24" s="7">
        <v>1</v>
      </c>
      <c r="F24" s="7">
        <v>0</v>
      </c>
      <c r="G24" s="7">
        <v>0</v>
      </c>
      <c r="H24" s="7">
        <v>0</v>
      </c>
      <c r="I24" s="7">
        <v>0</v>
      </c>
      <c r="J24" s="7">
        <v>0</v>
      </c>
      <c r="K24" s="7">
        <v>0</v>
      </c>
      <c r="L24" s="7">
        <v>0</v>
      </c>
      <c r="M24" s="7">
        <v>0</v>
      </c>
      <c r="N24" s="7"/>
      <c r="O24" s="101"/>
      <c r="P24" s="102"/>
      <c r="Q24" s="102"/>
      <c r="R24" s="102"/>
      <c r="S24" s="102"/>
      <c r="T24" s="102"/>
      <c r="U24" s="102"/>
      <c r="V24" s="102"/>
      <c r="W24" s="102"/>
      <c r="X24" s="102"/>
      <c r="Y24" s="102"/>
      <c r="Z24" s="102"/>
    </row>
    <row r="25" spans="2:26" ht="27" customHeight="1">
      <c r="B25" s="103" t="s">
        <v>51</v>
      </c>
      <c r="C25" s="7">
        <v>0</v>
      </c>
      <c r="D25" s="7">
        <v>1</v>
      </c>
      <c r="E25" s="7">
        <v>0</v>
      </c>
      <c r="F25" s="7">
        <v>0</v>
      </c>
      <c r="G25" s="7">
        <v>1</v>
      </c>
      <c r="H25" s="7">
        <v>0</v>
      </c>
      <c r="I25" s="7">
        <v>0</v>
      </c>
      <c r="J25" s="7">
        <v>0</v>
      </c>
      <c r="K25" s="7">
        <v>0</v>
      </c>
      <c r="L25" s="7">
        <v>0</v>
      </c>
      <c r="M25" s="7">
        <v>2</v>
      </c>
      <c r="N25" s="104"/>
      <c r="O25" s="101"/>
      <c r="P25" s="102">
        <v>1</v>
      </c>
      <c r="Q25" s="102"/>
      <c r="R25" s="102"/>
      <c r="S25" s="102"/>
      <c r="T25" s="102">
        <v>1</v>
      </c>
      <c r="U25" s="102"/>
      <c r="V25" s="102">
        <v>1</v>
      </c>
      <c r="W25" s="102"/>
      <c r="X25" s="102">
        <v>1</v>
      </c>
      <c r="Y25" s="102"/>
      <c r="Z25" s="102">
        <v>1</v>
      </c>
    </row>
    <row r="26" spans="2:26" ht="27" customHeight="1">
      <c r="B26" s="105" t="s">
        <v>52</v>
      </c>
      <c r="C26" s="7">
        <v>0</v>
      </c>
      <c r="D26" s="7">
        <v>0</v>
      </c>
      <c r="E26" s="7">
        <v>0</v>
      </c>
      <c r="F26" s="7">
        <v>0</v>
      </c>
      <c r="G26" s="7">
        <v>0</v>
      </c>
      <c r="H26" s="7">
        <v>0</v>
      </c>
      <c r="I26" s="7">
        <v>0</v>
      </c>
      <c r="J26" s="7">
        <v>0</v>
      </c>
      <c r="K26" s="7">
        <v>1</v>
      </c>
      <c r="L26" s="7">
        <v>1</v>
      </c>
      <c r="M26" s="7">
        <v>1</v>
      </c>
      <c r="N26" s="7"/>
      <c r="O26" s="101"/>
      <c r="P26" s="102"/>
      <c r="Q26" s="102"/>
      <c r="R26" s="102">
        <v>1</v>
      </c>
      <c r="S26" s="102"/>
      <c r="T26" s="102"/>
      <c r="U26" s="102"/>
      <c r="V26" s="102"/>
      <c r="W26" s="102"/>
      <c r="X26" s="102"/>
      <c r="Y26" s="102"/>
      <c r="Z26" s="102"/>
    </row>
    <row r="27" spans="2:26" ht="27" customHeight="1">
      <c r="B27" s="106" t="s">
        <v>95</v>
      </c>
      <c r="C27" s="61">
        <f>SUM(C24:C26)</f>
        <v>0</v>
      </c>
      <c r="D27" s="61">
        <f t="shared" ref="D27:M27" si="0">SUM(D24:D26)</f>
        <v>1</v>
      </c>
      <c r="E27" s="61">
        <f t="shared" si="0"/>
        <v>1</v>
      </c>
      <c r="F27" s="61">
        <f t="shared" si="0"/>
        <v>0</v>
      </c>
      <c r="G27" s="61">
        <f t="shared" si="0"/>
        <v>1</v>
      </c>
      <c r="H27" s="61">
        <f t="shared" si="0"/>
        <v>0</v>
      </c>
      <c r="I27" s="61">
        <f t="shared" si="0"/>
        <v>0</v>
      </c>
      <c r="J27" s="61">
        <f t="shared" si="0"/>
        <v>0</v>
      </c>
      <c r="K27" s="61">
        <f t="shared" si="0"/>
        <v>1</v>
      </c>
      <c r="L27" s="61">
        <f t="shared" si="0"/>
        <v>1</v>
      </c>
      <c r="M27" s="61">
        <f t="shared" si="0"/>
        <v>3</v>
      </c>
      <c r="N27" s="61">
        <f>SUM(N24:N26)</f>
        <v>0</v>
      </c>
      <c r="O27" s="7">
        <f>SUM(O24:O26)</f>
        <v>0</v>
      </c>
      <c r="P27" s="7">
        <f t="shared" ref="P27:Z27" si="1">SUM(P24:P26)</f>
        <v>1</v>
      </c>
      <c r="Q27" s="7">
        <f t="shared" si="1"/>
        <v>0</v>
      </c>
      <c r="R27" s="7">
        <f t="shared" si="1"/>
        <v>1</v>
      </c>
      <c r="S27" s="7">
        <f t="shared" si="1"/>
        <v>0</v>
      </c>
      <c r="T27" s="7">
        <f t="shared" si="1"/>
        <v>1</v>
      </c>
      <c r="U27" s="7">
        <f t="shared" si="1"/>
        <v>0</v>
      </c>
      <c r="V27" s="7">
        <f t="shared" si="1"/>
        <v>1</v>
      </c>
      <c r="W27" s="7">
        <f t="shared" si="1"/>
        <v>0</v>
      </c>
      <c r="X27" s="7">
        <f t="shared" si="1"/>
        <v>1</v>
      </c>
      <c r="Y27" s="7">
        <f t="shared" si="1"/>
        <v>0</v>
      </c>
      <c r="Z27" s="7">
        <f t="shared" si="1"/>
        <v>1</v>
      </c>
    </row>
    <row r="28" spans="2:26" ht="27" customHeight="1">
      <c r="B28" s="107" t="s">
        <v>96</v>
      </c>
      <c r="C28" s="102">
        <f>C27</f>
        <v>0</v>
      </c>
      <c r="D28" s="102">
        <f>C28+D27</f>
        <v>1</v>
      </c>
      <c r="E28" s="102">
        <f t="shared" ref="E28:N28" si="2">D28+E27</f>
        <v>2</v>
      </c>
      <c r="F28" s="102">
        <f t="shared" si="2"/>
        <v>2</v>
      </c>
      <c r="G28" s="102">
        <f t="shared" si="2"/>
        <v>3</v>
      </c>
      <c r="H28" s="102">
        <f t="shared" si="2"/>
        <v>3</v>
      </c>
      <c r="I28" s="102">
        <f t="shared" si="2"/>
        <v>3</v>
      </c>
      <c r="J28" s="102">
        <f t="shared" si="2"/>
        <v>3</v>
      </c>
      <c r="K28" s="102">
        <f t="shared" si="2"/>
        <v>4</v>
      </c>
      <c r="L28" s="102">
        <f t="shared" si="2"/>
        <v>5</v>
      </c>
      <c r="M28" s="102">
        <f t="shared" si="2"/>
        <v>8</v>
      </c>
      <c r="N28" s="102">
        <f t="shared" si="2"/>
        <v>8</v>
      </c>
      <c r="O28" s="102">
        <f>O27</f>
        <v>0</v>
      </c>
      <c r="P28" s="102">
        <f>O28+P27</f>
        <v>1</v>
      </c>
      <c r="Q28" s="102">
        <f t="shared" ref="Q28:Z28" si="3">P28+Q27</f>
        <v>1</v>
      </c>
      <c r="R28" s="102">
        <f t="shared" si="3"/>
        <v>2</v>
      </c>
      <c r="S28" s="102">
        <f t="shared" si="3"/>
        <v>2</v>
      </c>
      <c r="T28" s="102">
        <f t="shared" si="3"/>
        <v>3</v>
      </c>
      <c r="U28" s="102">
        <f t="shared" si="3"/>
        <v>3</v>
      </c>
      <c r="V28" s="102">
        <f t="shared" si="3"/>
        <v>4</v>
      </c>
      <c r="W28" s="102">
        <f t="shared" si="3"/>
        <v>4</v>
      </c>
      <c r="X28" s="102">
        <f t="shared" si="3"/>
        <v>5</v>
      </c>
      <c r="Y28" s="102">
        <f t="shared" si="3"/>
        <v>5</v>
      </c>
      <c r="Z28" s="102">
        <f t="shared" si="3"/>
        <v>6</v>
      </c>
    </row>
    <row r="29" spans="2:26" ht="55.5" customHeight="1">
      <c r="B29" s="11"/>
    </row>
    <row r="30" spans="2:26" ht="55.5" customHeight="1">
      <c r="B30" s="11"/>
    </row>
    <row r="31" spans="2:26" ht="55.5" customHeight="1">
      <c r="B31" s="11"/>
    </row>
    <row r="32" spans="2:26" ht="40.5" customHeight="1">
      <c r="B32" s="11"/>
    </row>
    <row r="33" spans="1:26">
      <c r="B33" s="108"/>
      <c r="C33" s="177">
        <v>2024</v>
      </c>
      <c r="D33" s="177"/>
      <c r="E33" s="177"/>
      <c r="F33" s="177"/>
      <c r="G33" s="177"/>
      <c r="H33" s="177"/>
      <c r="I33" s="177"/>
      <c r="J33" s="177"/>
      <c r="K33" s="177"/>
      <c r="L33" s="177"/>
      <c r="M33" s="177"/>
      <c r="N33" s="177"/>
      <c r="O33" s="177">
        <v>2025</v>
      </c>
      <c r="P33" s="177"/>
      <c r="Q33" s="177"/>
      <c r="R33" s="177"/>
      <c r="S33" s="177"/>
      <c r="T33" s="177"/>
      <c r="U33" s="177"/>
      <c r="V33" s="177"/>
      <c r="W33" s="177"/>
      <c r="X33" s="177"/>
      <c r="Y33" s="177"/>
      <c r="Z33" s="177"/>
    </row>
    <row r="34" spans="1:26" ht="17.100000000000001" customHeight="1">
      <c r="B34" s="108"/>
      <c r="C34" s="42" t="s">
        <v>23</v>
      </c>
      <c r="D34" s="42" t="s">
        <v>24</v>
      </c>
      <c r="E34" s="42" t="s">
        <v>25</v>
      </c>
      <c r="F34" s="42" t="s">
        <v>26</v>
      </c>
      <c r="G34" s="42" t="s">
        <v>27</v>
      </c>
      <c r="H34" s="42" t="s">
        <v>28</v>
      </c>
      <c r="I34" s="42" t="s">
        <v>29</v>
      </c>
      <c r="J34" s="42" t="s">
        <v>30</v>
      </c>
      <c r="K34" s="42" t="s">
        <v>31</v>
      </c>
      <c r="L34" s="42" t="s">
        <v>32</v>
      </c>
      <c r="M34" s="42" t="s">
        <v>33</v>
      </c>
      <c r="N34" s="42" t="s">
        <v>34</v>
      </c>
      <c r="O34" s="42" t="s">
        <v>23</v>
      </c>
      <c r="P34" s="42" t="s">
        <v>24</v>
      </c>
      <c r="Q34" s="42" t="s">
        <v>25</v>
      </c>
      <c r="R34" s="42" t="s">
        <v>26</v>
      </c>
      <c r="S34" s="42" t="s">
        <v>27</v>
      </c>
      <c r="T34" s="42" t="s">
        <v>28</v>
      </c>
      <c r="U34" s="42" t="s">
        <v>29</v>
      </c>
      <c r="V34" s="42" t="s">
        <v>30</v>
      </c>
      <c r="W34" s="42" t="s">
        <v>31</v>
      </c>
      <c r="X34" s="42" t="s">
        <v>32</v>
      </c>
      <c r="Y34" s="42" t="s">
        <v>33</v>
      </c>
      <c r="Z34" s="42" t="s">
        <v>34</v>
      </c>
    </row>
    <row r="35" spans="1:26" ht="17.100000000000001" customHeight="1">
      <c r="A35" s="109" t="s">
        <v>97</v>
      </c>
      <c r="B35" s="178" t="s">
        <v>37</v>
      </c>
      <c r="C35" s="45">
        <v>0</v>
      </c>
      <c r="D35" s="45">
        <v>1</v>
      </c>
      <c r="E35" s="45">
        <v>0</v>
      </c>
      <c r="F35" s="45">
        <v>1</v>
      </c>
      <c r="G35" s="45">
        <v>0</v>
      </c>
      <c r="H35" s="45">
        <v>1</v>
      </c>
      <c r="I35" s="45">
        <v>0</v>
      </c>
      <c r="J35" s="45">
        <v>1</v>
      </c>
      <c r="K35" s="45">
        <v>0</v>
      </c>
      <c r="L35" s="45">
        <v>1</v>
      </c>
      <c r="M35" s="45">
        <v>0</v>
      </c>
      <c r="N35" s="45">
        <v>1</v>
      </c>
      <c r="O35" s="45">
        <v>0</v>
      </c>
      <c r="P35" s="45">
        <v>1</v>
      </c>
      <c r="Q35" s="45">
        <v>0</v>
      </c>
      <c r="R35" s="45">
        <v>1</v>
      </c>
      <c r="S35" s="45">
        <v>0</v>
      </c>
      <c r="T35" s="45">
        <v>1</v>
      </c>
      <c r="U35" s="45">
        <v>0</v>
      </c>
      <c r="V35" s="45">
        <v>1</v>
      </c>
      <c r="W35" s="45">
        <v>0</v>
      </c>
      <c r="X35" s="45">
        <v>1</v>
      </c>
      <c r="Y35" s="45">
        <v>0</v>
      </c>
      <c r="Z35" s="45">
        <v>1</v>
      </c>
    </row>
    <row r="36" spans="1:26" ht="17.100000000000001" customHeight="1">
      <c r="A36" s="109" t="s">
        <v>98</v>
      </c>
      <c r="B36" s="178"/>
      <c r="C36" s="45">
        <f>C35</f>
        <v>0</v>
      </c>
      <c r="D36" s="45">
        <f>C36+D35</f>
        <v>1</v>
      </c>
      <c r="E36" s="45">
        <f t="shared" ref="E36:N36" si="4">D36+E35</f>
        <v>1</v>
      </c>
      <c r="F36" s="45">
        <f t="shared" si="4"/>
        <v>2</v>
      </c>
      <c r="G36" s="45">
        <f t="shared" si="4"/>
        <v>2</v>
      </c>
      <c r="H36" s="45">
        <f t="shared" si="4"/>
        <v>3</v>
      </c>
      <c r="I36" s="45">
        <f t="shared" si="4"/>
        <v>3</v>
      </c>
      <c r="J36" s="45">
        <f t="shared" si="4"/>
        <v>4</v>
      </c>
      <c r="K36" s="45">
        <f t="shared" si="4"/>
        <v>4</v>
      </c>
      <c r="L36" s="45">
        <f t="shared" si="4"/>
        <v>5</v>
      </c>
      <c r="M36" s="45">
        <f t="shared" si="4"/>
        <v>5</v>
      </c>
      <c r="N36" s="45">
        <f t="shared" si="4"/>
        <v>6</v>
      </c>
      <c r="O36" s="45">
        <f>O35</f>
        <v>0</v>
      </c>
      <c r="P36" s="45">
        <f>O36+P35</f>
        <v>1</v>
      </c>
      <c r="Q36" s="45">
        <f t="shared" ref="Q36:Z36" si="5">P36+Q35</f>
        <v>1</v>
      </c>
      <c r="R36" s="45">
        <f t="shared" si="5"/>
        <v>2</v>
      </c>
      <c r="S36" s="45">
        <f t="shared" si="5"/>
        <v>2</v>
      </c>
      <c r="T36" s="45">
        <f t="shared" si="5"/>
        <v>3</v>
      </c>
      <c r="U36" s="45">
        <f t="shared" si="5"/>
        <v>3</v>
      </c>
      <c r="V36" s="45">
        <f t="shared" si="5"/>
        <v>4</v>
      </c>
      <c r="W36" s="45">
        <f t="shared" si="5"/>
        <v>4</v>
      </c>
      <c r="X36" s="45">
        <f t="shared" si="5"/>
        <v>5</v>
      </c>
      <c r="Y36" s="45">
        <f t="shared" si="5"/>
        <v>5</v>
      </c>
      <c r="Z36" s="45">
        <f t="shared" si="5"/>
        <v>6</v>
      </c>
    </row>
    <row r="37" spans="1:26" ht="17.100000000000001" customHeight="1">
      <c r="A37" s="109" t="s">
        <v>97</v>
      </c>
      <c r="B37" s="179" t="s">
        <v>38</v>
      </c>
      <c r="C37" s="14"/>
      <c r="D37" s="14"/>
      <c r="E37" s="14"/>
      <c r="F37" s="14"/>
      <c r="G37" s="14"/>
      <c r="H37" s="14"/>
      <c r="I37" s="14"/>
      <c r="J37" s="14"/>
      <c r="K37" s="14"/>
      <c r="L37" s="14"/>
      <c r="M37" s="14"/>
      <c r="N37" s="14"/>
      <c r="O37" s="14"/>
      <c r="P37" s="14"/>
      <c r="Q37" s="14"/>
      <c r="R37" s="14"/>
      <c r="S37" s="14"/>
      <c r="T37" s="14"/>
      <c r="U37" s="14"/>
      <c r="V37" s="14"/>
      <c r="W37" s="14"/>
      <c r="X37" s="14"/>
      <c r="Y37" s="14"/>
      <c r="Z37" s="14"/>
    </row>
    <row r="38" spans="1:26" ht="17.100000000000001" customHeight="1">
      <c r="A38" s="109" t="s">
        <v>99</v>
      </c>
      <c r="B38" s="179"/>
      <c r="C38" s="14">
        <f>C37</f>
        <v>0</v>
      </c>
      <c r="D38" s="14">
        <f t="shared" ref="D38:N38" si="6">C38+D37</f>
        <v>0</v>
      </c>
      <c r="E38" s="14">
        <f t="shared" si="6"/>
        <v>0</v>
      </c>
      <c r="F38" s="14">
        <f t="shared" si="6"/>
        <v>0</v>
      </c>
      <c r="G38" s="14">
        <f t="shared" si="6"/>
        <v>0</v>
      </c>
      <c r="H38" s="14">
        <f t="shared" si="6"/>
        <v>0</v>
      </c>
      <c r="I38" s="14">
        <f t="shared" si="6"/>
        <v>0</v>
      </c>
      <c r="J38" s="14">
        <f t="shared" si="6"/>
        <v>0</v>
      </c>
      <c r="K38" s="14">
        <f t="shared" si="6"/>
        <v>0</v>
      </c>
      <c r="L38" s="14">
        <f t="shared" si="6"/>
        <v>0</v>
      </c>
      <c r="M38" s="14">
        <f t="shared" si="6"/>
        <v>0</v>
      </c>
      <c r="N38" s="14">
        <f t="shared" si="6"/>
        <v>0</v>
      </c>
      <c r="O38" s="14">
        <f>O37</f>
        <v>0</v>
      </c>
      <c r="P38" s="14">
        <f t="shared" ref="P38:Z38" si="7">O38+P37</f>
        <v>0</v>
      </c>
      <c r="Q38" s="14">
        <f t="shared" si="7"/>
        <v>0</v>
      </c>
      <c r="R38" s="14">
        <f t="shared" si="7"/>
        <v>0</v>
      </c>
      <c r="S38" s="14">
        <f t="shared" si="7"/>
        <v>0</v>
      </c>
      <c r="T38" s="14">
        <f t="shared" si="7"/>
        <v>0</v>
      </c>
      <c r="U38" s="14">
        <f t="shared" si="7"/>
        <v>0</v>
      </c>
      <c r="V38" s="14">
        <f t="shared" si="7"/>
        <v>0</v>
      </c>
      <c r="W38" s="14">
        <f t="shared" si="7"/>
        <v>0</v>
      </c>
      <c r="X38" s="14">
        <f t="shared" si="7"/>
        <v>0</v>
      </c>
      <c r="Y38" s="14">
        <f t="shared" si="7"/>
        <v>0</v>
      </c>
      <c r="Z38" s="14">
        <f t="shared" si="7"/>
        <v>0</v>
      </c>
    </row>
    <row r="39" spans="1:26" ht="17.100000000000001" customHeight="1">
      <c r="A39" s="109" t="s">
        <v>40</v>
      </c>
      <c r="B39" s="110" t="s">
        <v>37</v>
      </c>
      <c r="C39" s="111">
        <v>1723</v>
      </c>
      <c r="D39" s="111">
        <v>2194</v>
      </c>
      <c r="E39" s="111">
        <v>2693</v>
      </c>
      <c r="F39" s="111">
        <v>2838</v>
      </c>
      <c r="G39" s="111">
        <v>2869</v>
      </c>
      <c r="H39" s="111">
        <v>2716</v>
      </c>
      <c r="I39" s="111">
        <v>2657</v>
      </c>
      <c r="J39" s="111">
        <v>2384</v>
      </c>
      <c r="K39" s="111">
        <v>2156</v>
      </c>
      <c r="L39" s="111">
        <v>2358</v>
      </c>
      <c r="M39" s="111">
        <v>2228</v>
      </c>
      <c r="N39" s="111">
        <v>2223</v>
      </c>
      <c r="O39" s="111">
        <v>1723</v>
      </c>
      <c r="P39" s="111">
        <v>2194</v>
      </c>
      <c r="Q39" s="111">
        <v>2693</v>
      </c>
      <c r="R39" s="111">
        <v>2838</v>
      </c>
      <c r="S39" s="111">
        <v>2869</v>
      </c>
      <c r="T39" s="111">
        <v>2716</v>
      </c>
      <c r="U39" s="111">
        <v>2657</v>
      </c>
      <c r="V39" s="111">
        <v>2384</v>
      </c>
      <c r="W39" s="111">
        <v>2156</v>
      </c>
      <c r="X39" s="111">
        <v>2358</v>
      </c>
      <c r="Y39" s="111">
        <v>2228</v>
      </c>
      <c r="Z39" s="111">
        <v>2223</v>
      </c>
    </row>
    <row r="40" spans="1:26" ht="17.100000000000001" customHeight="1">
      <c r="A40" s="109" t="s">
        <v>100</v>
      </c>
      <c r="B40" s="112" t="s">
        <v>38</v>
      </c>
      <c r="C40" s="113"/>
      <c r="D40" s="113"/>
      <c r="E40" s="113"/>
      <c r="F40" s="113"/>
      <c r="G40" s="113"/>
      <c r="H40" s="113"/>
      <c r="I40" s="113"/>
      <c r="J40" s="113"/>
      <c r="K40" s="113"/>
      <c r="L40" s="113"/>
      <c r="M40" s="113"/>
      <c r="N40" s="113"/>
      <c r="O40" s="113"/>
      <c r="P40" s="113"/>
      <c r="Q40" s="113"/>
      <c r="R40" s="113"/>
      <c r="S40" s="113"/>
      <c r="T40" s="113"/>
      <c r="U40" s="113"/>
      <c r="V40" s="113"/>
      <c r="W40" s="113"/>
      <c r="X40" s="113"/>
      <c r="Y40" s="113"/>
      <c r="Z40" s="113"/>
    </row>
    <row r="41" spans="1:26" ht="17.100000000000001" customHeight="1">
      <c r="A41" s="109" t="s">
        <v>41</v>
      </c>
      <c r="B41" s="110" t="s">
        <v>37</v>
      </c>
      <c r="C41" s="114">
        <f>C39</f>
        <v>1723</v>
      </c>
      <c r="D41" s="114">
        <f>C41+D39</f>
        <v>3917</v>
      </c>
      <c r="E41" s="114">
        <f t="shared" ref="E41:N42" si="8">D41+E39</f>
        <v>6610</v>
      </c>
      <c r="F41" s="114">
        <f t="shared" si="8"/>
        <v>9448</v>
      </c>
      <c r="G41" s="114">
        <f t="shared" si="8"/>
        <v>12317</v>
      </c>
      <c r="H41" s="114">
        <f t="shared" si="8"/>
        <v>15033</v>
      </c>
      <c r="I41" s="114">
        <f t="shared" si="8"/>
        <v>17690</v>
      </c>
      <c r="J41" s="114">
        <f t="shared" si="8"/>
        <v>20074</v>
      </c>
      <c r="K41" s="114">
        <f t="shared" si="8"/>
        <v>22230</v>
      </c>
      <c r="L41" s="114">
        <f t="shared" si="8"/>
        <v>24588</v>
      </c>
      <c r="M41" s="114">
        <f t="shared" si="8"/>
        <v>26816</v>
      </c>
      <c r="N41" s="114">
        <f t="shared" si="8"/>
        <v>29039</v>
      </c>
      <c r="O41" s="114">
        <f>O39</f>
        <v>1723</v>
      </c>
      <c r="P41" s="114">
        <f>O41+P39</f>
        <v>3917</v>
      </c>
      <c r="Q41" s="114">
        <f t="shared" ref="Q41:Z42" si="9">P41+Q39</f>
        <v>6610</v>
      </c>
      <c r="R41" s="114">
        <f t="shared" si="9"/>
        <v>9448</v>
      </c>
      <c r="S41" s="114">
        <f t="shared" si="9"/>
        <v>12317</v>
      </c>
      <c r="T41" s="114">
        <f t="shared" si="9"/>
        <v>15033</v>
      </c>
      <c r="U41" s="114">
        <f t="shared" si="9"/>
        <v>17690</v>
      </c>
      <c r="V41" s="114">
        <f t="shared" si="9"/>
        <v>20074</v>
      </c>
      <c r="W41" s="114">
        <f t="shared" si="9"/>
        <v>22230</v>
      </c>
      <c r="X41" s="114">
        <f t="shared" si="9"/>
        <v>24588</v>
      </c>
      <c r="Y41" s="114">
        <f t="shared" si="9"/>
        <v>26816</v>
      </c>
      <c r="Z41" s="114">
        <f t="shared" si="9"/>
        <v>29039</v>
      </c>
    </row>
    <row r="42" spans="1:26" ht="17.100000000000001" customHeight="1">
      <c r="A42" s="109" t="s">
        <v>101</v>
      </c>
      <c r="B42" s="112" t="s">
        <v>38</v>
      </c>
      <c r="C42" s="113">
        <f>C40</f>
        <v>0</v>
      </c>
      <c r="D42" s="113">
        <f t="shared" ref="D42" si="10">C42+D40</f>
        <v>0</v>
      </c>
      <c r="E42" s="113">
        <f t="shared" si="8"/>
        <v>0</v>
      </c>
      <c r="F42" s="113">
        <f t="shared" si="8"/>
        <v>0</v>
      </c>
      <c r="G42" s="113">
        <f t="shared" si="8"/>
        <v>0</v>
      </c>
      <c r="H42" s="113">
        <f t="shared" si="8"/>
        <v>0</v>
      </c>
      <c r="I42" s="113">
        <f t="shared" si="8"/>
        <v>0</v>
      </c>
      <c r="J42" s="113">
        <f t="shared" si="8"/>
        <v>0</v>
      </c>
      <c r="K42" s="113">
        <f t="shared" si="8"/>
        <v>0</v>
      </c>
      <c r="L42" s="113">
        <f t="shared" si="8"/>
        <v>0</v>
      </c>
      <c r="M42" s="113">
        <f t="shared" si="8"/>
        <v>0</v>
      </c>
      <c r="N42" s="113">
        <f t="shared" si="8"/>
        <v>0</v>
      </c>
      <c r="O42" s="113">
        <f>O40</f>
        <v>0</v>
      </c>
      <c r="P42" s="113">
        <f t="shared" ref="P42" si="11">O42+P40</f>
        <v>0</v>
      </c>
      <c r="Q42" s="113">
        <f t="shared" si="9"/>
        <v>0</v>
      </c>
      <c r="R42" s="113">
        <f t="shared" si="9"/>
        <v>0</v>
      </c>
      <c r="S42" s="113">
        <f t="shared" si="9"/>
        <v>0</v>
      </c>
      <c r="T42" s="113">
        <f t="shared" si="9"/>
        <v>0</v>
      </c>
      <c r="U42" s="113">
        <f t="shared" si="9"/>
        <v>0</v>
      </c>
      <c r="V42" s="113">
        <f t="shared" si="9"/>
        <v>0</v>
      </c>
      <c r="W42" s="113">
        <f t="shared" si="9"/>
        <v>0</v>
      </c>
      <c r="X42" s="113">
        <f t="shared" si="9"/>
        <v>0</v>
      </c>
      <c r="Y42" s="113">
        <f t="shared" si="9"/>
        <v>0</v>
      </c>
      <c r="Z42" s="113">
        <f t="shared" si="9"/>
        <v>0</v>
      </c>
    </row>
    <row r="43" spans="1:26" ht="17.100000000000001" customHeight="1">
      <c r="A43" s="115" t="s">
        <v>102</v>
      </c>
      <c r="B43" s="110" t="s">
        <v>37</v>
      </c>
      <c r="C43" s="116">
        <f>1-C35/C39</f>
        <v>1</v>
      </c>
      <c r="D43" s="116">
        <f t="shared" ref="D43:N43" si="12">1-D35/D39</f>
        <v>0.99954421148587058</v>
      </c>
      <c r="E43" s="116">
        <f t="shared" si="12"/>
        <v>1</v>
      </c>
      <c r="F43" s="116">
        <f t="shared" si="12"/>
        <v>0.99964763918252286</v>
      </c>
      <c r="G43" s="116">
        <f t="shared" si="12"/>
        <v>1</v>
      </c>
      <c r="H43" s="116">
        <f t="shared" si="12"/>
        <v>0.99963181148748159</v>
      </c>
      <c r="I43" s="116">
        <f t="shared" si="12"/>
        <v>1</v>
      </c>
      <c r="J43" s="116">
        <f t="shared" si="12"/>
        <v>0.99958053691275173</v>
      </c>
      <c r="K43" s="116">
        <f t="shared" si="12"/>
        <v>1</v>
      </c>
      <c r="L43" s="116">
        <f t="shared" si="12"/>
        <v>0.99957591178965222</v>
      </c>
      <c r="M43" s="116">
        <f t="shared" si="12"/>
        <v>1</v>
      </c>
      <c r="N43" s="116">
        <f t="shared" si="12"/>
        <v>0.99955015744489428</v>
      </c>
      <c r="O43" s="116">
        <f>1-O35/O39</f>
        <v>1</v>
      </c>
      <c r="P43" s="116">
        <f t="shared" ref="P43:Z43" si="13">1-P35/P39</f>
        <v>0.99954421148587058</v>
      </c>
      <c r="Q43" s="116">
        <f t="shared" si="13"/>
        <v>1</v>
      </c>
      <c r="R43" s="116">
        <f t="shared" si="13"/>
        <v>0.99964763918252286</v>
      </c>
      <c r="S43" s="116">
        <f t="shared" si="13"/>
        <v>1</v>
      </c>
      <c r="T43" s="116">
        <f t="shared" si="13"/>
        <v>0.99963181148748159</v>
      </c>
      <c r="U43" s="116">
        <f t="shared" si="13"/>
        <v>1</v>
      </c>
      <c r="V43" s="116">
        <f t="shared" si="13"/>
        <v>0.99958053691275173</v>
      </c>
      <c r="W43" s="116">
        <f t="shared" si="13"/>
        <v>1</v>
      </c>
      <c r="X43" s="116">
        <f t="shared" si="13"/>
        <v>0.99957591178965222</v>
      </c>
      <c r="Y43" s="116">
        <f t="shared" si="13"/>
        <v>1</v>
      </c>
      <c r="Z43" s="116">
        <f t="shared" si="13"/>
        <v>0.99955015744489428</v>
      </c>
    </row>
    <row r="44" spans="1:26" ht="17.100000000000001" customHeight="1">
      <c r="A44" s="115" t="s">
        <v>102</v>
      </c>
      <c r="B44" s="112" t="s">
        <v>38</v>
      </c>
      <c r="C44" s="117" t="e">
        <f t="shared" ref="C44:Z44" si="14">100%-C37/C40</f>
        <v>#DIV/0!</v>
      </c>
      <c r="D44" s="117" t="e">
        <f t="shared" si="14"/>
        <v>#DIV/0!</v>
      </c>
      <c r="E44" s="117" t="e">
        <f t="shared" si="14"/>
        <v>#DIV/0!</v>
      </c>
      <c r="F44" s="117" t="e">
        <f t="shared" si="14"/>
        <v>#DIV/0!</v>
      </c>
      <c r="G44" s="117" t="e">
        <f t="shared" si="14"/>
        <v>#DIV/0!</v>
      </c>
      <c r="H44" s="117" t="e">
        <f t="shared" si="14"/>
        <v>#DIV/0!</v>
      </c>
      <c r="I44" s="117" t="e">
        <f t="shared" si="14"/>
        <v>#DIV/0!</v>
      </c>
      <c r="J44" s="117" t="e">
        <f t="shared" si="14"/>
        <v>#DIV/0!</v>
      </c>
      <c r="K44" s="117" t="e">
        <f t="shared" si="14"/>
        <v>#DIV/0!</v>
      </c>
      <c r="L44" s="117" t="e">
        <f t="shared" si="14"/>
        <v>#DIV/0!</v>
      </c>
      <c r="M44" s="117" t="e">
        <f t="shared" si="14"/>
        <v>#DIV/0!</v>
      </c>
      <c r="N44" s="117" t="e">
        <f t="shared" si="14"/>
        <v>#DIV/0!</v>
      </c>
      <c r="O44" s="117" t="e">
        <f t="shared" si="14"/>
        <v>#DIV/0!</v>
      </c>
      <c r="P44" s="117" t="e">
        <f t="shared" si="14"/>
        <v>#DIV/0!</v>
      </c>
      <c r="Q44" s="117" t="e">
        <f t="shared" si="14"/>
        <v>#DIV/0!</v>
      </c>
      <c r="R44" s="117" t="e">
        <f t="shared" si="14"/>
        <v>#DIV/0!</v>
      </c>
      <c r="S44" s="117" t="e">
        <f t="shared" si="14"/>
        <v>#DIV/0!</v>
      </c>
      <c r="T44" s="117" t="e">
        <f t="shared" si="14"/>
        <v>#DIV/0!</v>
      </c>
      <c r="U44" s="117" t="e">
        <f t="shared" si="14"/>
        <v>#DIV/0!</v>
      </c>
      <c r="V44" s="117" t="e">
        <f t="shared" si="14"/>
        <v>#DIV/0!</v>
      </c>
      <c r="W44" s="117" t="e">
        <f t="shared" si="14"/>
        <v>#DIV/0!</v>
      </c>
      <c r="X44" s="117" t="e">
        <f t="shared" si="14"/>
        <v>#DIV/0!</v>
      </c>
      <c r="Y44" s="117" t="e">
        <f t="shared" si="14"/>
        <v>#DIV/0!</v>
      </c>
      <c r="Z44" s="117" t="e">
        <f t="shared" si="14"/>
        <v>#DIV/0!</v>
      </c>
    </row>
    <row r="45" spans="1:26" ht="17.100000000000001" customHeight="1">
      <c r="A45" s="115" t="s">
        <v>103</v>
      </c>
      <c r="B45" s="110" t="s">
        <v>37</v>
      </c>
      <c r="C45" s="118">
        <v>100</v>
      </c>
      <c r="D45" s="118">
        <v>100</v>
      </c>
      <c r="E45" s="118">
        <v>100</v>
      </c>
      <c r="F45" s="118">
        <v>99.989887754070182</v>
      </c>
      <c r="G45" s="118">
        <v>99.992026789985644</v>
      </c>
      <c r="H45" s="118">
        <v>99.987028990206881</v>
      </c>
      <c r="I45" s="118">
        <v>99.988983751032777</v>
      </c>
      <c r="J45" s="118">
        <v>99.985677456316253</v>
      </c>
      <c r="K45" s="118">
        <v>99.987316619456294</v>
      </c>
      <c r="L45" s="118">
        <v>99.984914199509717</v>
      </c>
      <c r="M45" s="118">
        <v>99.986288691598389</v>
      </c>
      <c r="N45" s="118">
        <v>99.987504295398452</v>
      </c>
      <c r="O45" s="118">
        <v>100</v>
      </c>
      <c r="P45" s="118">
        <v>100</v>
      </c>
      <c r="Q45" s="118">
        <v>100</v>
      </c>
      <c r="R45" s="118">
        <v>99.989887754070182</v>
      </c>
      <c r="S45" s="118">
        <v>99.992026789985644</v>
      </c>
      <c r="T45" s="118">
        <v>99.987028990206881</v>
      </c>
      <c r="U45" s="118">
        <v>99.988983751032777</v>
      </c>
      <c r="V45" s="118">
        <v>99.985677456316253</v>
      </c>
      <c r="W45" s="118">
        <v>99.987316619456294</v>
      </c>
      <c r="X45" s="118">
        <v>99.984914199509717</v>
      </c>
      <c r="Y45" s="118">
        <v>99.986288691598389</v>
      </c>
      <c r="Z45" s="118">
        <v>99.987504295398452</v>
      </c>
    </row>
    <row r="46" spans="1:26" ht="17.100000000000001" customHeight="1">
      <c r="A46" s="119" t="s">
        <v>103</v>
      </c>
      <c r="B46" s="112" t="s">
        <v>38</v>
      </c>
      <c r="C46" s="117" t="e">
        <f>100%-C38/C42</f>
        <v>#DIV/0!</v>
      </c>
      <c r="D46" s="117" t="e">
        <f t="shared" ref="D46:N46" si="15">100%-D38/D42</f>
        <v>#DIV/0!</v>
      </c>
      <c r="E46" s="117" t="e">
        <f t="shared" si="15"/>
        <v>#DIV/0!</v>
      </c>
      <c r="F46" s="117" t="e">
        <f t="shared" si="15"/>
        <v>#DIV/0!</v>
      </c>
      <c r="G46" s="117" t="e">
        <f t="shared" si="15"/>
        <v>#DIV/0!</v>
      </c>
      <c r="H46" s="117" t="e">
        <f t="shared" si="15"/>
        <v>#DIV/0!</v>
      </c>
      <c r="I46" s="117" t="e">
        <f t="shared" si="15"/>
        <v>#DIV/0!</v>
      </c>
      <c r="J46" s="117" t="e">
        <f t="shared" si="15"/>
        <v>#DIV/0!</v>
      </c>
      <c r="K46" s="117" t="e">
        <f t="shared" si="15"/>
        <v>#DIV/0!</v>
      </c>
      <c r="L46" s="117" t="e">
        <f t="shared" si="15"/>
        <v>#DIV/0!</v>
      </c>
      <c r="M46" s="117" t="e">
        <f t="shared" si="15"/>
        <v>#DIV/0!</v>
      </c>
      <c r="N46" s="117" t="e">
        <f t="shared" si="15"/>
        <v>#DIV/0!</v>
      </c>
      <c r="O46" s="117" t="e">
        <f>100%-O38/O42</f>
        <v>#DIV/0!</v>
      </c>
      <c r="P46" s="117" t="e">
        <f t="shared" ref="P46:Z46" si="16">100%-P38/P42</f>
        <v>#DIV/0!</v>
      </c>
      <c r="Q46" s="117" t="e">
        <f t="shared" si="16"/>
        <v>#DIV/0!</v>
      </c>
      <c r="R46" s="117" t="e">
        <f t="shared" si="16"/>
        <v>#DIV/0!</v>
      </c>
      <c r="S46" s="117" t="e">
        <f t="shared" si="16"/>
        <v>#DIV/0!</v>
      </c>
      <c r="T46" s="117" t="e">
        <f t="shared" si="16"/>
        <v>#DIV/0!</v>
      </c>
      <c r="U46" s="117" t="e">
        <f t="shared" si="16"/>
        <v>#DIV/0!</v>
      </c>
      <c r="V46" s="117" t="e">
        <f t="shared" si="16"/>
        <v>#DIV/0!</v>
      </c>
      <c r="W46" s="117" t="e">
        <f t="shared" si="16"/>
        <v>#DIV/0!</v>
      </c>
      <c r="X46" s="117" t="e">
        <f t="shared" si="16"/>
        <v>#DIV/0!</v>
      </c>
      <c r="Y46" s="117" t="e">
        <f t="shared" si="16"/>
        <v>#DIV/0!</v>
      </c>
      <c r="Z46" s="117" t="e">
        <f t="shared" si="16"/>
        <v>#DIV/0!</v>
      </c>
    </row>
    <row r="48" spans="1:26" ht="21">
      <c r="B48" s="180" t="s">
        <v>104</v>
      </c>
      <c r="C48" s="180"/>
      <c r="D48" s="180"/>
      <c r="E48" s="180"/>
      <c r="F48" s="180"/>
      <c r="G48" s="180"/>
      <c r="H48" s="180"/>
      <c r="I48" s="180" t="s">
        <v>105</v>
      </c>
      <c r="J48" s="180"/>
      <c r="K48" s="180"/>
      <c r="L48" s="180"/>
      <c r="M48" s="180"/>
      <c r="N48" s="180"/>
      <c r="O48" s="180"/>
      <c r="P48" s="180"/>
      <c r="Q48" s="180"/>
      <c r="R48" s="180" t="s">
        <v>106</v>
      </c>
      <c r="S48" s="180"/>
      <c r="T48" s="180"/>
      <c r="U48" s="180"/>
      <c r="V48" s="180"/>
      <c r="W48" s="180"/>
      <c r="X48" s="180"/>
      <c r="Y48" s="180"/>
      <c r="Z48" s="180"/>
    </row>
    <row r="49" spans="2:26" ht="14.1" customHeight="1">
      <c r="B49" s="171" t="s">
        <v>107</v>
      </c>
      <c r="C49" s="171"/>
      <c r="D49" s="171"/>
      <c r="E49" s="171"/>
      <c r="F49" s="171"/>
      <c r="G49" s="171"/>
      <c r="H49" s="171"/>
      <c r="I49" s="159" t="s">
        <v>108</v>
      </c>
      <c r="J49" s="159"/>
      <c r="K49" s="159"/>
      <c r="L49" s="159"/>
      <c r="M49" s="159"/>
      <c r="N49" s="159"/>
      <c r="O49" s="159"/>
      <c r="P49" s="159"/>
      <c r="Q49" s="159"/>
      <c r="R49" s="159" t="s">
        <v>109</v>
      </c>
      <c r="S49" s="159"/>
      <c r="T49" s="159"/>
      <c r="U49" s="159"/>
      <c r="V49" s="159"/>
      <c r="W49" s="159"/>
      <c r="X49" s="159"/>
      <c r="Y49" s="159"/>
      <c r="Z49" s="159"/>
    </row>
    <row r="50" spans="2:26" ht="14.1" customHeight="1">
      <c r="B50" s="171"/>
      <c r="C50" s="171"/>
      <c r="D50" s="171"/>
      <c r="E50" s="171"/>
      <c r="F50" s="171"/>
      <c r="G50" s="171"/>
      <c r="H50" s="171"/>
      <c r="I50" s="159"/>
      <c r="J50" s="159"/>
      <c r="K50" s="159"/>
      <c r="L50" s="159"/>
      <c r="M50" s="159"/>
      <c r="N50" s="159"/>
      <c r="O50" s="159"/>
      <c r="P50" s="159"/>
      <c r="Q50" s="159"/>
      <c r="R50" s="159"/>
      <c r="S50" s="159"/>
      <c r="T50" s="159"/>
      <c r="U50" s="159"/>
      <c r="V50" s="159"/>
      <c r="W50" s="159"/>
      <c r="X50" s="159"/>
      <c r="Y50" s="159"/>
      <c r="Z50" s="159"/>
    </row>
    <row r="51" spans="2:26" ht="14.1" customHeight="1">
      <c r="B51" s="171"/>
      <c r="C51" s="171"/>
      <c r="D51" s="171"/>
      <c r="E51" s="171"/>
      <c r="F51" s="171"/>
      <c r="G51" s="171"/>
      <c r="H51" s="171"/>
      <c r="I51" s="159"/>
      <c r="J51" s="159"/>
      <c r="K51" s="159"/>
      <c r="L51" s="159"/>
      <c r="M51" s="159"/>
      <c r="N51" s="159"/>
      <c r="O51" s="159"/>
      <c r="P51" s="159"/>
      <c r="Q51" s="159"/>
      <c r="R51" s="159"/>
      <c r="S51" s="159"/>
      <c r="T51" s="159"/>
      <c r="U51" s="159"/>
      <c r="V51" s="159"/>
      <c r="W51" s="159"/>
      <c r="X51" s="159"/>
      <c r="Y51" s="159"/>
      <c r="Z51" s="159"/>
    </row>
    <row r="52" spans="2:26" ht="14.1" customHeight="1">
      <c r="B52" s="171"/>
      <c r="C52" s="171"/>
      <c r="D52" s="171"/>
      <c r="E52" s="171"/>
      <c r="F52" s="171"/>
      <c r="G52" s="171"/>
      <c r="H52" s="171"/>
      <c r="I52" s="159"/>
      <c r="J52" s="159"/>
      <c r="K52" s="159"/>
      <c r="L52" s="159"/>
      <c r="M52" s="159"/>
      <c r="N52" s="159"/>
      <c r="O52" s="159"/>
      <c r="P52" s="159"/>
      <c r="Q52" s="159"/>
      <c r="R52" s="159"/>
      <c r="S52" s="159"/>
      <c r="T52" s="159"/>
      <c r="U52" s="159"/>
      <c r="V52" s="159"/>
      <c r="W52" s="159"/>
      <c r="X52" s="159"/>
      <c r="Y52" s="159"/>
      <c r="Z52" s="159"/>
    </row>
    <row r="53" spans="2:26" ht="14.1" customHeight="1">
      <c r="B53" s="171"/>
      <c r="C53" s="171"/>
      <c r="D53" s="171"/>
      <c r="E53" s="171"/>
      <c r="F53" s="171"/>
      <c r="G53" s="171"/>
      <c r="H53" s="171"/>
      <c r="I53" s="159"/>
      <c r="J53" s="159"/>
      <c r="K53" s="159"/>
      <c r="L53" s="159"/>
      <c r="M53" s="159"/>
      <c r="N53" s="159"/>
      <c r="O53" s="159"/>
      <c r="P53" s="159"/>
      <c r="Q53" s="159"/>
      <c r="R53" s="159"/>
      <c r="S53" s="159"/>
      <c r="T53" s="159"/>
      <c r="U53" s="159"/>
      <c r="V53" s="159"/>
      <c r="W53" s="159"/>
      <c r="X53" s="159"/>
      <c r="Y53" s="159"/>
      <c r="Z53" s="159"/>
    </row>
    <row r="54" spans="2:26" ht="14.1" customHeight="1">
      <c r="B54" s="171"/>
      <c r="C54" s="171"/>
      <c r="D54" s="171"/>
      <c r="E54" s="171"/>
      <c r="F54" s="171"/>
      <c r="G54" s="171"/>
      <c r="H54" s="171"/>
      <c r="I54" s="159"/>
      <c r="J54" s="159"/>
      <c r="K54" s="159"/>
      <c r="L54" s="159"/>
      <c r="M54" s="159"/>
      <c r="N54" s="159"/>
      <c r="O54" s="159"/>
      <c r="P54" s="159"/>
      <c r="Q54" s="159"/>
      <c r="R54" s="159"/>
      <c r="S54" s="159"/>
      <c r="T54" s="159"/>
      <c r="U54" s="159"/>
      <c r="V54" s="159"/>
      <c r="W54" s="159"/>
      <c r="X54" s="159"/>
      <c r="Y54" s="159"/>
      <c r="Z54" s="159"/>
    </row>
    <row r="55" spans="2:26" ht="14.1" customHeight="1">
      <c r="B55" s="171"/>
      <c r="C55" s="171"/>
      <c r="D55" s="171"/>
      <c r="E55" s="171"/>
      <c r="F55" s="171"/>
      <c r="G55" s="171"/>
      <c r="H55" s="171"/>
      <c r="I55" s="159"/>
      <c r="J55" s="159"/>
      <c r="K55" s="159"/>
      <c r="L55" s="159"/>
      <c r="M55" s="159"/>
      <c r="N55" s="159"/>
      <c r="O55" s="159"/>
      <c r="P55" s="159"/>
      <c r="Q55" s="159"/>
      <c r="R55" s="159"/>
      <c r="S55" s="159"/>
      <c r="T55" s="159"/>
      <c r="U55" s="159"/>
      <c r="V55" s="159"/>
      <c r="W55" s="159"/>
      <c r="X55" s="159"/>
      <c r="Y55" s="159"/>
      <c r="Z55" s="159"/>
    </row>
    <row r="56" spans="2:26" ht="14.1" customHeight="1">
      <c r="B56" s="171"/>
      <c r="C56" s="171"/>
      <c r="D56" s="171"/>
      <c r="E56" s="171"/>
      <c r="F56" s="171"/>
      <c r="G56" s="171"/>
      <c r="H56" s="171"/>
      <c r="I56" s="159"/>
      <c r="J56" s="159"/>
      <c r="K56" s="159"/>
      <c r="L56" s="159"/>
      <c r="M56" s="159"/>
      <c r="N56" s="159"/>
      <c r="O56" s="159"/>
      <c r="P56" s="159"/>
      <c r="Q56" s="159"/>
      <c r="R56" s="159"/>
      <c r="S56" s="159"/>
      <c r="T56" s="159"/>
      <c r="U56" s="159"/>
      <c r="V56" s="159"/>
      <c r="W56" s="159"/>
      <c r="X56" s="159"/>
      <c r="Y56" s="159"/>
      <c r="Z56" s="159"/>
    </row>
    <row r="57" spans="2:26" ht="14.1" customHeight="1">
      <c r="B57" s="171"/>
      <c r="C57" s="171"/>
      <c r="D57" s="171"/>
      <c r="E57" s="171"/>
      <c r="F57" s="171"/>
      <c r="G57" s="171"/>
      <c r="H57" s="171"/>
      <c r="I57" s="159"/>
      <c r="J57" s="159"/>
      <c r="K57" s="159"/>
      <c r="L57" s="159"/>
      <c r="M57" s="159"/>
      <c r="N57" s="159"/>
      <c r="O57" s="159"/>
      <c r="P57" s="159"/>
      <c r="Q57" s="159"/>
      <c r="R57" s="159"/>
      <c r="S57" s="159"/>
      <c r="T57" s="159"/>
      <c r="U57" s="159"/>
      <c r="V57" s="159"/>
      <c r="W57" s="159"/>
      <c r="X57" s="159"/>
      <c r="Y57" s="159"/>
      <c r="Z57" s="159"/>
    </row>
    <row r="58" spans="2:26" ht="14.1" customHeight="1">
      <c r="B58" s="171"/>
      <c r="C58" s="171"/>
      <c r="D58" s="171"/>
      <c r="E58" s="171"/>
      <c r="F58" s="171"/>
      <c r="G58" s="171"/>
      <c r="H58" s="171"/>
      <c r="I58" s="159"/>
      <c r="J58" s="159"/>
      <c r="K58" s="159"/>
      <c r="L58" s="159"/>
      <c r="M58" s="159"/>
      <c r="N58" s="159"/>
      <c r="O58" s="159"/>
      <c r="P58" s="159"/>
      <c r="Q58" s="159"/>
      <c r="R58" s="159"/>
      <c r="S58" s="159"/>
      <c r="T58" s="159"/>
      <c r="U58" s="159"/>
      <c r="V58" s="159"/>
      <c r="W58" s="159"/>
      <c r="X58" s="159"/>
      <c r="Y58" s="159"/>
      <c r="Z58" s="159"/>
    </row>
    <row r="59" spans="2:26" ht="14.1" customHeight="1">
      <c r="B59" s="171"/>
      <c r="C59" s="171"/>
      <c r="D59" s="171"/>
      <c r="E59" s="171"/>
      <c r="F59" s="171"/>
      <c r="G59" s="171"/>
      <c r="H59" s="171"/>
      <c r="I59" s="159"/>
      <c r="J59" s="159"/>
      <c r="K59" s="159"/>
      <c r="L59" s="159"/>
      <c r="M59" s="159"/>
      <c r="N59" s="159"/>
      <c r="O59" s="159"/>
      <c r="P59" s="159"/>
      <c r="Q59" s="159"/>
      <c r="R59" s="159"/>
      <c r="S59" s="159"/>
      <c r="T59" s="159"/>
      <c r="U59" s="159"/>
      <c r="V59" s="159"/>
      <c r="W59" s="159"/>
      <c r="X59" s="159"/>
      <c r="Y59" s="159"/>
      <c r="Z59" s="159"/>
    </row>
    <row r="60" spans="2:26" ht="14.1" customHeight="1">
      <c r="B60" s="171"/>
      <c r="C60" s="171"/>
      <c r="D60" s="171"/>
      <c r="E60" s="171"/>
      <c r="F60" s="171"/>
      <c r="G60" s="171"/>
      <c r="H60" s="171"/>
      <c r="I60" s="159"/>
      <c r="J60" s="159"/>
      <c r="K60" s="159"/>
      <c r="L60" s="159"/>
      <c r="M60" s="159"/>
      <c r="N60" s="159"/>
      <c r="O60" s="159"/>
      <c r="P60" s="159"/>
      <c r="Q60" s="159"/>
      <c r="R60" s="159"/>
      <c r="S60" s="159"/>
      <c r="T60" s="159"/>
      <c r="U60" s="159"/>
      <c r="V60" s="159"/>
      <c r="W60" s="159"/>
      <c r="X60" s="159"/>
      <c r="Y60" s="159"/>
      <c r="Z60" s="159"/>
    </row>
    <row r="61" spans="2:26" ht="14.1" customHeight="1">
      <c r="B61" s="171"/>
      <c r="C61" s="171"/>
      <c r="D61" s="171"/>
      <c r="E61" s="171"/>
      <c r="F61" s="171"/>
      <c r="G61" s="171"/>
      <c r="H61" s="171"/>
      <c r="I61" s="159"/>
      <c r="J61" s="159"/>
      <c r="K61" s="159"/>
      <c r="L61" s="159"/>
      <c r="M61" s="159"/>
      <c r="N61" s="159"/>
      <c r="O61" s="159"/>
      <c r="P61" s="159"/>
      <c r="Q61" s="159"/>
      <c r="R61" s="159"/>
      <c r="S61" s="159"/>
      <c r="T61" s="159"/>
      <c r="U61" s="159"/>
      <c r="V61" s="159"/>
      <c r="W61" s="159"/>
      <c r="X61" s="159"/>
      <c r="Y61" s="159"/>
      <c r="Z61" s="159"/>
    </row>
    <row r="62" spans="2:26" ht="14.1" customHeight="1">
      <c r="B62" s="171"/>
      <c r="C62" s="171"/>
      <c r="D62" s="171"/>
      <c r="E62" s="171"/>
      <c r="F62" s="171"/>
      <c r="G62" s="171"/>
      <c r="H62" s="171"/>
      <c r="I62" s="159"/>
      <c r="J62" s="159"/>
      <c r="K62" s="159"/>
      <c r="L62" s="159"/>
      <c r="M62" s="159"/>
      <c r="N62" s="159"/>
      <c r="O62" s="159"/>
      <c r="P62" s="159"/>
      <c r="Q62" s="159"/>
      <c r="R62" s="159"/>
      <c r="S62" s="159"/>
      <c r="T62" s="159"/>
      <c r="U62" s="159"/>
      <c r="V62" s="159"/>
      <c r="W62" s="159"/>
      <c r="X62" s="159"/>
      <c r="Y62" s="159"/>
      <c r="Z62" s="159"/>
    </row>
    <row r="63" spans="2:26" ht="14.1" customHeight="1">
      <c r="B63" s="171"/>
      <c r="C63" s="171"/>
      <c r="D63" s="171"/>
      <c r="E63" s="171"/>
      <c r="F63" s="171"/>
      <c r="G63" s="171"/>
      <c r="H63" s="171"/>
      <c r="I63" s="159"/>
      <c r="J63" s="159"/>
      <c r="K63" s="159"/>
      <c r="L63" s="159"/>
      <c r="M63" s="159"/>
      <c r="N63" s="159"/>
      <c r="O63" s="159"/>
      <c r="P63" s="159"/>
      <c r="Q63" s="159"/>
      <c r="R63" s="159"/>
      <c r="S63" s="159"/>
      <c r="T63" s="159"/>
      <c r="U63" s="159"/>
      <c r="V63" s="159"/>
      <c r="W63" s="159"/>
      <c r="X63" s="159"/>
      <c r="Y63" s="159"/>
      <c r="Z63" s="159"/>
    </row>
    <row r="64" spans="2:26" ht="14.1" customHeight="1">
      <c r="B64" s="171"/>
      <c r="C64" s="171"/>
      <c r="D64" s="171"/>
      <c r="E64" s="171"/>
      <c r="F64" s="171"/>
      <c r="G64" s="171"/>
      <c r="H64" s="171"/>
      <c r="I64" s="159"/>
      <c r="J64" s="159"/>
      <c r="K64" s="159"/>
      <c r="L64" s="159"/>
      <c r="M64" s="159"/>
      <c r="N64" s="159"/>
      <c r="O64" s="159"/>
      <c r="P64" s="159"/>
      <c r="Q64" s="159"/>
      <c r="R64" s="159"/>
      <c r="S64" s="159"/>
      <c r="T64" s="159"/>
      <c r="U64" s="159"/>
      <c r="V64" s="159"/>
      <c r="W64" s="159"/>
      <c r="X64" s="159"/>
      <c r="Y64" s="159"/>
      <c r="Z64" s="159"/>
    </row>
    <row r="65" spans="2:26" ht="14.1" customHeight="1">
      <c r="B65" s="171"/>
      <c r="C65" s="171"/>
      <c r="D65" s="171"/>
      <c r="E65" s="171"/>
      <c r="F65" s="171"/>
      <c r="G65" s="171"/>
      <c r="H65" s="171"/>
      <c r="I65" s="159"/>
      <c r="J65" s="159"/>
      <c r="K65" s="159"/>
      <c r="L65" s="159"/>
      <c r="M65" s="159"/>
      <c r="N65" s="159"/>
      <c r="O65" s="159"/>
      <c r="P65" s="159"/>
      <c r="Q65" s="159"/>
      <c r="R65" s="159"/>
      <c r="S65" s="159"/>
      <c r="T65" s="159"/>
      <c r="U65" s="159"/>
      <c r="V65" s="159"/>
      <c r="W65" s="159"/>
      <c r="X65" s="159"/>
      <c r="Y65" s="159"/>
      <c r="Z65" s="159"/>
    </row>
    <row r="66" spans="2:26" ht="14.1" customHeight="1">
      <c r="B66" s="171"/>
      <c r="C66" s="171"/>
      <c r="D66" s="171"/>
      <c r="E66" s="171"/>
      <c r="F66" s="171"/>
      <c r="G66" s="171"/>
      <c r="H66" s="171"/>
      <c r="I66" s="159"/>
      <c r="J66" s="159"/>
      <c r="K66" s="159"/>
      <c r="L66" s="159"/>
      <c r="M66" s="159"/>
      <c r="N66" s="159"/>
      <c r="O66" s="159"/>
      <c r="P66" s="159"/>
      <c r="Q66" s="159"/>
      <c r="R66" s="159"/>
      <c r="S66" s="159"/>
      <c r="T66" s="159"/>
      <c r="U66" s="159"/>
      <c r="V66" s="159"/>
      <c r="W66" s="159"/>
      <c r="X66" s="159"/>
      <c r="Y66" s="159"/>
      <c r="Z66" s="159"/>
    </row>
    <row r="67" spans="2:26" ht="14.1" customHeight="1">
      <c r="B67" s="171"/>
      <c r="C67" s="171"/>
      <c r="D67" s="171"/>
      <c r="E67" s="171"/>
      <c r="F67" s="171"/>
      <c r="G67" s="171"/>
      <c r="H67" s="171"/>
      <c r="I67" s="159"/>
      <c r="J67" s="159"/>
      <c r="K67" s="159"/>
      <c r="L67" s="159"/>
      <c r="M67" s="159"/>
      <c r="N67" s="159"/>
      <c r="O67" s="159"/>
      <c r="P67" s="159"/>
      <c r="Q67" s="159"/>
      <c r="R67" s="159"/>
      <c r="S67" s="159"/>
      <c r="T67" s="159"/>
      <c r="U67" s="159"/>
      <c r="V67" s="159"/>
      <c r="W67" s="159"/>
      <c r="X67" s="159"/>
      <c r="Y67" s="159"/>
      <c r="Z67" s="159"/>
    </row>
    <row r="68" spans="2:26" ht="14.1" customHeight="1">
      <c r="B68" s="171"/>
      <c r="C68" s="171"/>
      <c r="D68" s="171"/>
      <c r="E68" s="171"/>
      <c r="F68" s="171"/>
      <c r="G68" s="171"/>
      <c r="H68" s="171"/>
      <c r="I68" s="159"/>
      <c r="J68" s="159"/>
      <c r="K68" s="159"/>
      <c r="L68" s="159"/>
      <c r="M68" s="159"/>
      <c r="N68" s="159"/>
      <c r="O68" s="159"/>
      <c r="P68" s="159"/>
      <c r="Q68" s="159"/>
      <c r="R68" s="159"/>
      <c r="S68" s="159"/>
      <c r="T68" s="159"/>
      <c r="U68" s="159"/>
      <c r="V68" s="159"/>
      <c r="W68" s="159"/>
      <c r="X68" s="159"/>
      <c r="Y68" s="159"/>
      <c r="Z68" s="159"/>
    </row>
    <row r="69" spans="2:26" ht="14.1" customHeight="1">
      <c r="B69" s="171"/>
      <c r="C69" s="171"/>
      <c r="D69" s="171"/>
      <c r="E69" s="171"/>
      <c r="F69" s="171"/>
      <c r="G69" s="171"/>
      <c r="H69" s="171"/>
      <c r="I69" s="159"/>
      <c r="J69" s="159"/>
      <c r="K69" s="159"/>
      <c r="L69" s="159"/>
      <c r="M69" s="159"/>
      <c r="N69" s="159"/>
      <c r="O69" s="159"/>
      <c r="P69" s="159"/>
      <c r="Q69" s="159"/>
      <c r="R69" s="159"/>
      <c r="S69" s="159"/>
      <c r="T69" s="159"/>
      <c r="U69" s="159"/>
      <c r="V69" s="159"/>
      <c r="W69" s="159"/>
      <c r="X69" s="159"/>
      <c r="Y69" s="159"/>
      <c r="Z69" s="159"/>
    </row>
    <row r="70" spans="2:26" ht="26.1" customHeight="1">
      <c r="B70" s="171"/>
      <c r="C70" s="171"/>
      <c r="D70" s="171"/>
      <c r="E70" s="171"/>
      <c r="F70" s="171"/>
      <c r="G70" s="171"/>
      <c r="H70" s="171"/>
      <c r="I70" s="159"/>
      <c r="J70" s="159"/>
      <c r="K70" s="159"/>
      <c r="L70" s="159"/>
      <c r="M70" s="159"/>
      <c r="N70" s="159"/>
      <c r="O70" s="159"/>
      <c r="P70" s="159"/>
      <c r="Q70" s="159"/>
      <c r="R70" s="159"/>
      <c r="S70" s="159"/>
      <c r="T70" s="159"/>
      <c r="U70" s="159"/>
      <c r="V70" s="159"/>
      <c r="W70" s="159"/>
      <c r="X70" s="159"/>
      <c r="Y70" s="159"/>
      <c r="Z70" s="159"/>
    </row>
    <row r="71" spans="2:26" ht="27" customHeight="1"/>
    <row r="72" spans="2:26" ht="36" customHeight="1"/>
  </sheetData>
  <mergeCells count="15">
    <mergeCell ref="B49:H70"/>
    <mergeCell ref="I49:Q70"/>
    <mergeCell ref="R49:Z70"/>
    <mergeCell ref="C1:Z1"/>
    <mergeCell ref="C2:N2"/>
    <mergeCell ref="O2:Z2"/>
    <mergeCell ref="C22:N22"/>
    <mergeCell ref="O22:Z22"/>
    <mergeCell ref="C33:N33"/>
    <mergeCell ref="O33:Z33"/>
    <mergeCell ref="B35:B36"/>
    <mergeCell ref="B37:B38"/>
    <mergeCell ref="B48:H48"/>
    <mergeCell ref="I48:Q48"/>
    <mergeCell ref="R48:Z48"/>
  </mergeCells>
  <pageMargins left="0.7" right="0.7" top="0.75" bottom="0.75" header="0.3" footer="0.3"/>
  <pageSetup paperSize="9" orientation="portrait"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D39D4-9718-4BB1-B74C-37DE03F3B4CD}">
  <dimension ref="A2:AC8"/>
  <sheetViews>
    <sheetView zoomScaleNormal="100" workbookViewId="0">
      <pane xSplit="5" ySplit="3" topLeftCell="F4" activePane="bottomRight" state="frozen"/>
      <selection activeCell="AE16" sqref="AE16"/>
      <selection pane="topRight" activeCell="AE16" sqref="AE16"/>
      <selection pane="bottomLeft" activeCell="AE16" sqref="AE16"/>
      <selection pane="bottomRight" activeCell="F6" sqref="F6"/>
    </sheetView>
  </sheetViews>
  <sheetFormatPr defaultRowHeight="13.8"/>
  <cols>
    <col min="1" max="1" width="6.33203125" style="121" bestFit="1" customWidth="1"/>
    <col min="2" max="2" width="4" style="121" bestFit="1" customWidth="1"/>
    <col min="3" max="3" width="14.5546875" style="121" bestFit="1" customWidth="1"/>
    <col min="4" max="4" width="12.6640625" style="140" bestFit="1" customWidth="1"/>
    <col min="5" max="6" width="20.88671875" style="121" customWidth="1"/>
    <col min="7" max="7" width="11.109375" style="121" hidden="1" customWidth="1"/>
    <col min="8" max="8" width="5" style="121" hidden="1" customWidth="1"/>
    <col min="9" max="9" width="6.44140625" style="121" bestFit="1" customWidth="1"/>
    <col min="10" max="10" width="3.33203125" style="121" bestFit="1" customWidth="1"/>
    <col min="11" max="11" width="12.6640625" style="121" bestFit="1" customWidth="1"/>
    <col min="12" max="12" width="30" style="121" bestFit="1" customWidth="1"/>
    <col min="13" max="13" width="17.88671875" style="121" customWidth="1"/>
    <col min="14" max="14" width="14.5546875" style="121" bestFit="1" customWidth="1"/>
    <col min="15" max="15" width="12.6640625" style="121" customWidth="1"/>
    <col min="16" max="16" width="9.88671875" style="121" bestFit="1" customWidth="1"/>
    <col min="17" max="17" width="8" style="121" bestFit="1" customWidth="1"/>
    <col min="18" max="18" width="5.44140625" style="121" bestFit="1" customWidth="1"/>
    <col min="19" max="19" width="6.88671875" style="121" bestFit="1" customWidth="1"/>
    <col min="20" max="20" width="6" style="121" bestFit="1" customWidth="1"/>
    <col min="21" max="22" width="8.5546875" style="121" bestFit="1" customWidth="1"/>
    <col min="23" max="23" width="12.33203125" style="121" bestFit="1" customWidth="1"/>
    <col min="24" max="24" width="10.109375" style="121" bestFit="1" customWidth="1"/>
    <col min="25" max="25" width="9.88671875" style="121" bestFit="1" customWidth="1"/>
    <col min="26" max="26" width="7.109375" style="121" bestFit="1" customWidth="1"/>
    <col min="27" max="258" width="8.88671875" style="121"/>
    <col min="259" max="259" width="15.44140625" style="121" bestFit="1" customWidth="1"/>
    <col min="260" max="260" width="4.5546875" style="121" customWidth="1"/>
    <col min="261" max="261" width="13.88671875" style="121" bestFit="1" customWidth="1"/>
    <col min="262" max="263" width="13" style="121" bestFit="1" customWidth="1"/>
    <col min="264" max="264" width="14.5546875" style="121" bestFit="1" customWidth="1"/>
    <col min="265" max="265" width="8.109375" style="121" customWidth="1"/>
    <col min="266" max="266" width="8.33203125" style="121" customWidth="1"/>
    <col min="267" max="267" width="13" style="121" bestFit="1" customWidth="1"/>
    <col min="268" max="268" width="18.5546875" style="121" bestFit="1" customWidth="1"/>
    <col min="269" max="269" width="16.88671875" style="121" bestFit="1" customWidth="1"/>
    <col min="270" max="270" width="14.5546875" style="121" bestFit="1" customWidth="1"/>
    <col min="271" max="272" width="13" style="121" bestFit="1" customWidth="1"/>
    <col min="273" max="273" width="19" style="121" bestFit="1" customWidth="1"/>
    <col min="274" max="282" width="13" style="121" bestFit="1" customWidth="1"/>
    <col min="283" max="514" width="8.88671875" style="121"/>
    <col min="515" max="515" width="15.44140625" style="121" bestFit="1" customWidth="1"/>
    <col min="516" max="516" width="4.5546875" style="121" customWidth="1"/>
    <col min="517" max="517" width="13.88671875" style="121" bestFit="1" customWidth="1"/>
    <col min="518" max="519" width="13" style="121" bestFit="1" customWidth="1"/>
    <col min="520" max="520" width="14.5546875" style="121" bestFit="1" customWidth="1"/>
    <col min="521" max="521" width="8.109375" style="121" customWidth="1"/>
    <col min="522" max="522" width="8.33203125" style="121" customWidth="1"/>
    <col min="523" max="523" width="13" style="121" bestFit="1" customWidth="1"/>
    <col min="524" max="524" width="18.5546875" style="121" bestFit="1" customWidth="1"/>
    <col min="525" max="525" width="16.88671875" style="121" bestFit="1" customWidth="1"/>
    <col min="526" max="526" width="14.5546875" style="121" bestFit="1" customWidth="1"/>
    <col min="527" max="528" width="13" style="121" bestFit="1" customWidth="1"/>
    <col min="529" max="529" width="19" style="121" bestFit="1" customWidth="1"/>
    <col min="530" max="538" width="13" style="121" bestFit="1" customWidth="1"/>
    <col min="539" max="770" width="8.88671875" style="121"/>
    <col min="771" max="771" width="15.44140625" style="121" bestFit="1" customWidth="1"/>
    <col min="772" max="772" width="4.5546875" style="121" customWidth="1"/>
    <col min="773" max="773" width="13.88671875" style="121" bestFit="1" customWidth="1"/>
    <col min="774" max="775" width="13" style="121" bestFit="1" customWidth="1"/>
    <col min="776" max="776" width="14.5546875" style="121" bestFit="1" customWidth="1"/>
    <col min="777" max="777" width="8.109375" style="121" customWidth="1"/>
    <col min="778" max="778" width="8.33203125" style="121" customWidth="1"/>
    <col min="779" max="779" width="13" style="121" bestFit="1" customWidth="1"/>
    <col min="780" max="780" width="18.5546875" style="121" bestFit="1" customWidth="1"/>
    <col min="781" max="781" width="16.88671875" style="121" bestFit="1" customWidth="1"/>
    <col min="782" max="782" width="14.5546875" style="121" bestFit="1" customWidth="1"/>
    <col min="783" max="784" width="13" style="121" bestFit="1" customWidth="1"/>
    <col min="785" max="785" width="19" style="121" bestFit="1" customWidth="1"/>
    <col min="786" max="794" width="13" style="121" bestFit="1" customWidth="1"/>
    <col min="795" max="1026" width="8.88671875" style="121"/>
    <col min="1027" max="1027" width="15.44140625" style="121" bestFit="1" customWidth="1"/>
    <col min="1028" max="1028" width="4.5546875" style="121" customWidth="1"/>
    <col min="1029" max="1029" width="13.88671875" style="121" bestFit="1" customWidth="1"/>
    <col min="1030" max="1031" width="13" style="121" bestFit="1" customWidth="1"/>
    <col min="1032" max="1032" width="14.5546875" style="121" bestFit="1" customWidth="1"/>
    <col min="1033" max="1033" width="8.109375" style="121" customWidth="1"/>
    <col min="1034" max="1034" width="8.33203125" style="121" customWidth="1"/>
    <col min="1035" max="1035" width="13" style="121" bestFit="1" customWidth="1"/>
    <col min="1036" max="1036" width="18.5546875" style="121" bestFit="1" customWidth="1"/>
    <col min="1037" max="1037" width="16.88671875" style="121" bestFit="1" customWidth="1"/>
    <col min="1038" max="1038" width="14.5546875" style="121" bestFit="1" customWidth="1"/>
    <col min="1039" max="1040" width="13" style="121" bestFit="1" customWidth="1"/>
    <col min="1041" max="1041" width="19" style="121" bestFit="1" customWidth="1"/>
    <col min="1042" max="1050" width="13" style="121" bestFit="1" customWidth="1"/>
    <col min="1051" max="1282" width="8.88671875" style="121"/>
    <col min="1283" max="1283" width="15.44140625" style="121" bestFit="1" customWidth="1"/>
    <col min="1284" max="1284" width="4.5546875" style="121" customWidth="1"/>
    <col min="1285" max="1285" width="13.88671875" style="121" bestFit="1" customWidth="1"/>
    <col min="1286" max="1287" width="13" style="121" bestFit="1" customWidth="1"/>
    <col min="1288" max="1288" width="14.5546875" style="121" bestFit="1" customWidth="1"/>
    <col min="1289" max="1289" width="8.109375" style="121" customWidth="1"/>
    <col min="1290" max="1290" width="8.33203125" style="121" customWidth="1"/>
    <col min="1291" max="1291" width="13" style="121" bestFit="1" customWidth="1"/>
    <col min="1292" max="1292" width="18.5546875" style="121" bestFit="1" customWidth="1"/>
    <col min="1293" max="1293" width="16.88671875" style="121" bestFit="1" customWidth="1"/>
    <col min="1294" max="1294" width="14.5546875" style="121" bestFit="1" customWidth="1"/>
    <col min="1295" max="1296" width="13" style="121" bestFit="1" customWidth="1"/>
    <col min="1297" max="1297" width="19" style="121" bestFit="1" customWidth="1"/>
    <col min="1298" max="1306" width="13" style="121" bestFit="1" customWidth="1"/>
    <col min="1307" max="1538" width="8.88671875" style="121"/>
    <col min="1539" max="1539" width="15.44140625" style="121" bestFit="1" customWidth="1"/>
    <col min="1540" max="1540" width="4.5546875" style="121" customWidth="1"/>
    <col min="1541" max="1541" width="13.88671875" style="121" bestFit="1" customWidth="1"/>
    <col min="1542" max="1543" width="13" style="121" bestFit="1" customWidth="1"/>
    <col min="1544" max="1544" width="14.5546875" style="121" bestFit="1" customWidth="1"/>
    <col min="1545" max="1545" width="8.109375" style="121" customWidth="1"/>
    <col min="1546" max="1546" width="8.33203125" style="121" customWidth="1"/>
    <col min="1547" max="1547" width="13" style="121" bestFit="1" customWidth="1"/>
    <col min="1548" max="1548" width="18.5546875" style="121" bestFit="1" customWidth="1"/>
    <col min="1549" max="1549" width="16.88671875" style="121" bestFit="1" customWidth="1"/>
    <col min="1550" max="1550" width="14.5546875" style="121" bestFit="1" customWidth="1"/>
    <col min="1551" max="1552" width="13" style="121" bestFit="1" customWidth="1"/>
    <col min="1553" max="1553" width="19" style="121" bestFit="1" customWidth="1"/>
    <col min="1554" max="1562" width="13" style="121" bestFit="1" customWidth="1"/>
    <col min="1563" max="1794" width="8.88671875" style="121"/>
    <col min="1795" max="1795" width="15.44140625" style="121" bestFit="1" customWidth="1"/>
    <col min="1796" max="1796" width="4.5546875" style="121" customWidth="1"/>
    <col min="1797" max="1797" width="13.88671875" style="121" bestFit="1" customWidth="1"/>
    <col min="1798" max="1799" width="13" style="121" bestFit="1" customWidth="1"/>
    <col min="1800" max="1800" width="14.5546875" style="121" bestFit="1" customWidth="1"/>
    <col min="1801" max="1801" width="8.109375" style="121" customWidth="1"/>
    <col min="1802" max="1802" width="8.33203125" style="121" customWidth="1"/>
    <col min="1803" max="1803" width="13" style="121" bestFit="1" customWidth="1"/>
    <col min="1804" max="1804" width="18.5546875" style="121" bestFit="1" customWidth="1"/>
    <col min="1805" max="1805" width="16.88671875" style="121" bestFit="1" customWidth="1"/>
    <col min="1806" max="1806" width="14.5546875" style="121" bestFit="1" customWidth="1"/>
    <col min="1807" max="1808" width="13" style="121" bestFit="1" customWidth="1"/>
    <col min="1809" max="1809" width="19" style="121" bestFit="1" customWidth="1"/>
    <col min="1810" max="1818" width="13" style="121" bestFit="1" customWidth="1"/>
    <col min="1819" max="2050" width="8.88671875" style="121"/>
    <col min="2051" max="2051" width="15.44140625" style="121" bestFit="1" customWidth="1"/>
    <col min="2052" max="2052" width="4.5546875" style="121" customWidth="1"/>
    <col min="2053" max="2053" width="13.88671875" style="121" bestFit="1" customWidth="1"/>
    <col min="2054" max="2055" width="13" style="121" bestFit="1" customWidth="1"/>
    <col min="2056" max="2056" width="14.5546875" style="121" bestFit="1" customWidth="1"/>
    <col min="2057" max="2057" width="8.109375" style="121" customWidth="1"/>
    <col min="2058" max="2058" width="8.33203125" style="121" customWidth="1"/>
    <col min="2059" max="2059" width="13" style="121" bestFit="1" customWidth="1"/>
    <col min="2060" max="2060" width="18.5546875" style="121" bestFit="1" customWidth="1"/>
    <col min="2061" max="2061" width="16.88671875" style="121" bestFit="1" customWidth="1"/>
    <col min="2062" max="2062" width="14.5546875" style="121" bestFit="1" customWidth="1"/>
    <col min="2063" max="2064" width="13" style="121" bestFit="1" customWidth="1"/>
    <col min="2065" max="2065" width="19" style="121" bestFit="1" customWidth="1"/>
    <col min="2066" max="2074" width="13" style="121" bestFit="1" customWidth="1"/>
    <col min="2075" max="2306" width="8.88671875" style="121"/>
    <col min="2307" max="2307" width="15.44140625" style="121" bestFit="1" customWidth="1"/>
    <col min="2308" max="2308" width="4.5546875" style="121" customWidth="1"/>
    <col min="2309" max="2309" width="13.88671875" style="121" bestFit="1" customWidth="1"/>
    <col min="2310" max="2311" width="13" style="121" bestFit="1" customWidth="1"/>
    <col min="2312" max="2312" width="14.5546875" style="121" bestFit="1" customWidth="1"/>
    <col min="2313" max="2313" width="8.109375" style="121" customWidth="1"/>
    <col min="2314" max="2314" width="8.33203125" style="121" customWidth="1"/>
    <col min="2315" max="2315" width="13" style="121" bestFit="1" customWidth="1"/>
    <col min="2316" max="2316" width="18.5546875" style="121" bestFit="1" customWidth="1"/>
    <col min="2317" max="2317" width="16.88671875" style="121" bestFit="1" customWidth="1"/>
    <col min="2318" max="2318" width="14.5546875" style="121" bestFit="1" customWidth="1"/>
    <col min="2319" max="2320" width="13" style="121" bestFit="1" customWidth="1"/>
    <col min="2321" max="2321" width="19" style="121" bestFit="1" customWidth="1"/>
    <col min="2322" max="2330" width="13" style="121" bestFit="1" customWidth="1"/>
    <col min="2331" max="2562" width="8.88671875" style="121"/>
    <col min="2563" max="2563" width="15.44140625" style="121" bestFit="1" customWidth="1"/>
    <col min="2564" max="2564" width="4.5546875" style="121" customWidth="1"/>
    <col min="2565" max="2565" width="13.88671875" style="121" bestFit="1" customWidth="1"/>
    <col min="2566" max="2567" width="13" style="121" bestFit="1" customWidth="1"/>
    <col min="2568" max="2568" width="14.5546875" style="121" bestFit="1" customWidth="1"/>
    <col min="2569" max="2569" width="8.109375" style="121" customWidth="1"/>
    <col min="2570" max="2570" width="8.33203125" style="121" customWidth="1"/>
    <col min="2571" max="2571" width="13" style="121" bestFit="1" customWidth="1"/>
    <col min="2572" max="2572" width="18.5546875" style="121" bestFit="1" customWidth="1"/>
    <col min="2573" max="2573" width="16.88671875" style="121" bestFit="1" customWidth="1"/>
    <col min="2574" max="2574" width="14.5546875" style="121" bestFit="1" customWidth="1"/>
    <col min="2575" max="2576" width="13" style="121" bestFit="1" customWidth="1"/>
    <col min="2577" max="2577" width="19" style="121" bestFit="1" customWidth="1"/>
    <col min="2578" max="2586" width="13" style="121" bestFit="1" customWidth="1"/>
    <col min="2587" max="2818" width="8.88671875" style="121"/>
    <col min="2819" max="2819" width="15.44140625" style="121" bestFit="1" customWidth="1"/>
    <col min="2820" max="2820" width="4.5546875" style="121" customWidth="1"/>
    <col min="2821" max="2821" width="13.88671875" style="121" bestFit="1" customWidth="1"/>
    <col min="2822" max="2823" width="13" style="121" bestFit="1" customWidth="1"/>
    <col min="2824" max="2824" width="14.5546875" style="121" bestFit="1" customWidth="1"/>
    <col min="2825" max="2825" width="8.109375" style="121" customWidth="1"/>
    <col min="2826" max="2826" width="8.33203125" style="121" customWidth="1"/>
    <col min="2827" max="2827" width="13" style="121" bestFit="1" customWidth="1"/>
    <col min="2828" max="2828" width="18.5546875" style="121" bestFit="1" customWidth="1"/>
    <col min="2829" max="2829" width="16.88671875" style="121" bestFit="1" customWidth="1"/>
    <col min="2830" max="2830" width="14.5546875" style="121" bestFit="1" customWidth="1"/>
    <col min="2831" max="2832" width="13" style="121" bestFit="1" customWidth="1"/>
    <col min="2833" max="2833" width="19" style="121" bestFit="1" customWidth="1"/>
    <col min="2834" max="2842" width="13" style="121" bestFit="1" customWidth="1"/>
    <col min="2843" max="3074" width="8.88671875" style="121"/>
    <col min="3075" max="3075" width="15.44140625" style="121" bestFit="1" customWidth="1"/>
    <col min="3076" max="3076" width="4.5546875" style="121" customWidth="1"/>
    <col min="3077" max="3077" width="13.88671875" style="121" bestFit="1" customWidth="1"/>
    <col min="3078" max="3079" width="13" style="121" bestFit="1" customWidth="1"/>
    <col min="3080" max="3080" width="14.5546875" style="121" bestFit="1" customWidth="1"/>
    <col min="3081" max="3081" width="8.109375" style="121" customWidth="1"/>
    <col min="3082" max="3082" width="8.33203125" style="121" customWidth="1"/>
    <col min="3083" max="3083" width="13" style="121" bestFit="1" customWidth="1"/>
    <col min="3084" max="3084" width="18.5546875" style="121" bestFit="1" customWidth="1"/>
    <col min="3085" max="3085" width="16.88671875" style="121" bestFit="1" customWidth="1"/>
    <col min="3086" max="3086" width="14.5546875" style="121" bestFit="1" customWidth="1"/>
    <col min="3087" max="3088" width="13" style="121" bestFit="1" customWidth="1"/>
    <col min="3089" max="3089" width="19" style="121" bestFit="1" customWidth="1"/>
    <col min="3090" max="3098" width="13" style="121" bestFit="1" customWidth="1"/>
    <col min="3099" max="3330" width="8.88671875" style="121"/>
    <col min="3331" max="3331" width="15.44140625" style="121" bestFit="1" customWidth="1"/>
    <col min="3332" max="3332" width="4.5546875" style="121" customWidth="1"/>
    <col min="3333" max="3333" width="13.88671875" style="121" bestFit="1" customWidth="1"/>
    <col min="3334" max="3335" width="13" style="121" bestFit="1" customWidth="1"/>
    <col min="3336" max="3336" width="14.5546875" style="121" bestFit="1" customWidth="1"/>
    <col min="3337" max="3337" width="8.109375" style="121" customWidth="1"/>
    <col min="3338" max="3338" width="8.33203125" style="121" customWidth="1"/>
    <col min="3339" max="3339" width="13" style="121" bestFit="1" customWidth="1"/>
    <col min="3340" max="3340" width="18.5546875" style="121" bestFit="1" customWidth="1"/>
    <col min="3341" max="3341" width="16.88671875" style="121" bestFit="1" customWidth="1"/>
    <col min="3342" max="3342" width="14.5546875" style="121" bestFit="1" customWidth="1"/>
    <col min="3343" max="3344" width="13" style="121" bestFit="1" customWidth="1"/>
    <col min="3345" max="3345" width="19" style="121" bestFit="1" customWidth="1"/>
    <col min="3346" max="3354" width="13" style="121" bestFit="1" customWidth="1"/>
    <col min="3355" max="3586" width="8.88671875" style="121"/>
    <col min="3587" max="3587" width="15.44140625" style="121" bestFit="1" customWidth="1"/>
    <col min="3588" max="3588" width="4.5546875" style="121" customWidth="1"/>
    <col min="3589" max="3589" width="13.88671875" style="121" bestFit="1" customWidth="1"/>
    <col min="3590" max="3591" width="13" style="121" bestFit="1" customWidth="1"/>
    <col min="3592" max="3592" width="14.5546875" style="121" bestFit="1" customWidth="1"/>
    <col min="3593" max="3593" width="8.109375" style="121" customWidth="1"/>
    <col min="3594" max="3594" width="8.33203125" style="121" customWidth="1"/>
    <col min="3595" max="3595" width="13" style="121" bestFit="1" customWidth="1"/>
    <col min="3596" max="3596" width="18.5546875" style="121" bestFit="1" customWidth="1"/>
    <col min="3597" max="3597" width="16.88671875" style="121" bestFit="1" customWidth="1"/>
    <col min="3598" max="3598" width="14.5546875" style="121" bestFit="1" customWidth="1"/>
    <col min="3599" max="3600" width="13" style="121" bestFit="1" customWidth="1"/>
    <col min="3601" max="3601" width="19" style="121" bestFit="1" customWidth="1"/>
    <col min="3602" max="3610" width="13" style="121" bestFit="1" customWidth="1"/>
    <col min="3611" max="3842" width="8.88671875" style="121"/>
    <col min="3843" max="3843" width="15.44140625" style="121" bestFit="1" customWidth="1"/>
    <col min="3844" max="3844" width="4.5546875" style="121" customWidth="1"/>
    <col min="3845" max="3845" width="13.88671875" style="121" bestFit="1" customWidth="1"/>
    <col min="3846" max="3847" width="13" style="121" bestFit="1" customWidth="1"/>
    <col min="3848" max="3848" width="14.5546875" style="121" bestFit="1" customWidth="1"/>
    <col min="3849" max="3849" width="8.109375" style="121" customWidth="1"/>
    <col min="3850" max="3850" width="8.33203125" style="121" customWidth="1"/>
    <col min="3851" max="3851" width="13" style="121" bestFit="1" customWidth="1"/>
    <col min="3852" max="3852" width="18.5546875" style="121" bestFit="1" customWidth="1"/>
    <col min="3853" max="3853" width="16.88671875" style="121" bestFit="1" customWidth="1"/>
    <col min="3854" max="3854" width="14.5546875" style="121" bestFit="1" customWidth="1"/>
    <col min="3855" max="3856" width="13" style="121" bestFit="1" customWidth="1"/>
    <col min="3857" max="3857" width="19" style="121" bestFit="1" customWidth="1"/>
    <col min="3858" max="3866" width="13" style="121" bestFit="1" customWidth="1"/>
    <col min="3867" max="4098" width="8.88671875" style="121"/>
    <col min="4099" max="4099" width="15.44140625" style="121" bestFit="1" customWidth="1"/>
    <col min="4100" max="4100" width="4.5546875" style="121" customWidth="1"/>
    <col min="4101" max="4101" width="13.88671875" style="121" bestFit="1" customWidth="1"/>
    <col min="4102" max="4103" width="13" style="121" bestFit="1" customWidth="1"/>
    <col min="4104" max="4104" width="14.5546875" style="121" bestFit="1" customWidth="1"/>
    <col min="4105" max="4105" width="8.109375" style="121" customWidth="1"/>
    <col min="4106" max="4106" width="8.33203125" style="121" customWidth="1"/>
    <col min="4107" max="4107" width="13" style="121" bestFit="1" customWidth="1"/>
    <col min="4108" max="4108" width="18.5546875" style="121" bestFit="1" customWidth="1"/>
    <col min="4109" max="4109" width="16.88671875" style="121" bestFit="1" customWidth="1"/>
    <col min="4110" max="4110" width="14.5546875" style="121" bestFit="1" customWidth="1"/>
    <col min="4111" max="4112" width="13" style="121" bestFit="1" customWidth="1"/>
    <col min="4113" max="4113" width="19" style="121" bestFit="1" customWidth="1"/>
    <col min="4114" max="4122" width="13" style="121" bestFit="1" customWidth="1"/>
    <col min="4123" max="4354" width="8.88671875" style="121"/>
    <col min="4355" max="4355" width="15.44140625" style="121" bestFit="1" customWidth="1"/>
    <col min="4356" max="4356" width="4.5546875" style="121" customWidth="1"/>
    <col min="4357" max="4357" width="13.88671875" style="121" bestFit="1" customWidth="1"/>
    <col min="4358" max="4359" width="13" style="121" bestFit="1" customWidth="1"/>
    <col min="4360" max="4360" width="14.5546875" style="121" bestFit="1" customWidth="1"/>
    <col min="4361" max="4361" width="8.109375" style="121" customWidth="1"/>
    <col min="4362" max="4362" width="8.33203125" style="121" customWidth="1"/>
    <col min="4363" max="4363" width="13" style="121" bestFit="1" customWidth="1"/>
    <col min="4364" max="4364" width="18.5546875" style="121" bestFit="1" customWidth="1"/>
    <col min="4365" max="4365" width="16.88671875" style="121" bestFit="1" customWidth="1"/>
    <col min="4366" max="4366" width="14.5546875" style="121" bestFit="1" customWidth="1"/>
    <col min="4367" max="4368" width="13" style="121" bestFit="1" customWidth="1"/>
    <col min="4369" max="4369" width="19" style="121" bestFit="1" customWidth="1"/>
    <col min="4370" max="4378" width="13" style="121" bestFit="1" customWidth="1"/>
    <col min="4379" max="4610" width="8.88671875" style="121"/>
    <col min="4611" max="4611" width="15.44140625" style="121" bestFit="1" customWidth="1"/>
    <col min="4612" max="4612" width="4.5546875" style="121" customWidth="1"/>
    <col min="4613" max="4613" width="13.88671875" style="121" bestFit="1" customWidth="1"/>
    <col min="4614" max="4615" width="13" style="121" bestFit="1" customWidth="1"/>
    <col min="4616" max="4616" width="14.5546875" style="121" bestFit="1" customWidth="1"/>
    <col min="4617" max="4617" width="8.109375" style="121" customWidth="1"/>
    <col min="4618" max="4618" width="8.33203125" style="121" customWidth="1"/>
    <col min="4619" max="4619" width="13" style="121" bestFit="1" customWidth="1"/>
    <col min="4620" max="4620" width="18.5546875" style="121" bestFit="1" customWidth="1"/>
    <col min="4621" max="4621" width="16.88671875" style="121" bestFit="1" customWidth="1"/>
    <col min="4622" max="4622" width="14.5546875" style="121" bestFit="1" customWidth="1"/>
    <col min="4623" max="4624" width="13" style="121" bestFit="1" customWidth="1"/>
    <col min="4625" max="4625" width="19" style="121" bestFit="1" customWidth="1"/>
    <col min="4626" max="4634" width="13" style="121" bestFit="1" customWidth="1"/>
    <col min="4635" max="4866" width="8.88671875" style="121"/>
    <col min="4867" max="4867" width="15.44140625" style="121" bestFit="1" customWidth="1"/>
    <col min="4868" max="4868" width="4.5546875" style="121" customWidth="1"/>
    <col min="4869" max="4869" width="13.88671875" style="121" bestFit="1" customWidth="1"/>
    <col min="4870" max="4871" width="13" style="121" bestFit="1" customWidth="1"/>
    <col min="4872" max="4872" width="14.5546875" style="121" bestFit="1" customWidth="1"/>
    <col min="4873" max="4873" width="8.109375" style="121" customWidth="1"/>
    <col min="4874" max="4874" width="8.33203125" style="121" customWidth="1"/>
    <col min="4875" max="4875" width="13" style="121" bestFit="1" customWidth="1"/>
    <col min="4876" max="4876" width="18.5546875" style="121" bestFit="1" customWidth="1"/>
    <col min="4877" max="4877" width="16.88671875" style="121" bestFit="1" customWidth="1"/>
    <col min="4878" max="4878" width="14.5546875" style="121" bestFit="1" customWidth="1"/>
    <col min="4879" max="4880" width="13" style="121" bestFit="1" customWidth="1"/>
    <col min="4881" max="4881" width="19" style="121" bestFit="1" customWidth="1"/>
    <col min="4882" max="4890" width="13" style="121" bestFit="1" customWidth="1"/>
    <col min="4891" max="5122" width="8.88671875" style="121"/>
    <col min="5123" max="5123" width="15.44140625" style="121" bestFit="1" customWidth="1"/>
    <col min="5124" max="5124" width="4.5546875" style="121" customWidth="1"/>
    <col min="5125" max="5125" width="13.88671875" style="121" bestFit="1" customWidth="1"/>
    <col min="5126" max="5127" width="13" style="121" bestFit="1" customWidth="1"/>
    <col min="5128" max="5128" width="14.5546875" style="121" bestFit="1" customWidth="1"/>
    <col min="5129" max="5129" width="8.109375" style="121" customWidth="1"/>
    <col min="5130" max="5130" width="8.33203125" style="121" customWidth="1"/>
    <col min="5131" max="5131" width="13" style="121" bestFit="1" customWidth="1"/>
    <col min="5132" max="5132" width="18.5546875" style="121" bestFit="1" customWidth="1"/>
    <col min="5133" max="5133" width="16.88671875" style="121" bestFit="1" customWidth="1"/>
    <col min="5134" max="5134" width="14.5546875" style="121" bestFit="1" customWidth="1"/>
    <col min="5135" max="5136" width="13" style="121" bestFit="1" customWidth="1"/>
    <col min="5137" max="5137" width="19" style="121" bestFit="1" customWidth="1"/>
    <col min="5138" max="5146" width="13" style="121" bestFit="1" customWidth="1"/>
    <col min="5147" max="5378" width="8.88671875" style="121"/>
    <col min="5379" max="5379" width="15.44140625" style="121" bestFit="1" customWidth="1"/>
    <col min="5380" max="5380" width="4.5546875" style="121" customWidth="1"/>
    <col min="5381" max="5381" width="13.88671875" style="121" bestFit="1" customWidth="1"/>
    <col min="5382" max="5383" width="13" style="121" bestFit="1" customWidth="1"/>
    <col min="5384" max="5384" width="14.5546875" style="121" bestFit="1" customWidth="1"/>
    <col min="5385" max="5385" width="8.109375" style="121" customWidth="1"/>
    <col min="5386" max="5386" width="8.33203125" style="121" customWidth="1"/>
    <col min="5387" max="5387" width="13" style="121" bestFit="1" customWidth="1"/>
    <col min="5388" max="5388" width="18.5546875" style="121" bestFit="1" customWidth="1"/>
    <col min="5389" max="5389" width="16.88671875" style="121" bestFit="1" customWidth="1"/>
    <col min="5390" max="5390" width="14.5546875" style="121" bestFit="1" customWidth="1"/>
    <col min="5391" max="5392" width="13" style="121" bestFit="1" customWidth="1"/>
    <col min="5393" max="5393" width="19" style="121" bestFit="1" customWidth="1"/>
    <col min="5394" max="5402" width="13" style="121" bestFit="1" customWidth="1"/>
    <col min="5403" max="5634" width="8.88671875" style="121"/>
    <col min="5635" max="5635" width="15.44140625" style="121" bestFit="1" customWidth="1"/>
    <col min="5636" max="5636" width="4.5546875" style="121" customWidth="1"/>
    <col min="5637" max="5637" width="13.88671875" style="121" bestFit="1" customWidth="1"/>
    <col min="5638" max="5639" width="13" style="121" bestFit="1" customWidth="1"/>
    <col min="5640" max="5640" width="14.5546875" style="121" bestFit="1" customWidth="1"/>
    <col min="5641" max="5641" width="8.109375" style="121" customWidth="1"/>
    <col min="5642" max="5642" width="8.33203125" style="121" customWidth="1"/>
    <col min="5643" max="5643" width="13" style="121" bestFit="1" customWidth="1"/>
    <col min="5644" max="5644" width="18.5546875" style="121" bestFit="1" customWidth="1"/>
    <col min="5645" max="5645" width="16.88671875" style="121" bestFit="1" customWidth="1"/>
    <col min="5646" max="5646" width="14.5546875" style="121" bestFit="1" customWidth="1"/>
    <col min="5647" max="5648" width="13" style="121" bestFit="1" customWidth="1"/>
    <col min="5649" max="5649" width="19" style="121" bestFit="1" customWidth="1"/>
    <col min="5650" max="5658" width="13" style="121" bestFit="1" customWidth="1"/>
    <col min="5659" max="5890" width="8.88671875" style="121"/>
    <col min="5891" max="5891" width="15.44140625" style="121" bestFit="1" customWidth="1"/>
    <col min="5892" max="5892" width="4.5546875" style="121" customWidth="1"/>
    <col min="5893" max="5893" width="13.88671875" style="121" bestFit="1" customWidth="1"/>
    <col min="5894" max="5895" width="13" style="121" bestFit="1" customWidth="1"/>
    <col min="5896" max="5896" width="14.5546875" style="121" bestFit="1" customWidth="1"/>
    <col min="5897" max="5897" width="8.109375" style="121" customWidth="1"/>
    <col min="5898" max="5898" width="8.33203125" style="121" customWidth="1"/>
    <col min="5899" max="5899" width="13" style="121" bestFit="1" customWidth="1"/>
    <col min="5900" max="5900" width="18.5546875" style="121" bestFit="1" customWidth="1"/>
    <col min="5901" max="5901" width="16.88671875" style="121" bestFit="1" customWidth="1"/>
    <col min="5902" max="5902" width="14.5546875" style="121" bestFit="1" customWidth="1"/>
    <col min="5903" max="5904" width="13" style="121" bestFit="1" customWidth="1"/>
    <col min="5905" max="5905" width="19" style="121" bestFit="1" customWidth="1"/>
    <col min="5906" max="5914" width="13" style="121" bestFit="1" customWidth="1"/>
    <col min="5915" max="6146" width="8.88671875" style="121"/>
    <col min="6147" max="6147" width="15.44140625" style="121" bestFit="1" customWidth="1"/>
    <col min="6148" max="6148" width="4.5546875" style="121" customWidth="1"/>
    <col min="6149" max="6149" width="13.88671875" style="121" bestFit="1" customWidth="1"/>
    <col min="6150" max="6151" width="13" style="121" bestFit="1" customWidth="1"/>
    <col min="6152" max="6152" width="14.5546875" style="121" bestFit="1" customWidth="1"/>
    <col min="6153" max="6153" width="8.109375" style="121" customWidth="1"/>
    <col min="6154" max="6154" width="8.33203125" style="121" customWidth="1"/>
    <col min="6155" max="6155" width="13" style="121" bestFit="1" customWidth="1"/>
    <col min="6156" max="6156" width="18.5546875" style="121" bestFit="1" customWidth="1"/>
    <col min="6157" max="6157" width="16.88671875" style="121" bestFit="1" customWidth="1"/>
    <col min="6158" max="6158" width="14.5546875" style="121" bestFit="1" customWidth="1"/>
    <col min="6159" max="6160" width="13" style="121" bestFit="1" customWidth="1"/>
    <col min="6161" max="6161" width="19" style="121" bestFit="1" customWidth="1"/>
    <col min="6162" max="6170" width="13" style="121" bestFit="1" customWidth="1"/>
    <col min="6171" max="6402" width="8.88671875" style="121"/>
    <col min="6403" max="6403" width="15.44140625" style="121" bestFit="1" customWidth="1"/>
    <col min="6404" max="6404" width="4.5546875" style="121" customWidth="1"/>
    <col min="6405" max="6405" width="13.88671875" style="121" bestFit="1" customWidth="1"/>
    <col min="6406" max="6407" width="13" style="121" bestFit="1" customWidth="1"/>
    <col min="6408" max="6408" width="14.5546875" style="121" bestFit="1" customWidth="1"/>
    <col min="6409" max="6409" width="8.109375" style="121" customWidth="1"/>
    <col min="6410" max="6410" width="8.33203125" style="121" customWidth="1"/>
    <col min="6411" max="6411" width="13" style="121" bestFit="1" customWidth="1"/>
    <col min="6412" max="6412" width="18.5546875" style="121" bestFit="1" customWidth="1"/>
    <col min="6413" max="6413" width="16.88671875" style="121" bestFit="1" customWidth="1"/>
    <col min="6414" max="6414" width="14.5546875" style="121" bestFit="1" customWidth="1"/>
    <col min="6415" max="6416" width="13" style="121" bestFit="1" customWidth="1"/>
    <col min="6417" max="6417" width="19" style="121" bestFit="1" customWidth="1"/>
    <col min="6418" max="6426" width="13" style="121" bestFit="1" customWidth="1"/>
    <col min="6427" max="6658" width="8.88671875" style="121"/>
    <col min="6659" max="6659" width="15.44140625" style="121" bestFit="1" customWidth="1"/>
    <col min="6660" max="6660" width="4.5546875" style="121" customWidth="1"/>
    <col min="6661" max="6661" width="13.88671875" style="121" bestFit="1" customWidth="1"/>
    <col min="6662" max="6663" width="13" style="121" bestFit="1" customWidth="1"/>
    <col min="6664" max="6664" width="14.5546875" style="121" bestFit="1" customWidth="1"/>
    <col min="6665" max="6665" width="8.109375" style="121" customWidth="1"/>
    <col min="6666" max="6666" width="8.33203125" style="121" customWidth="1"/>
    <col min="6667" max="6667" width="13" style="121" bestFit="1" customWidth="1"/>
    <col min="6668" max="6668" width="18.5546875" style="121" bestFit="1" customWidth="1"/>
    <col min="6669" max="6669" width="16.88671875" style="121" bestFit="1" customWidth="1"/>
    <col min="6670" max="6670" width="14.5546875" style="121" bestFit="1" customWidth="1"/>
    <col min="6671" max="6672" width="13" style="121" bestFit="1" customWidth="1"/>
    <col min="6673" max="6673" width="19" style="121" bestFit="1" customWidth="1"/>
    <col min="6674" max="6682" width="13" style="121" bestFit="1" customWidth="1"/>
    <col min="6683" max="6914" width="8.88671875" style="121"/>
    <col min="6915" max="6915" width="15.44140625" style="121" bestFit="1" customWidth="1"/>
    <col min="6916" max="6916" width="4.5546875" style="121" customWidth="1"/>
    <col min="6917" max="6917" width="13.88671875" style="121" bestFit="1" customWidth="1"/>
    <col min="6918" max="6919" width="13" style="121" bestFit="1" customWidth="1"/>
    <col min="6920" max="6920" width="14.5546875" style="121" bestFit="1" customWidth="1"/>
    <col min="6921" max="6921" width="8.109375" style="121" customWidth="1"/>
    <col min="6922" max="6922" width="8.33203125" style="121" customWidth="1"/>
    <col min="6923" max="6923" width="13" style="121" bestFit="1" customWidth="1"/>
    <col min="6924" max="6924" width="18.5546875" style="121" bestFit="1" customWidth="1"/>
    <col min="6925" max="6925" width="16.88671875" style="121" bestFit="1" customWidth="1"/>
    <col min="6926" max="6926" width="14.5546875" style="121" bestFit="1" customWidth="1"/>
    <col min="6927" max="6928" width="13" style="121" bestFit="1" customWidth="1"/>
    <col min="6929" max="6929" width="19" style="121" bestFit="1" customWidth="1"/>
    <col min="6930" max="6938" width="13" style="121" bestFit="1" customWidth="1"/>
    <col min="6939" max="7170" width="8.88671875" style="121"/>
    <col min="7171" max="7171" width="15.44140625" style="121" bestFit="1" customWidth="1"/>
    <col min="7172" max="7172" width="4.5546875" style="121" customWidth="1"/>
    <col min="7173" max="7173" width="13.88671875" style="121" bestFit="1" customWidth="1"/>
    <col min="7174" max="7175" width="13" style="121" bestFit="1" customWidth="1"/>
    <col min="7176" max="7176" width="14.5546875" style="121" bestFit="1" customWidth="1"/>
    <col min="7177" max="7177" width="8.109375" style="121" customWidth="1"/>
    <col min="7178" max="7178" width="8.33203125" style="121" customWidth="1"/>
    <col min="7179" max="7179" width="13" style="121" bestFit="1" customWidth="1"/>
    <col min="7180" max="7180" width="18.5546875" style="121" bestFit="1" customWidth="1"/>
    <col min="7181" max="7181" width="16.88671875" style="121" bestFit="1" customWidth="1"/>
    <col min="7182" max="7182" width="14.5546875" style="121" bestFit="1" customWidth="1"/>
    <col min="7183" max="7184" width="13" style="121" bestFit="1" customWidth="1"/>
    <col min="7185" max="7185" width="19" style="121" bestFit="1" customWidth="1"/>
    <col min="7186" max="7194" width="13" style="121" bestFit="1" customWidth="1"/>
    <col min="7195" max="7426" width="8.88671875" style="121"/>
    <col min="7427" max="7427" width="15.44140625" style="121" bestFit="1" customWidth="1"/>
    <col min="7428" max="7428" width="4.5546875" style="121" customWidth="1"/>
    <col min="7429" max="7429" width="13.88671875" style="121" bestFit="1" customWidth="1"/>
    <col min="7430" max="7431" width="13" style="121" bestFit="1" customWidth="1"/>
    <col min="7432" max="7432" width="14.5546875" style="121" bestFit="1" customWidth="1"/>
    <col min="7433" max="7433" width="8.109375" style="121" customWidth="1"/>
    <col min="7434" max="7434" width="8.33203125" style="121" customWidth="1"/>
    <col min="7435" max="7435" width="13" style="121" bestFit="1" customWidth="1"/>
    <col min="7436" max="7436" width="18.5546875" style="121" bestFit="1" customWidth="1"/>
    <col min="7437" max="7437" width="16.88671875" style="121" bestFit="1" customWidth="1"/>
    <col min="7438" max="7438" width="14.5546875" style="121" bestFit="1" customWidth="1"/>
    <col min="7439" max="7440" width="13" style="121" bestFit="1" customWidth="1"/>
    <col min="7441" max="7441" width="19" style="121" bestFit="1" customWidth="1"/>
    <col min="7442" max="7450" width="13" style="121" bestFit="1" customWidth="1"/>
    <col min="7451" max="7682" width="8.88671875" style="121"/>
    <col min="7683" max="7683" width="15.44140625" style="121" bestFit="1" customWidth="1"/>
    <col min="7684" max="7684" width="4.5546875" style="121" customWidth="1"/>
    <col min="7685" max="7685" width="13.88671875" style="121" bestFit="1" customWidth="1"/>
    <col min="7686" max="7687" width="13" style="121" bestFit="1" customWidth="1"/>
    <col min="7688" max="7688" width="14.5546875" style="121" bestFit="1" customWidth="1"/>
    <col min="7689" max="7689" width="8.109375" style="121" customWidth="1"/>
    <col min="7690" max="7690" width="8.33203125" style="121" customWidth="1"/>
    <col min="7691" max="7691" width="13" style="121" bestFit="1" customWidth="1"/>
    <col min="7692" max="7692" width="18.5546875" style="121" bestFit="1" customWidth="1"/>
    <col min="7693" max="7693" width="16.88671875" style="121" bestFit="1" customWidth="1"/>
    <col min="7694" max="7694" width="14.5546875" style="121" bestFit="1" customWidth="1"/>
    <col min="7695" max="7696" width="13" style="121" bestFit="1" customWidth="1"/>
    <col min="7697" max="7697" width="19" style="121" bestFit="1" customWidth="1"/>
    <col min="7698" max="7706" width="13" style="121" bestFit="1" customWidth="1"/>
    <col min="7707" max="7938" width="8.88671875" style="121"/>
    <col min="7939" max="7939" width="15.44140625" style="121" bestFit="1" customWidth="1"/>
    <col min="7940" max="7940" width="4.5546875" style="121" customWidth="1"/>
    <col min="7941" max="7941" width="13.88671875" style="121" bestFit="1" customWidth="1"/>
    <col min="7942" max="7943" width="13" style="121" bestFit="1" customWidth="1"/>
    <col min="7944" max="7944" width="14.5546875" style="121" bestFit="1" customWidth="1"/>
    <col min="7945" max="7945" width="8.109375" style="121" customWidth="1"/>
    <col min="7946" max="7946" width="8.33203125" style="121" customWidth="1"/>
    <col min="7947" max="7947" width="13" style="121" bestFit="1" customWidth="1"/>
    <col min="7948" max="7948" width="18.5546875" style="121" bestFit="1" customWidth="1"/>
    <col min="7949" max="7949" width="16.88671875" style="121" bestFit="1" customWidth="1"/>
    <col min="7950" max="7950" width="14.5546875" style="121" bestFit="1" customWidth="1"/>
    <col min="7951" max="7952" width="13" style="121" bestFit="1" customWidth="1"/>
    <col min="7953" max="7953" width="19" style="121" bestFit="1" customWidth="1"/>
    <col min="7954" max="7962" width="13" style="121" bestFit="1" customWidth="1"/>
    <col min="7963" max="8194" width="8.88671875" style="121"/>
    <col min="8195" max="8195" width="15.44140625" style="121" bestFit="1" customWidth="1"/>
    <col min="8196" max="8196" width="4.5546875" style="121" customWidth="1"/>
    <col min="8197" max="8197" width="13.88671875" style="121" bestFit="1" customWidth="1"/>
    <col min="8198" max="8199" width="13" style="121" bestFit="1" customWidth="1"/>
    <col min="8200" max="8200" width="14.5546875" style="121" bestFit="1" customWidth="1"/>
    <col min="8201" max="8201" width="8.109375" style="121" customWidth="1"/>
    <col min="8202" max="8202" width="8.33203125" style="121" customWidth="1"/>
    <col min="8203" max="8203" width="13" style="121" bestFit="1" customWidth="1"/>
    <col min="8204" max="8204" width="18.5546875" style="121" bestFit="1" customWidth="1"/>
    <col min="8205" max="8205" width="16.88671875" style="121" bestFit="1" customWidth="1"/>
    <col min="8206" max="8206" width="14.5546875" style="121" bestFit="1" customWidth="1"/>
    <col min="8207" max="8208" width="13" style="121" bestFit="1" customWidth="1"/>
    <col min="8209" max="8209" width="19" style="121" bestFit="1" customWidth="1"/>
    <col min="8210" max="8218" width="13" style="121" bestFit="1" customWidth="1"/>
    <col min="8219" max="8450" width="8.88671875" style="121"/>
    <col min="8451" max="8451" width="15.44140625" style="121" bestFit="1" customWidth="1"/>
    <col min="8452" max="8452" width="4.5546875" style="121" customWidth="1"/>
    <col min="8453" max="8453" width="13.88671875" style="121" bestFit="1" customWidth="1"/>
    <col min="8454" max="8455" width="13" style="121" bestFit="1" customWidth="1"/>
    <col min="8456" max="8456" width="14.5546875" style="121" bestFit="1" customWidth="1"/>
    <col min="8457" max="8457" width="8.109375" style="121" customWidth="1"/>
    <col min="8458" max="8458" width="8.33203125" style="121" customWidth="1"/>
    <col min="8459" max="8459" width="13" style="121" bestFit="1" customWidth="1"/>
    <col min="8460" max="8460" width="18.5546875" style="121" bestFit="1" customWidth="1"/>
    <col min="8461" max="8461" width="16.88671875" style="121" bestFit="1" customWidth="1"/>
    <col min="8462" max="8462" width="14.5546875" style="121" bestFit="1" customWidth="1"/>
    <col min="8463" max="8464" width="13" style="121" bestFit="1" customWidth="1"/>
    <col min="8465" max="8465" width="19" style="121" bestFit="1" customWidth="1"/>
    <col min="8466" max="8474" width="13" style="121" bestFit="1" customWidth="1"/>
    <col min="8475" max="8706" width="8.88671875" style="121"/>
    <col min="8707" max="8707" width="15.44140625" style="121" bestFit="1" customWidth="1"/>
    <col min="8708" max="8708" width="4.5546875" style="121" customWidth="1"/>
    <col min="8709" max="8709" width="13.88671875" style="121" bestFit="1" customWidth="1"/>
    <col min="8710" max="8711" width="13" style="121" bestFit="1" customWidth="1"/>
    <col min="8712" max="8712" width="14.5546875" style="121" bestFit="1" customWidth="1"/>
    <col min="8713" max="8713" width="8.109375" style="121" customWidth="1"/>
    <col min="8714" max="8714" width="8.33203125" style="121" customWidth="1"/>
    <col min="8715" max="8715" width="13" style="121" bestFit="1" customWidth="1"/>
    <col min="8716" max="8716" width="18.5546875" style="121" bestFit="1" customWidth="1"/>
    <col min="8717" max="8717" width="16.88671875" style="121" bestFit="1" customWidth="1"/>
    <col min="8718" max="8718" width="14.5546875" style="121" bestFit="1" customWidth="1"/>
    <col min="8719" max="8720" width="13" style="121" bestFit="1" customWidth="1"/>
    <col min="8721" max="8721" width="19" style="121" bestFit="1" customWidth="1"/>
    <col min="8722" max="8730" width="13" style="121" bestFit="1" customWidth="1"/>
    <col min="8731" max="8962" width="8.88671875" style="121"/>
    <col min="8963" max="8963" width="15.44140625" style="121" bestFit="1" customWidth="1"/>
    <col min="8964" max="8964" width="4.5546875" style="121" customWidth="1"/>
    <col min="8965" max="8965" width="13.88671875" style="121" bestFit="1" customWidth="1"/>
    <col min="8966" max="8967" width="13" style="121" bestFit="1" customWidth="1"/>
    <col min="8968" max="8968" width="14.5546875" style="121" bestFit="1" customWidth="1"/>
    <col min="8969" max="8969" width="8.109375" style="121" customWidth="1"/>
    <col min="8970" max="8970" width="8.33203125" style="121" customWidth="1"/>
    <col min="8971" max="8971" width="13" style="121" bestFit="1" customWidth="1"/>
    <col min="8972" max="8972" width="18.5546875" style="121" bestFit="1" customWidth="1"/>
    <col min="8973" max="8973" width="16.88671875" style="121" bestFit="1" customWidth="1"/>
    <col min="8974" max="8974" width="14.5546875" style="121" bestFit="1" customWidth="1"/>
    <col min="8975" max="8976" width="13" style="121" bestFit="1" customWidth="1"/>
    <col min="8977" max="8977" width="19" style="121" bestFit="1" customWidth="1"/>
    <col min="8978" max="8986" width="13" style="121" bestFit="1" customWidth="1"/>
    <col min="8987" max="9218" width="8.88671875" style="121"/>
    <col min="9219" max="9219" width="15.44140625" style="121" bestFit="1" customWidth="1"/>
    <col min="9220" max="9220" width="4.5546875" style="121" customWidth="1"/>
    <col min="9221" max="9221" width="13.88671875" style="121" bestFit="1" customWidth="1"/>
    <col min="9222" max="9223" width="13" style="121" bestFit="1" customWidth="1"/>
    <col min="9224" max="9224" width="14.5546875" style="121" bestFit="1" customWidth="1"/>
    <col min="9225" max="9225" width="8.109375" style="121" customWidth="1"/>
    <col min="9226" max="9226" width="8.33203125" style="121" customWidth="1"/>
    <col min="9227" max="9227" width="13" style="121" bestFit="1" customWidth="1"/>
    <col min="9228" max="9228" width="18.5546875" style="121" bestFit="1" customWidth="1"/>
    <col min="9229" max="9229" width="16.88671875" style="121" bestFit="1" customWidth="1"/>
    <col min="9230" max="9230" width="14.5546875" style="121" bestFit="1" customWidth="1"/>
    <col min="9231" max="9232" width="13" style="121" bestFit="1" customWidth="1"/>
    <col min="9233" max="9233" width="19" style="121" bestFit="1" customWidth="1"/>
    <col min="9234" max="9242" width="13" style="121" bestFit="1" customWidth="1"/>
    <col min="9243" max="9474" width="8.88671875" style="121"/>
    <col min="9475" max="9475" width="15.44140625" style="121" bestFit="1" customWidth="1"/>
    <col min="9476" max="9476" width="4.5546875" style="121" customWidth="1"/>
    <col min="9477" max="9477" width="13.88671875" style="121" bestFit="1" customWidth="1"/>
    <col min="9478" max="9479" width="13" style="121" bestFit="1" customWidth="1"/>
    <col min="9480" max="9480" width="14.5546875" style="121" bestFit="1" customWidth="1"/>
    <col min="9481" max="9481" width="8.109375" style="121" customWidth="1"/>
    <col min="9482" max="9482" width="8.33203125" style="121" customWidth="1"/>
    <col min="9483" max="9483" width="13" style="121" bestFit="1" customWidth="1"/>
    <col min="9484" max="9484" width="18.5546875" style="121" bestFit="1" customWidth="1"/>
    <col min="9485" max="9485" width="16.88671875" style="121" bestFit="1" customWidth="1"/>
    <col min="9486" max="9486" width="14.5546875" style="121" bestFit="1" customWidth="1"/>
    <col min="9487" max="9488" width="13" style="121" bestFit="1" customWidth="1"/>
    <col min="9489" max="9489" width="19" style="121" bestFit="1" customWidth="1"/>
    <col min="9490" max="9498" width="13" style="121" bestFit="1" customWidth="1"/>
    <col min="9499" max="9730" width="8.88671875" style="121"/>
    <col min="9731" max="9731" width="15.44140625" style="121" bestFit="1" customWidth="1"/>
    <col min="9732" max="9732" width="4.5546875" style="121" customWidth="1"/>
    <col min="9733" max="9733" width="13.88671875" style="121" bestFit="1" customWidth="1"/>
    <col min="9734" max="9735" width="13" style="121" bestFit="1" customWidth="1"/>
    <col min="9736" max="9736" width="14.5546875" style="121" bestFit="1" customWidth="1"/>
    <col min="9737" max="9737" width="8.109375" style="121" customWidth="1"/>
    <col min="9738" max="9738" width="8.33203125" style="121" customWidth="1"/>
    <col min="9739" max="9739" width="13" style="121" bestFit="1" customWidth="1"/>
    <col min="9740" max="9740" width="18.5546875" style="121" bestFit="1" customWidth="1"/>
    <col min="9741" max="9741" width="16.88671875" style="121" bestFit="1" customWidth="1"/>
    <col min="9742" max="9742" width="14.5546875" style="121" bestFit="1" customWidth="1"/>
    <col min="9743" max="9744" width="13" style="121" bestFit="1" customWidth="1"/>
    <col min="9745" max="9745" width="19" style="121" bestFit="1" customWidth="1"/>
    <col min="9746" max="9754" width="13" style="121" bestFit="1" customWidth="1"/>
    <col min="9755" max="9986" width="8.88671875" style="121"/>
    <col min="9987" max="9987" width="15.44140625" style="121" bestFit="1" customWidth="1"/>
    <col min="9988" max="9988" width="4.5546875" style="121" customWidth="1"/>
    <col min="9989" max="9989" width="13.88671875" style="121" bestFit="1" customWidth="1"/>
    <col min="9990" max="9991" width="13" style="121" bestFit="1" customWidth="1"/>
    <col min="9992" max="9992" width="14.5546875" style="121" bestFit="1" customWidth="1"/>
    <col min="9993" max="9993" width="8.109375" style="121" customWidth="1"/>
    <col min="9994" max="9994" width="8.33203125" style="121" customWidth="1"/>
    <col min="9995" max="9995" width="13" style="121" bestFit="1" customWidth="1"/>
    <col min="9996" max="9996" width="18.5546875" style="121" bestFit="1" customWidth="1"/>
    <col min="9997" max="9997" width="16.88671875" style="121" bestFit="1" customWidth="1"/>
    <col min="9998" max="9998" width="14.5546875" style="121" bestFit="1" customWidth="1"/>
    <col min="9999" max="10000" width="13" style="121" bestFit="1" customWidth="1"/>
    <col min="10001" max="10001" width="19" style="121" bestFit="1" customWidth="1"/>
    <col min="10002" max="10010" width="13" style="121" bestFit="1" customWidth="1"/>
    <col min="10011" max="10242" width="8.88671875" style="121"/>
    <col min="10243" max="10243" width="15.44140625" style="121" bestFit="1" customWidth="1"/>
    <col min="10244" max="10244" width="4.5546875" style="121" customWidth="1"/>
    <col min="10245" max="10245" width="13.88671875" style="121" bestFit="1" customWidth="1"/>
    <col min="10246" max="10247" width="13" style="121" bestFit="1" customWidth="1"/>
    <col min="10248" max="10248" width="14.5546875" style="121" bestFit="1" customWidth="1"/>
    <col min="10249" max="10249" width="8.109375" style="121" customWidth="1"/>
    <col min="10250" max="10250" width="8.33203125" style="121" customWidth="1"/>
    <col min="10251" max="10251" width="13" style="121" bestFit="1" customWidth="1"/>
    <col min="10252" max="10252" width="18.5546875" style="121" bestFit="1" customWidth="1"/>
    <col min="10253" max="10253" width="16.88671875" style="121" bestFit="1" customWidth="1"/>
    <col min="10254" max="10254" width="14.5546875" style="121" bestFit="1" customWidth="1"/>
    <col min="10255" max="10256" width="13" style="121" bestFit="1" customWidth="1"/>
    <col min="10257" max="10257" width="19" style="121" bestFit="1" customWidth="1"/>
    <col min="10258" max="10266" width="13" style="121" bestFit="1" customWidth="1"/>
    <col min="10267" max="10498" width="8.88671875" style="121"/>
    <col min="10499" max="10499" width="15.44140625" style="121" bestFit="1" customWidth="1"/>
    <col min="10500" max="10500" width="4.5546875" style="121" customWidth="1"/>
    <col min="10501" max="10501" width="13.88671875" style="121" bestFit="1" customWidth="1"/>
    <col min="10502" max="10503" width="13" style="121" bestFit="1" customWidth="1"/>
    <col min="10504" max="10504" width="14.5546875" style="121" bestFit="1" customWidth="1"/>
    <col min="10505" max="10505" width="8.109375" style="121" customWidth="1"/>
    <col min="10506" max="10506" width="8.33203125" style="121" customWidth="1"/>
    <col min="10507" max="10507" width="13" style="121" bestFit="1" customWidth="1"/>
    <col min="10508" max="10508" width="18.5546875" style="121" bestFit="1" customWidth="1"/>
    <col min="10509" max="10509" width="16.88671875" style="121" bestFit="1" customWidth="1"/>
    <col min="10510" max="10510" width="14.5546875" style="121" bestFit="1" customWidth="1"/>
    <col min="10511" max="10512" width="13" style="121" bestFit="1" customWidth="1"/>
    <col min="10513" max="10513" width="19" style="121" bestFit="1" customWidth="1"/>
    <col min="10514" max="10522" width="13" style="121" bestFit="1" customWidth="1"/>
    <col min="10523" max="10754" width="8.88671875" style="121"/>
    <col min="10755" max="10755" width="15.44140625" style="121" bestFit="1" customWidth="1"/>
    <col min="10756" max="10756" width="4.5546875" style="121" customWidth="1"/>
    <col min="10757" max="10757" width="13.88671875" style="121" bestFit="1" customWidth="1"/>
    <col min="10758" max="10759" width="13" style="121" bestFit="1" customWidth="1"/>
    <col min="10760" max="10760" width="14.5546875" style="121" bestFit="1" customWidth="1"/>
    <col min="10761" max="10761" width="8.109375" style="121" customWidth="1"/>
    <col min="10762" max="10762" width="8.33203125" style="121" customWidth="1"/>
    <col min="10763" max="10763" width="13" style="121" bestFit="1" customWidth="1"/>
    <col min="10764" max="10764" width="18.5546875" style="121" bestFit="1" customWidth="1"/>
    <col min="10765" max="10765" width="16.88671875" style="121" bestFit="1" customWidth="1"/>
    <col min="10766" max="10766" width="14.5546875" style="121" bestFit="1" customWidth="1"/>
    <col min="10767" max="10768" width="13" style="121" bestFit="1" customWidth="1"/>
    <col min="10769" max="10769" width="19" style="121" bestFit="1" customWidth="1"/>
    <col min="10770" max="10778" width="13" style="121" bestFit="1" customWidth="1"/>
    <col min="10779" max="11010" width="8.88671875" style="121"/>
    <col min="11011" max="11011" width="15.44140625" style="121" bestFit="1" customWidth="1"/>
    <col min="11012" max="11012" width="4.5546875" style="121" customWidth="1"/>
    <col min="11013" max="11013" width="13.88671875" style="121" bestFit="1" customWidth="1"/>
    <col min="11014" max="11015" width="13" style="121" bestFit="1" customWidth="1"/>
    <col min="11016" max="11016" width="14.5546875" style="121" bestFit="1" customWidth="1"/>
    <col min="11017" max="11017" width="8.109375" style="121" customWidth="1"/>
    <col min="11018" max="11018" width="8.33203125" style="121" customWidth="1"/>
    <col min="11019" max="11019" width="13" style="121" bestFit="1" customWidth="1"/>
    <col min="11020" max="11020" width="18.5546875" style="121" bestFit="1" customWidth="1"/>
    <col min="11021" max="11021" width="16.88671875" style="121" bestFit="1" customWidth="1"/>
    <col min="11022" max="11022" width="14.5546875" style="121" bestFit="1" customWidth="1"/>
    <col min="11023" max="11024" width="13" style="121" bestFit="1" customWidth="1"/>
    <col min="11025" max="11025" width="19" style="121" bestFit="1" customWidth="1"/>
    <col min="11026" max="11034" width="13" style="121" bestFit="1" customWidth="1"/>
    <col min="11035" max="11266" width="8.88671875" style="121"/>
    <col min="11267" max="11267" width="15.44140625" style="121" bestFit="1" customWidth="1"/>
    <col min="11268" max="11268" width="4.5546875" style="121" customWidth="1"/>
    <col min="11269" max="11269" width="13.88671875" style="121" bestFit="1" customWidth="1"/>
    <col min="11270" max="11271" width="13" style="121" bestFit="1" customWidth="1"/>
    <col min="11272" max="11272" width="14.5546875" style="121" bestFit="1" customWidth="1"/>
    <col min="11273" max="11273" width="8.109375" style="121" customWidth="1"/>
    <col min="11274" max="11274" width="8.33203125" style="121" customWidth="1"/>
    <col min="11275" max="11275" width="13" style="121" bestFit="1" customWidth="1"/>
    <col min="11276" max="11276" width="18.5546875" style="121" bestFit="1" customWidth="1"/>
    <col min="11277" max="11277" width="16.88671875" style="121" bestFit="1" customWidth="1"/>
    <col min="11278" max="11278" width="14.5546875" style="121" bestFit="1" customWidth="1"/>
    <col min="11279" max="11280" width="13" style="121" bestFit="1" customWidth="1"/>
    <col min="11281" max="11281" width="19" style="121" bestFit="1" customWidth="1"/>
    <col min="11282" max="11290" width="13" style="121" bestFit="1" customWidth="1"/>
    <col min="11291" max="11522" width="8.88671875" style="121"/>
    <col min="11523" max="11523" width="15.44140625" style="121" bestFit="1" customWidth="1"/>
    <col min="11524" max="11524" width="4.5546875" style="121" customWidth="1"/>
    <col min="11525" max="11525" width="13.88671875" style="121" bestFit="1" customWidth="1"/>
    <col min="11526" max="11527" width="13" style="121" bestFit="1" customWidth="1"/>
    <col min="11528" max="11528" width="14.5546875" style="121" bestFit="1" customWidth="1"/>
    <col min="11529" max="11529" width="8.109375" style="121" customWidth="1"/>
    <col min="11530" max="11530" width="8.33203125" style="121" customWidth="1"/>
    <col min="11531" max="11531" width="13" style="121" bestFit="1" customWidth="1"/>
    <col min="11532" max="11532" width="18.5546875" style="121" bestFit="1" customWidth="1"/>
    <col min="11533" max="11533" width="16.88671875" style="121" bestFit="1" customWidth="1"/>
    <col min="11534" max="11534" width="14.5546875" style="121" bestFit="1" customWidth="1"/>
    <col min="11535" max="11536" width="13" style="121" bestFit="1" customWidth="1"/>
    <col min="11537" max="11537" width="19" style="121" bestFit="1" customWidth="1"/>
    <col min="11538" max="11546" width="13" style="121" bestFit="1" customWidth="1"/>
    <col min="11547" max="11778" width="8.88671875" style="121"/>
    <col min="11779" max="11779" width="15.44140625" style="121" bestFit="1" customWidth="1"/>
    <col min="11780" max="11780" width="4.5546875" style="121" customWidth="1"/>
    <col min="11781" max="11781" width="13.88671875" style="121" bestFit="1" customWidth="1"/>
    <col min="11782" max="11783" width="13" style="121" bestFit="1" customWidth="1"/>
    <col min="11784" max="11784" width="14.5546875" style="121" bestFit="1" customWidth="1"/>
    <col min="11785" max="11785" width="8.109375" style="121" customWidth="1"/>
    <col min="11786" max="11786" width="8.33203125" style="121" customWidth="1"/>
    <col min="11787" max="11787" width="13" style="121" bestFit="1" customWidth="1"/>
    <col min="11788" max="11788" width="18.5546875" style="121" bestFit="1" customWidth="1"/>
    <col min="11789" max="11789" width="16.88671875" style="121" bestFit="1" customWidth="1"/>
    <col min="11790" max="11790" width="14.5546875" style="121" bestFit="1" customWidth="1"/>
    <col min="11791" max="11792" width="13" style="121" bestFit="1" customWidth="1"/>
    <col min="11793" max="11793" width="19" style="121" bestFit="1" customWidth="1"/>
    <col min="11794" max="11802" width="13" style="121" bestFit="1" customWidth="1"/>
    <col min="11803" max="12034" width="8.88671875" style="121"/>
    <col min="12035" max="12035" width="15.44140625" style="121" bestFit="1" customWidth="1"/>
    <col min="12036" max="12036" width="4.5546875" style="121" customWidth="1"/>
    <col min="12037" max="12037" width="13.88671875" style="121" bestFit="1" customWidth="1"/>
    <col min="12038" max="12039" width="13" style="121" bestFit="1" customWidth="1"/>
    <col min="12040" max="12040" width="14.5546875" style="121" bestFit="1" customWidth="1"/>
    <col min="12041" max="12041" width="8.109375" style="121" customWidth="1"/>
    <col min="12042" max="12042" width="8.33203125" style="121" customWidth="1"/>
    <col min="12043" max="12043" width="13" style="121" bestFit="1" customWidth="1"/>
    <col min="12044" max="12044" width="18.5546875" style="121" bestFit="1" customWidth="1"/>
    <col min="12045" max="12045" width="16.88671875" style="121" bestFit="1" customWidth="1"/>
    <col min="12046" max="12046" width="14.5546875" style="121" bestFit="1" customWidth="1"/>
    <col min="12047" max="12048" width="13" style="121" bestFit="1" customWidth="1"/>
    <col min="12049" max="12049" width="19" style="121" bestFit="1" customWidth="1"/>
    <col min="12050" max="12058" width="13" style="121" bestFit="1" customWidth="1"/>
    <col min="12059" max="12290" width="8.88671875" style="121"/>
    <col min="12291" max="12291" width="15.44140625" style="121" bestFit="1" customWidth="1"/>
    <col min="12292" max="12292" width="4.5546875" style="121" customWidth="1"/>
    <col min="12293" max="12293" width="13.88671875" style="121" bestFit="1" customWidth="1"/>
    <col min="12294" max="12295" width="13" style="121" bestFit="1" customWidth="1"/>
    <col min="12296" max="12296" width="14.5546875" style="121" bestFit="1" customWidth="1"/>
    <col min="12297" max="12297" width="8.109375" style="121" customWidth="1"/>
    <col min="12298" max="12298" width="8.33203125" style="121" customWidth="1"/>
    <col min="12299" max="12299" width="13" style="121" bestFit="1" customWidth="1"/>
    <col min="12300" max="12300" width="18.5546875" style="121" bestFit="1" customWidth="1"/>
    <col min="12301" max="12301" width="16.88671875" style="121" bestFit="1" customWidth="1"/>
    <col min="12302" max="12302" width="14.5546875" style="121" bestFit="1" customWidth="1"/>
    <col min="12303" max="12304" width="13" style="121" bestFit="1" customWidth="1"/>
    <col min="12305" max="12305" width="19" style="121" bestFit="1" customWidth="1"/>
    <col min="12306" max="12314" width="13" style="121" bestFit="1" customWidth="1"/>
    <col min="12315" max="12546" width="8.88671875" style="121"/>
    <col min="12547" max="12547" width="15.44140625" style="121" bestFit="1" customWidth="1"/>
    <col min="12548" max="12548" width="4.5546875" style="121" customWidth="1"/>
    <col min="12549" max="12549" width="13.88671875" style="121" bestFit="1" customWidth="1"/>
    <col min="12550" max="12551" width="13" style="121" bestFit="1" customWidth="1"/>
    <col min="12552" max="12552" width="14.5546875" style="121" bestFit="1" customWidth="1"/>
    <col min="12553" max="12553" width="8.109375" style="121" customWidth="1"/>
    <col min="12554" max="12554" width="8.33203125" style="121" customWidth="1"/>
    <col min="12555" max="12555" width="13" style="121" bestFit="1" customWidth="1"/>
    <col min="12556" max="12556" width="18.5546875" style="121" bestFit="1" customWidth="1"/>
    <col min="12557" max="12557" width="16.88671875" style="121" bestFit="1" customWidth="1"/>
    <col min="12558" max="12558" width="14.5546875" style="121" bestFit="1" customWidth="1"/>
    <col min="12559" max="12560" width="13" style="121" bestFit="1" customWidth="1"/>
    <col min="12561" max="12561" width="19" style="121" bestFit="1" customWidth="1"/>
    <col min="12562" max="12570" width="13" style="121" bestFit="1" customWidth="1"/>
    <col min="12571" max="12802" width="8.88671875" style="121"/>
    <col min="12803" max="12803" width="15.44140625" style="121" bestFit="1" customWidth="1"/>
    <col min="12804" max="12804" width="4.5546875" style="121" customWidth="1"/>
    <col min="12805" max="12805" width="13.88671875" style="121" bestFit="1" customWidth="1"/>
    <col min="12806" max="12807" width="13" style="121" bestFit="1" customWidth="1"/>
    <col min="12808" max="12808" width="14.5546875" style="121" bestFit="1" customWidth="1"/>
    <col min="12809" max="12809" width="8.109375" style="121" customWidth="1"/>
    <col min="12810" max="12810" width="8.33203125" style="121" customWidth="1"/>
    <col min="12811" max="12811" width="13" style="121" bestFit="1" customWidth="1"/>
    <col min="12812" max="12812" width="18.5546875" style="121" bestFit="1" customWidth="1"/>
    <col min="12813" max="12813" width="16.88671875" style="121" bestFit="1" customWidth="1"/>
    <col min="12814" max="12814" width="14.5546875" style="121" bestFit="1" customWidth="1"/>
    <col min="12815" max="12816" width="13" style="121" bestFit="1" customWidth="1"/>
    <col min="12817" max="12817" width="19" style="121" bestFit="1" customWidth="1"/>
    <col min="12818" max="12826" width="13" style="121" bestFit="1" customWidth="1"/>
    <col min="12827" max="13058" width="8.88671875" style="121"/>
    <col min="13059" max="13059" width="15.44140625" style="121" bestFit="1" customWidth="1"/>
    <col min="13060" max="13060" width="4.5546875" style="121" customWidth="1"/>
    <col min="13061" max="13061" width="13.88671875" style="121" bestFit="1" customWidth="1"/>
    <col min="13062" max="13063" width="13" style="121" bestFit="1" customWidth="1"/>
    <col min="13064" max="13064" width="14.5546875" style="121" bestFit="1" customWidth="1"/>
    <col min="13065" max="13065" width="8.109375" style="121" customWidth="1"/>
    <col min="13066" max="13066" width="8.33203125" style="121" customWidth="1"/>
    <col min="13067" max="13067" width="13" style="121" bestFit="1" customWidth="1"/>
    <col min="13068" max="13068" width="18.5546875" style="121" bestFit="1" customWidth="1"/>
    <col min="13069" max="13069" width="16.88671875" style="121" bestFit="1" customWidth="1"/>
    <col min="13070" max="13070" width="14.5546875" style="121" bestFit="1" customWidth="1"/>
    <col min="13071" max="13072" width="13" style="121" bestFit="1" customWidth="1"/>
    <col min="13073" max="13073" width="19" style="121" bestFit="1" customWidth="1"/>
    <col min="13074" max="13082" width="13" style="121" bestFit="1" customWidth="1"/>
    <col min="13083" max="13314" width="8.88671875" style="121"/>
    <col min="13315" max="13315" width="15.44140625" style="121" bestFit="1" customWidth="1"/>
    <col min="13316" max="13316" width="4.5546875" style="121" customWidth="1"/>
    <col min="13317" max="13317" width="13.88671875" style="121" bestFit="1" customWidth="1"/>
    <col min="13318" max="13319" width="13" style="121" bestFit="1" customWidth="1"/>
    <col min="13320" max="13320" width="14.5546875" style="121" bestFit="1" customWidth="1"/>
    <col min="13321" max="13321" width="8.109375" style="121" customWidth="1"/>
    <col min="13322" max="13322" width="8.33203125" style="121" customWidth="1"/>
    <col min="13323" max="13323" width="13" style="121" bestFit="1" customWidth="1"/>
    <col min="13324" max="13324" width="18.5546875" style="121" bestFit="1" customWidth="1"/>
    <col min="13325" max="13325" width="16.88671875" style="121" bestFit="1" customWidth="1"/>
    <col min="13326" max="13326" width="14.5546875" style="121" bestFit="1" customWidth="1"/>
    <col min="13327" max="13328" width="13" style="121" bestFit="1" customWidth="1"/>
    <col min="13329" max="13329" width="19" style="121" bestFit="1" customWidth="1"/>
    <col min="13330" max="13338" width="13" style="121" bestFit="1" customWidth="1"/>
    <col min="13339" max="13570" width="8.88671875" style="121"/>
    <col min="13571" max="13571" width="15.44140625" style="121" bestFit="1" customWidth="1"/>
    <col min="13572" max="13572" width="4.5546875" style="121" customWidth="1"/>
    <col min="13573" max="13573" width="13.88671875" style="121" bestFit="1" customWidth="1"/>
    <col min="13574" max="13575" width="13" style="121" bestFit="1" customWidth="1"/>
    <col min="13576" max="13576" width="14.5546875" style="121" bestFit="1" customWidth="1"/>
    <col min="13577" max="13577" width="8.109375" style="121" customWidth="1"/>
    <col min="13578" max="13578" width="8.33203125" style="121" customWidth="1"/>
    <col min="13579" max="13579" width="13" style="121" bestFit="1" customWidth="1"/>
    <col min="13580" max="13580" width="18.5546875" style="121" bestFit="1" customWidth="1"/>
    <col min="13581" max="13581" width="16.88671875" style="121" bestFit="1" customWidth="1"/>
    <col min="13582" max="13582" width="14.5546875" style="121" bestFit="1" customWidth="1"/>
    <col min="13583" max="13584" width="13" style="121" bestFit="1" customWidth="1"/>
    <col min="13585" max="13585" width="19" style="121" bestFit="1" customWidth="1"/>
    <col min="13586" max="13594" width="13" style="121" bestFit="1" customWidth="1"/>
    <col min="13595" max="13826" width="8.88671875" style="121"/>
    <col min="13827" max="13827" width="15.44140625" style="121" bestFit="1" customWidth="1"/>
    <col min="13828" max="13828" width="4.5546875" style="121" customWidth="1"/>
    <col min="13829" max="13829" width="13.88671875" style="121" bestFit="1" customWidth="1"/>
    <col min="13830" max="13831" width="13" style="121" bestFit="1" customWidth="1"/>
    <col min="13832" max="13832" width="14.5546875" style="121" bestFit="1" customWidth="1"/>
    <col min="13833" max="13833" width="8.109375" style="121" customWidth="1"/>
    <col min="13834" max="13834" width="8.33203125" style="121" customWidth="1"/>
    <col min="13835" max="13835" width="13" style="121" bestFit="1" customWidth="1"/>
    <col min="13836" max="13836" width="18.5546875" style="121" bestFit="1" customWidth="1"/>
    <col min="13837" max="13837" width="16.88671875" style="121" bestFit="1" customWidth="1"/>
    <col min="13838" max="13838" width="14.5546875" style="121" bestFit="1" customWidth="1"/>
    <col min="13839" max="13840" width="13" style="121" bestFit="1" customWidth="1"/>
    <col min="13841" max="13841" width="19" style="121" bestFit="1" customWidth="1"/>
    <col min="13842" max="13850" width="13" style="121" bestFit="1" customWidth="1"/>
    <col min="13851" max="14082" width="8.88671875" style="121"/>
    <col min="14083" max="14083" width="15.44140625" style="121" bestFit="1" customWidth="1"/>
    <col min="14084" max="14084" width="4.5546875" style="121" customWidth="1"/>
    <col min="14085" max="14085" width="13.88671875" style="121" bestFit="1" customWidth="1"/>
    <col min="14086" max="14087" width="13" style="121" bestFit="1" customWidth="1"/>
    <col min="14088" max="14088" width="14.5546875" style="121" bestFit="1" customWidth="1"/>
    <col min="14089" max="14089" width="8.109375" style="121" customWidth="1"/>
    <col min="14090" max="14090" width="8.33203125" style="121" customWidth="1"/>
    <col min="14091" max="14091" width="13" style="121" bestFit="1" customWidth="1"/>
    <col min="14092" max="14092" width="18.5546875" style="121" bestFit="1" customWidth="1"/>
    <col min="14093" max="14093" width="16.88671875" style="121" bestFit="1" customWidth="1"/>
    <col min="14094" max="14094" width="14.5546875" style="121" bestFit="1" customWidth="1"/>
    <col min="14095" max="14096" width="13" style="121" bestFit="1" customWidth="1"/>
    <col min="14097" max="14097" width="19" style="121" bestFit="1" customWidth="1"/>
    <col min="14098" max="14106" width="13" style="121" bestFit="1" customWidth="1"/>
    <col min="14107" max="14338" width="8.88671875" style="121"/>
    <col min="14339" max="14339" width="15.44140625" style="121" bestFit="1" customWidth="1"/>
    <col min="14340" max="14340" width="4.5546875" style="121" customWidth="1"/>
    <col min="14341" max="14341" width="13.88671875" style="121" bestFit="1" customWidth="1"/>
    <col min="14342" max="14343" width="13" style="121" bestFit="1" customWidth="1"/>
    <col min="14344" max="14344" width="14.5546875" style="121" bestFit="1" customWidth="1"/>
    <col min="14345" max="14345" width="8.109375" style="121" customWidth="1"/>
    <col min="14346" max="14346" width="8.33203125" style="121" customWidth="1"/>
    <col min="14347" max="14347" width="13" style="121" bestFit="1" customWidth="1"/>
    <col min="14348" max="14348" width="18.5546875" style="121" bestFit="1" customWidth="1"/>
    <col min="14349" max="14349" width="16.88671875" style="121" bestFit="1" customWidth="1"/>
    <col min="14350" max="14350" width="14.5546875" style="121" bestFit="1" customWidth="1"/>
    <col min="14351" max="14352" width="13" style="121" bestFit="1" customWidth="1"/>
    <col min="14353" max="14353" width="19" style="121" bestFit="1" customWidth="1"/>
    <col min="14354" max="14362" width="13" style="121" bestFit="1" customWidth="1"/>
    <col min="14363" max="14594" width="8.88671875" style="121"/>
    <col min="14595" max="14595" width="15.44140625" style="121" bestFit="1" customWidth="1"/>
    <col min="14596" max="14596" width="4.5546875" style="121" customWidth="1"/>
    <col min="14597" max="14597" width="13.88671875" style="121" bestFit="1" customWidth="1"/>
    <col min="14598" max="14599" width="13" style="121" bestFit="1" customWidth="1"/>
    <col min="14600" max="14600" width="14.5546875" style="121" bestFit="1" customWidth="1"/>
    <col min="14601" max="14601" width="8.109375" style="121" customWidth="1"/>
    <col min="14602" max="14602" width="8.33203125" style="121" customWidth="1"/>
    <col min="14603" max="14603" width="13" style="121" bestFit="1" customWidth="1"/>
    <col min="14604" max="14604" width="18.5546875" style="121" bestFit="1" customWidth="1"/>
    <col min="14605" max="14605" width="16.88671875" style="121" bestFit="1" customWidth="1"/>
    <col min="14606" max="14606" width="14.5546875" style="121" bestFit="1" customWidth="1"/>
    <col min="14607" max="14608" width="13" style="121" bestFit="1" customWidth="1"/>
    <col min="14609" max="14609" width="19" style="121" bestFit="1" customWidth="1"/>
    <col min="14610" max="14618" width="13" style="121" bestFit="1" customWidth="1"/>
    <col min="14619" max="14850" width="8.88671875" style="121"/>
    <col min="14851" max="14851" width="15.44140625" style="121" bestFit="1" customWidth="1"/>
    <col min="14852" max="14852" width="4.5546875" style="121" customWidth="1"/>
    <col min="14853" max="14853" width="13.88671875" style="121" bestFit="1" customWidth="1"/>
    <col min="14854" max="14855" width="13" style="121" bestFit="1" customWidth="1"/>
    <col min="14856" max="14856" width="14.5546875" style="121" bestFit="1" customWidth="1"/>
    <col min="14857" max="14857" width="8.109375" style="121" customWidth="1"/>
    <col min="14858" max="14858" width="8.33203125" style="121" customWidth="1"/>
    <col min="14859" max="14859" width="13" style="121" bestFit="1" customWidth="1"/>
    <col min="14860" max="14860" width="18.5546875" style="121" bestFit="1" customWidth="1"/>
    <col min="14861" max="14861" width="16.88671875" style="121" bestFit="1" customWidth="1"/>
    <col min="14862" max="14862" width="14.5546875" style="121" bestFit="1" customWidth="1"/>
    <col min="14863" max="14864" width="13" style="121" bestFit="1" customWidth="1"/>
    <col min="14865" max="14865" width="19" style="121" bestFit="1" customWidth="1"/>
    <col min="14866" max="14874" width="13" style="121" bestFit="1" customWidth="1"/>
    <col min="14875" max="15106" width="8.88671875" style="121"/>
    <col min="15107" max="15107" width="15.44140625" style="121" bestFit="1" customWidth="1"/>
    <col min="15108" max="15108" width="4.5546875" style="121" customWidth="1"/>
    <col min="15109" max="15109" width="13.88671875" style="121" bestFit="1" customWidth="1"/>
    <col min="15110" max="15111" width="13" style="121" bestFit="1" customWidth="1"/>
    <col min="15112" max="15112" width="14.5546875" style="121" bestFit="1" customWidth="1"/>
    <col min="15113" max="15113" width="8.109375" style="121" customWidth="1"/>
    <col min="15114" max="15114" width="8.33203125" style="121" customWidth="1"/>
    <col min="15115" max="15115" width="13" style="121" bestFit="1" customWidth="1"/>
    <col min="15116" max="15116" width="18.5546875" style="121" bestFit="1" customWidth="1"/>
    <col min="15117" max="15117" width="16.88671875" style="121" bestFit="1" customWidth="1"/>
    <col min="15118" max="15118" width="14.5546875" style="121" bestFit="1" customWidth="1"/>
    <col min="15119" max="15120" width="13" style="121" bestFit="1" customWidth="1"/>
    <col min="15121" max="15121" width="19" style="121" bestFit="1" customWidth="1"/>
    <col min="15122" max="15130" width="13" style="121" bestFit="1" customWidth="1"/>
    <col min="15131" max="15362" width="8.88671875" style="121"/>
    <col min="15363" max="15363" width="15.44140625" style="121" bestFit="1" customWidth="1"/>
    <col min="15364" max="15364" width="4.5546875" style="121" customWidth="1"/>
    <col min="15365" max="15365" width="13.88671875" style="121" bestFit="1" customWidth="1"/>
    <col min="15366" max="15367" width="13" style="121" bestFit="1" customWidth="1"/>
    <col min="15368" max="15368" width="14.5546875" style="121" bestFit="1" customWidth="1"/>
    <col min="15369" max="15369" width="8.109375" style="121" customWidth="1"/>
    <col min="15370" max="15370" width="8.33203125" style="121" customWidth="1"/>
    <col min="15371" max="15371" width="13" style="121" bestFit="1" customWidth="1"/>
    <col min="15372" max="15372" width="18.5546875" style="121" bestFit="1" customWidth="1"/>
    <col min="15373" max="15373" width="16.88671875" style="121" bestFit="1" customWidth="1"/>
    <col min="15374" max="15374" width="14.5546875" style="121" bestFit="1" customWidth="1"/>
    <col min="15375" max="15376" width="13" style="121" bestFit="1" customWidth="1"/>
    <col min="15377" max="15377" width="19" style="121" bestFit="1" customWidth="1"/>
    <col min="15378" max="15386" width="13" style="121" bestFit="1" customWidth="1"/>
    <col min="15387" max="15618" width="8.88671875" style="121"/>
    <col min="15619" max="15619" width="15.44140625" style="121" bestFit="1" customWidth="1"/>
    <col min="15620" max="15620" width="4.5546875" style="121" customWidth="1"/>
    <col min="15621" max="15621" width="13.88671875" style="121" bestFit="1" customWidth="1"/>
    <col min="15622" max="15623" width="13" style="121" bestFit="1" customWidth="1"/>
    <col min="15624" max="15624" width="14.5546875" style="121" bestFit="1" customWidth="1"/>
    <col min="15625" max="15625" width="8.109375" style="121" customWidth="1"/>
    <col min="15626" max="15626" width="8.33203125" style="121" customWidth="1"/>
    <col min="15627" max="15627" width="13" style="121" bestFit="1" customWidth="1"/>
    <col min="15628" max="15628" width="18.5546875" style="121" bestFit="1" customWidth="1"/>
    <col min="15629" max="15629" width="16.88671875" style="121" bestFit="1" customWidth="1"/>
    <col min="15630" max="15630" width="14.5546875" style="121" bestFit="1" customWidth="1"/>
    <col min="15631" max="15632" width="13" style="121" bestFit="1" customWidth="1"/>
    <col min="15633" max="15633" width="19" style="121" bestFit="1" customWidth="1"/>
    <col min="15634" max="15642" width="13" style="121" bestFit="1" customWidth="1"/>
    <col min="15643" max="15874" width="8.88671875" style="121"/>
    <col min="15875" max="15875" width="15.44140625" style="121" bestFit="1" customWidth="1"/>
    <col min="15876" max="15876" width="4.5546875" style="121" customWidth="1"/>
    <col min="15877" max="15877" width="13.88671875" style="121" bestFit="1" customWidth="1"/>
    <col min="15878" max="15879" width="13" style="121" bestFit="1" customWidth="1"/>
    <col min="15880" max="15880" width="14.5546875" style="121" bestFit="1" customWidth="1"/>
    <col min="15881" max="15881" width="8.109375" style="121" customWidth="1"/>
    <col min="15882" max="15882" width="8.33203125" style="121" customWidth="1"/>
    <col min="15883" max="15883" width="13" style="121" bestFit="1" customWidth="1"/>
    <col min="15884" max="15884" width="18.5546875" style="121" bestFit="1" customWidth="1"/>
    <col min="15885" max="15885" width="16.88671875" style="121" bestFit="1" customWidth="1"/>
    <col min="15886" max="15886" width="14.5546875" style="121" bestFit="1" customWidth="1"/>
    <col min="15887" max="15888" width="13" style="121" bestFit="1" customWidth="1"/>
    <col min="15889" max="15889" width="19" style="121" bestFit="1" customWidth="1"/>
    <col min="15890" max="15898" width="13" style="121" bestFit="1" customWidth="1"/>
    <col min="15899" max="16130" width="8.88671875" style="121"/>
    <col min="16131" max="16131" width="15.44140625" style="121" bestFit="1" customWidth="1"/>
    <col min="16132" max="16132" width="4.5546875" style="121" customWidth="1"/>
    <col min="16133" max="16133" width="13.88671875" style="121" bestFit="1" customWidth="1"/>
    <col min="16134" max="16135" width="13" style="121" bestFit="1" customWidth="1"/>
    <col min="16136" max="16136" width="14.5546875" style="121" bestFit="1" customWidth="1"/>
    <col min="16137" max="16137" width="8.109375" style="121" customWidth="1"/>
    <col min="16138" max="16138" width="8.33203125" style="121" customWidth="1"/>
    <col min="16139" max="16139" width="13" style="121" bestFit="1" customWidth="1"/>
    <col min="16140" max="16140" width="18.5546875" style="121" bestFit="1" customWidth="1"/>
    <col min="16141" max="16141" width="16.88671875" style="121" bestFit="1" customWidth="1"/>
    <col min="16142" max="16142" width="14.5546875" style="121" bestFit="1" customWidth="1"/>
    <col min="16143" max="16144" width="13" style="121" bestFit="1" customWidth="1"/>
    <col min="16145" max="16145" width="19" style="121" bestFit="1" customWidth="1"/>
    <col min="16146" max="16154" width="13" style="121" bestFit="1" customWidth="1"/>
    <col min="16155" max="16384" width="8.88671875" style="121"/>
  </cols>
  <sheetData>
    <row r="2" spans="1:29" ht="33" customHeight="1">
      <c r="A2" s="181" t="s">
        <v>110</v>
      </c>
      <c r="B2" s="182"/>
      <c r="C2" s="182"/>
      <c r="D2" s="182"/>
      <c r="E2" s="182"/>
      <c r="F2" s="182"/>
      <c r="G2" s="182"/>
      <c r="H2" s="182"/>
      <c r="I2" s="182"/>
      <c r="J2" s="182"/>
      <c r="K2" s="182"/>
      <c r="L2" s="182"/>
      <c r="M2" s="182"/>
      <c r="N2" s="182"/>
      <c r="O2" s="182"/>
      <c r="P2" s="182"/>
      <c r="Q2" s="182"/>
      <c r="R2" s="182"/>
      <c r="S2" s="182"/>
      <c r="T2" s="182"/>
      <c r="U2" s="182"/>
      <c r="V2" s="182"/>
      <c r="W2" s="182"/>
      <c r="X2" s="182"/>
      <c r="Y2" s="182"/>
      <c r="Z2" s="182"/>
      <c r="AA2" s="120"/>
      <c r="AB2" s="120"/>
    </row>
    <row r="3" spans="1:29" s="129" customFormat="1" ht="30.6">
      <c r="A3" s="122" t="s">
        <v>111</v>
      </c>
      <c r="B3" s="122" t="s">
        <v>112</v>
      </c>
      <c r="C3" s="122" t="s">
        <v>113</v>
      </c>
      <c r="D3" s="123" t="s">
        <v>2</v>
      </c>
      <c r="E3" s="122" t="s">
        <v>114</v>
      </c>
      <c r="F3" s="122" t="s">
        <v>115</v>
      </c>
      <c r="G3" s="122" t="s">
        <v>70</v>
      </c>
      <c r="H3" s="122" t="s">
        <v>116</v>
      </c>
      <c r="I3" s="124" t="s">
        <v>117</v>
      </c>
      <c r="J3" s="122" t="s">
        <v>118</v>
      </c>
      <c r="K3" s="122" t="s">
        <v>119</v>
      </c>
      <c r="L3" s="122" t="s">
        <v>120</v>
      </c>
      <c r="M3" s="122" t="s">
        <v>121</v>
      </c>
      <c r="N3" s="122" t="s">
        <v>122</v>
      </c>
      <c r="O3" s="125" t="s">
        <v>123</v>
      </c>
      <c r="P3" s="122" t="s">
        <v>124</v>
      </c>
      <c r="Q3" s="122" t="s">
        <v>125</v>
      </c>
      <c r="R3" s="122" t="s">
        <v>126</v>
      </c>
      <c r="S3" s="122" t="s">
        <v>127</v>
      </c>
      <c r="T3" s="122" t="s">
        <v>128</v>
      </c>
      <c r="U3" s="122" t="s">
        <v>129</v>
      </c>
      <c r="V3" s="126" t="s">
        <v>17</v>
      </c>
      <c r="W3" s="126" t="s">
        <v>18</v>
      </c>
      <c r="X3" s="126" t="s">
        <v>19</v>
      </c>
      <c r="Y3" s="127" t="s">
        <v>20</v>
      </c>
      <c r="Z3" s="124" t="s">
        <v>130</v>
      </c>
      <c r="AA3" s="128"/>
      <c r="AB3" s="128"/>
      <c r="AC3" s="128"/>
    </row>
    <row r="4" spans="1:29" ht="24" customHeight="1">
      <c r="A4" s="121">
        <v>3</v>
      </c>
      <c r="C4" s="121" t="s">
        <v>138</v>
      </c>
    </row>
    <row r="5" spans="1:29" s="156" customFormat="1" ht="36.75" customHeight="1">
      <c r="A5" s="145">
        <v>4</v>
      </c>
      <c r="B5" s="146">
        <v>1</v>
      </c>
      <c r="C5" s="147" t="s">
        <v>131</v>
      </c>
      <c r="D5" s="148">
        <v>46125</v>
      </c>
      <c r="E5" s="149" t="s">
        <v>133</v>
      </c>
      <c r="F5" s="149" t="s">
        <v>132</v>
      </c>
      <c r="G5" s="102"/>
      <c r="H5" s="102"/>
      <c r="I5" s="150">
        <v>4</v>
      </c>
      <c r="J5" s="151">
        <v>4</v>
      </c>
      <c r="K5" s="148">
        <v>46125</v>
      </c>
      <c r="L5" s="149" t="s">
        <v>134</v>
      </c>
      <c r="M5" s="152" t="s">
        <v>76</v>
      </c>
      <c r="N5" s="152">
        <v>4126040604</v>
      </c>
      <c r="O5" s="148">
        <v>46122</v>
      </c>
      <c r="P5" s="148"/>
      <c r="Q5" s="151" t="s">
        <v>135</v>
      </c>
      <c r="R5" s="151" t="s">
        <v>136</v>
      </c>
      <c r="S5" s="151" t="s">
        <v>137</v>
      </c>
      <c r="T5" s="151">
        <v>11943</v>
      </c>
      <c r="U5" s="152">
        <v>1</v>
      </c>
      <c r="V5" s="153"/>
      <c r="W5" s="153"/>
      <c r="X5" s="153"/>
      <c r="Y5" s="154"/>
      <c r="Z5" s="155"/>
    </row>
    <row r="6" spans="1:29" s="136" customFormat="1" ht="53.25" customHeight="1">
      <c r="A6" s="130"/>
      <c r="B6" s="130"/>
      <c r="C6" s="137"/>
      <c r="D6" s="132"/>
      <c r="E6" s="133"/>
      <c r="F6" s="133"/>
      <c r="G6" s="133"/>
      <c r="H6" s="134"/>
      <c r="I6" s="133"/>
      <c r="J6" s="133"/>
      <c r="K6" s="132"/>
      <c r="L6" s="135"/>
      <c r="M6" s="133"/>
      <c r="N6" s="131"/>
      <c r="O6" s="132"/>
      <c r="P6" s="132"/>
      <c r="Q6" s="133"/>
      <c r="R6" s="133"/>
      <c r="S6" s="133"/>
      <c r="T6" s="133"/>
      <c r="U6" s="133"/>
      <c r="V6" s="138"/>
      <c r="W6" s="139"/>
      <c r="X6" s="139"/>
      <c r="Y6" s="132"/>
      <c r="Z6" s="133"/>
    </row>
    <row r="7" spans="1:29">
      <c r="E7" s="141"/>
    </row>
    <row r="8" spans="1:29">
      <c r="W8" s="142"/>
    </row>
  </sheetData>
  <mergeCells count="1">
    <mergeCell ref="A2:Z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MT BHCCD</vt:lpstr>
      <vt:lpstr>BHCCD26</vt:lpstr>
      <vt:lpstr>MT BHCKT</vt:lpstr>
      <vt:lpstr>BHCKT26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2026-04-15T05:48:53Z</dcterms:modified>
</cp:coreProperties>
</file>