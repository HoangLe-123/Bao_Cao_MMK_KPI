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\\Vdm-fsvr\cokhi-機工\CONG VIEC CHUNG 2026\14 .BÂT HỢP CÁCH  2026\"/>
    </mc:Choice>
  </mc:AlternateContent>
  <xr:revisionPtr revIDLastSave="0" documentId="13_ncr:1_{4CBE9101-5E97-41BE-A0ED-414A423AB6A4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CHI TIẾT 2026" sheetId="23" r:id="rId1"/>
    <sheet name="NV CẦN GIÁM SÁT26" sheetId="26" r:id="rId2"/>
    <sheet name="KẾ HOẠCH GD 2026" sheetId="32" r:id="rId3"/>
    <sheet name="TỔNG NG" sheetId="24" r:id="rId4"/>
  </sheets>
  <definedNames>
    <definedName name="_xlnm._FilterDatabase" localSheetId="0" hidden="1">'CHI TIẾT 2026'!$A$4:$Q$4</definedName>
    <definedName name="_xlnm._FilterDatabase" localSheetId="2" hidden="1">'KẾ HOẠCH GD 2026'!$A$3:$N$3</definedName>
    <definedName name="_xlnm._FilterDatabase" localSheetId="1" hidden="1">'NV CẦN GIÁM SÁT26'!$A$4:$R$4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163" i="26" l="1"/>
  <c r="P162" i="26"/>
  <c r="P161" i="26"/>
  <c r="P160" i="26"/>
  <c r="P159" i="26"/>
  <c r="P158" i="26"/>
  <c r="P157" i="26"/>
  <c r="P156" i="26"/>
  <c r="P155" i="26"/>
  <c r="P154" i="26"/>
  <c r="P153" i="26"/>
  <c r="P152" i="26"/>
  <c r="P151" i="26"/>
  <c r="P150" i="26"/>
  <c r="P149" i="26"/>
  <c r="P148" i="26"/>
  <c r="P147" i="26"/>
  <c r="P146" i="26"/>
  <c r="P145" i="26"/>
  <c r="P144" i="26"/>
  <c r="P143" i="26"/>
  <c r="P142" i="26"/>
  <c r="P141" i="26"/>
  <c r="P140" i="26"/>
  <c r="P139" i="26"/>
  <c r="P138" i="26"/>
  <c r="P137" i="26"/>
  <c r="P136" i="26"/>
  <c r="P135" i="26"/>
  <c r="P134" i="26"/>
  <c r="P133" i="26"/>
  <c r="P132" i="26"/>
  <c r="P131" i="26"/>
  <c r="P130" i="26"/>
  <c r="P129" i="26"/>
  <c r="P128" i="26"/>
  <c r="P127" i="26"/>
  <c r="P126" i="26"/>
  <c r="P125" i="26"/>
  <c r="P124" i="26"/>
  <c r="P123" i="26"/>
  <c r="P122" i="26"/>
  <c r="C9" i="24"/>
  <c r="D9" i="24"/>
  <c r="E9" i="24"/>
  <c r="F9" i="24"/>
  <c r="G9" i="24"/>
  <c r="H9" i="24"/>
  <c r="I9" i="24"/>
  <c r="J9" i="24"/>
  <c r="K9" i="24"/>
  <c r="L9" i="24"/>
  <c r="M9" i="24"/>
  <c r="B9" i="24"/>
</calcChain>
</file>

<file path=xl/sharedStrings.xml><?xml version="1.0" encoding="utf-8"?>
<sst xmlns="http://schemas.openxmlformats.org/spreadsheetml/2006/main" count="281" uniqueCount="159">
  <si>
    <t>STT</t>
  </si>
  <si>
    <t>T1</t>
  </si>
  <si>
    <t>T2</t>
  </si>
  <si>
    <t>T3</t>
  </si>
  <si>
    <t>T4</t>
  </si>
  <si>
    <t>MSNV</t>
  </si>
  <si>
    <t>CD</t>
  </si>
  <si>
    <t>SỐ YÊU CẦU</t>
  </si>
  <si>
    <t>REP</t>
  </si>
  <si>
    <t>SL</t>
  </si>
  <si>
    <t>K/THƯỚC BV</t>
  </si>
  <si>
    <t>K/T THỰC ĐO</t>
  </si>
  <si>
    <t>TỈ LỆ</t>
  </si>
  <si>
    <t>GHI CHÚ</t>
  </si>
  <si>
    <t>K/T NV ĐO</t>
  </si>
  <si>
    <t>K/T QC ĐO</t>
  </si>
  <si>
    <t>MIN</t>
  </si>
  <si>
    <t>MAX</t>
  </si>
  <si>
    <t>THÁNG</t>
  </si>
  <si>
    <t>TỰ CHỦ</t>
  </si>
  <si>
    <t>KHÔNG GHI TỰ CHỦ 
KÍCH THƯỚC ĐỘ BÓNG</t>
  </si>
  <si>
    <t>NGOẠI 
QUAN</t>
  </si>
  <si>
    <t>QUẢN LÝ 
KXN TC</t>
  </si>
  <si>
    <t>GIA CÔNG 
THIẾU KT</t>
  </si>
  <si>
    <t>KHÔNG GHI TỰ CHỦ 
KÍCH THƯỚC GIA CÔNG</t>
  </si>
  <si>
    <t>THIẾT ĐỊNH</t>
  </si>
  <si>
    <t>LINK
BẢN V</t>
  </si>
  <si>
    <t>TRIM</t>
  </si>
  <si>
    <t>Total</t>
  </si>
  <si>
    <t>T5</t>
  </si>
  <si>
    <t>T6</t>
  </si>
  <si>
    <t>T7</t>
  </si>
  <si>
    <t>T8</t>
  </si>
  <si>
    <t>T9</t>
  </si>
  <si>
    <t>T10</t>
  </si>
  <si>
    <t>T11</t>
  </si>
  <si>
    <t>T12</t>
  </si>
  <si>
    <t>THỐNG KÊ LỖI NG  2025</t>
  </si>
  <si>
    <t>EN</t>
  </si>
  <si>
    <t>BJ</t>
  </si>
  <si>
    <t>GS</t>
  </si>
  <si>
    <t>MC</t>
  </si>
  <si>
    <t>LA</t>
  </si>
  <si>
    <t>GIA CÔNG SAI KT</t>
  </si>
  <si>
    <t>GJ</t>
  </si>
  <si>
    <t>GR</t>
  </si>
  <si>
    <t>EW</t>
  </si>
  <si>
    <t>NGOẠI QUAN NG</t>
  </si>
  <si>
    <t>GP</t>
  </si>
  <si>
    <t>◎0.02A</t>
  </si>
  <si>
    <t>Văn Bá Ngân</t>
    <phoneticPr fontId="0"/>
  </si>
  <si>
    <t>Trần Phước Kế</t>
    <phoneticPr fontId="0"/>
  </si>
  <si>
    <t>Nguyễn Văn Phương</t>
  </si>
  <si>
    <t>Đặng Công Lỉnh</t>
  </si>
  <si>
    <t>Trần Văn Dũng</t>
  </si>
  <si>
    <t>Phan Văn Quân</t>
  </si>
  <si>
    <t>Nguyễn Đắc Ba</t>
  </si>
  <si>
    <t>Bùi Đức Phước</t>
  </si>
  <si>
    <t>Nguyễn Văn Tạo</t>
  </si>
  <si>
    <t>Nguyễn Như Lộc</t>
  </si>
  <si>
    <t>Nguyễn Tấn Tiên</t>
  </si>
  <si>
    <t>Nguyễn Duy Linh</t>
  </si>
  <si>
    <t>Võ Chí Tâm</t>
  </si>
  <si>
    <t>Phạm Văn Hiền</t>
  </si>
  <si>
    <t>HỌ VÀ TÊN</t>
  </si>
  <si>
    <t>CẤP KỸ NĂNG
 HIỆN TẠI</t>
  </si>
  <si>
    <t>CÔNG
 ĐOẠN</t>
  </si>
  <si>
    <t>KẾ HOẠCH 
GIÁO DỤC</t>
  </si>
  <si>
    <t>HOÀN THÀNH
GIÁO DỤC</t>
  </si>
  <si>
    <t>MÁY ISM</t>
  </si>
  <si>
    <t>MÁY CMM</t>
  </si>
  <si>
    <t>DI+V+PIN+BLOC</t>
  </si>
  <si>
    <t xml:space="preserve">KẾ HOẠCH GIÁO DỤC NHÂN VIÊN GIA CÔNG NĂM 2026
PHƯƠNG PHÁP ĐO ĐẠC - GHI TỰ CHỦ </t>
  </si>
  <si>
    <t>NHÂN VIÊN GIA CÔNG CẦN GIÁM SÁT 2026</t>
  </si>
  <si>
    <t>HÀNG NG HẰNG NGÀY  2026</t>
  </si>
  <si>
    <t>TRẢ TRƯỞNG CA</t>
  </si>
  <si>
    <t>L416506028</t>
  </si>
  <si>
    <t>213508170A</t>
  </si>
  <si>
    <t>L62151204G</t>
  </si>
  <si>
    <t>213505087B</t>
  </si>
  <si>
    <t>213501188A</t>
  </si>
  <si>
    <t>L630511147</t>
  </si>
  <si>
    <t>3.4+-0.01</t>
  </si>
  <si>
    <t>◎0.01A</t>
  </si>
  <si>
    <t>1.92+-0.01</t>
  </si>
  <si>
    <t>2.85+0.02</t>
  </si>
  <si>
    <t>2.01T</t>
  </si>
  <si>
    <t>2.02D</t>
  </si>
  <si>
    <t>11.01T</t>
  </si>
  <si>
    <t>11.01D</t>
  </si>
  <si>
    <t>LỖI NG</t>
  </si>
  <si>
    <t>OK</t>
  </si>
  <si>
    <t>5.0+-0.01</t>
  </si>
  <si>
    <t>L611508036</t>
  </si>
  <si>
    <t>L611511008</t>
  </si>
  <si>
    <t>L413601034</t>
  </si>
  <si>
    <t>L61251216G</t>
  </si>
  <si>
    <t>L630601097</t>
  </si>
  <si>
    <t>Ø1.64</t>
  </si>
  <si>
    <t>DU 10713</t>
  </si>
  <si>
    <t>15-0.02~0.05</t>
  </si>
  <si>
    <t>CHO NHẬN HÀNG</t>
  </si>
  <si>
    <t>DU 10713 23/2</t>
  </si>
  <si>
    <t>213506106A</t>
  </si>
  <si>
    <t>2.575+0</t>
  </si>
  <si>
    <t>L612512009</t>
  </si>
  <si>
    <t>12-0.018</t>
  </si>
  <si>
    <t>GIANG 25/2</t>
  </si>
  <si>
    <t>213512296A</t>
  </si>
  <si>
    <t>ĐỐI XỨNG 0.01</t>
  </si>
  <si>
    <t>QUÝ 25/2</t>
  </si>
  <si>
    <t>213506107A</t>
  </si>
  <si>
    <t>1.325+-0.01</t>
  </si>
  <si>
    <t>DU 25/2</t>
  </si>
  <si>
    <t>213510016B</t>
  </si>
  <si>
    <t>14.4-0.02</t>
  </si>
  <si>
    <t>DU 10/3</t>
  </si>
  <si>
    <t>L624602003</t>
  </si>
  <si>
    <t>Ø4.0+0.03</t>
  </si>
  <si>
    <t>4.03D</t>
  </si>
  <si>
    <t>4.03T</t>
  </si>
  <si>
    <t>QUÝ 12/3</t>
  </si>
  <si>
    <t>213601092A</t>
  </si>
  <si>
    <t>Ø33.55+0.03</t>
  </si>
  <si>
    <t>413603001G</t>
  </si>
  <si>
    <t>13+-0.01</t>
  </si>
  <si>
    <t>GIANG 16/3</t>
  </si>
  <si>
    <t>213502326A</t>
  </si>
  <si>
    <t>R12.620</t>
  </si>
  <si>
    <t>CHƯA GIA CÔNG</t>
  </si>
  <si>
    <t>DU 17/3</t>
  </si>
  <si>
    <t>DU 178/3</t>
  </si>
  <si>
    <t>GỠ DỜI</t>
  </si>
  <si>
    <t>L630506010</t>
  </si>
  <si>
    <t>136+-0.01</t>
  </si>
  <si>
    <t>THẮNG 20/3</t>
  </si>
  <si>
    <t xml:space="preserve">SỮA LẠI Ø </t>
  </si>
  <si>
    <t>213507168A</t>
  </si>
  <si>
    <t>DU 25/3</t>
  </si>
  <si>
    <t>GIANG 25/3</t>
  </si>
  <si>
    <t>1.9+-0.01</t>
  </si>
  <si>
    <t>7.42+-0.01</t>
  </si>
  <si>
    <t>213601145A</t>
  </si>
  <si>
    <t xml:space="preserve">SỮA LẠI OK </t>
  </si>
  <si>
    <t>213601289A</t>
  </si>
  <si>
    <t>36.50+-0.01</t>
  </si>
  <si>
    <t>DU 26/3</t>
  </si>
  <si>
    <t>IN GIÁ TRỊ ĐO</t>
  </si>
  <si>
    <t>GC</t>
  </si>
  <si>
    <t>213601111A</t>
  </si>
  <si>
    <t>ĐỘ TRÒN</t>
  </si>
  <si>
    <t>GIANG</t>
  </si>
  <si>
    <t>SỮA CHỮA</t>
  </si>
  <si>
    <t>L630512039</t>
  </si>
  <si>
    <t>1+0.01</t>
  </si>
  <si>
    <t>DU 6/4</t>
  </si>
  <si>
    <t>213601041A</t>
  </si>
  <si>
    <t>1.21 +-0.005</t>
  </si>
  <si>
    <t>DU 8/4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</si>
</sst>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[$-F800]dddd\,\ mmmm\ dd\,\ yyyy"/>
    <numFmt numFmtId="165" formatCode="0.000"/>
    <numFmt numFmtId="166" formatCode="0.0000"/>
    <numFmt numFmtId="167" formatCode="0.0"/>
  </numFmts>
  <fonts count="14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1"/>
      <name val="ＭＳ Ｐゴシック"/>
      <family val="3"/>
      <charset val="128"/>
    </font>
    <font>
      <b/>
      <sz val="11"/>
      <color theme="1"/>
      <name val="Calibri"/>
      <family val="2"/>
      <scheme val="minor"/>
    </font>
    <font>
      <sz val="11"/>
      <name val="Arial"/>
      <family val="2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sz val="11"/>
      <color rgb="FF0000FF"/>
      <name val="Calibri"/>
      <family val="2"/>
    </font>
    <font>
      <b/>
      <sz val="12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8"/>
      <color theme="1"/>
      <name val="Arial"/>
      <family val="2"/>
    </font>
    <font>
      <b/>
      <sz val="16"/>
      <color theme="1"/>
      <name val="Calibri"/>
      <family val="2"/>
      <scheme val="minor"/>
    </font>
    <font>
      <b/>
      <sz val="11"/>
      <name val="Calibri"/>
      <family val="2"/>
    </font>
    <font>
      <b/>
      <sz val="12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59999389629810485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0" fontId="1" fillId="0" borderId="0" applyNumberFormat="0" applyFont="0" applyFill="0" applyBorder="0" applyProtection="0"/>
    <xf numFmtId="0" fontId="2" fillId="0" borderId="0"/>
  </cellStyleXfs>
  <cellXfs count="96">
    <xf numFmtId="0" fontId="0" fillId="0" borderId="0" xfId="0"/>
    <xf numFmtId="0" fontId="0" fillId="0" borderId="0" xfId="0" applyAlignment="1">
      <alignment horizontal="center" vertical="center"/>
    </xf>
    <xf numFmtId="0" fontId="5" fillId="0" borderId="0" xfId="0" applyFont="1" applyAlignment="1">
      <alignment wrapText="1"/>
    </xf>
    <xf numFmtId="0" fontId="5" fillId="3" borderId="1" xfId="0" applyFont="1" applyFill="1" applyBorder="1" applyAlignment="1">
      <alignment horizontal="center" vertical="center"/>
    </xf>
    <xf numFmtId="0" fontId="5" fillId="0" borderId="0" xfId="0" applyFont="1"/>
    <xf numFmtId="0" fontId="5" fillId="3" borderId="11" xfId="0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165" fontId="0" fillId="2" borderId="1" xfId="0" applyNumberFormat="1" applyFill="1" applyBorder="1" applyAlignment="1">
      <alignment horizontal="center"/>
    </xf>
    <xf numFmtId="0" fontId="0" fillId="2" borderId="1" xfId="0" applyFill="1" applyBorder="1" applyAlignment="1">
      <alignment horizontal="left"/>
    </xf>
    <xf numFmtId="0" fontId="0" fillId="2" borderId="1" xfId="0" applyFill="1" applyBorder="1" applyAlignment="1">
      <alignment horizontal="center"/>
    </xf>
    <xf numFmtId="0" fontId="4" fillId="3" borderId="2" xfId="0" applyFont="1" applyFill="1" applyBorder="1" applyAlignment="1">
      <alignment horizontal="center" vertical="center" wrapText="1"/>
    </xf>
    <xf numFmtId="0" fontId="4" fillId="3" borderId="6" xfId="0" applyFont="1" applyFill="1" applyBorder="1" applyAlignment="1">
      <alignment horizontal="center" vertical="center" wrapText="1"/>
    </xf>
    <xf numFmtId="0" fontId="4" fillId="3" borderId="11" xfId="0" applyFont="1" applyFill="1" applyBorder="1" applyAlignment="1">
      <alignment horizontal="center" vertical="center" wrapText="1"/>
    </xf>
    <xf numFmtId="0" fontId="4" fillId="3" borderId="10" xfId="0" applyFont="1" applyFill="1" applyBorder="1" applyAlignment="1">
      <alignment horizontal="center" vertical="center" wrapText="1"/>
    </xf>
    <xf numFmtId="0" fontId="4" fillId="3" borderId="5" xfId="0" applyFont="1" applyFill="1" applyBorder="1" applyAlignment="1">
      <alignment horizontal="center" vertical="center" wrapText="1"/>
    </xf>
    <xf numFmtId="0" fontId="0" fillId="0" borderId="1" xfId="0" applyFont="1" applyBorder="1" applyAlignment="1">
      <alignment horizontal="left" vertical="center"/>
    </xf>
    <xf numFmtId="0" fontId="0" fillId="0" borderId="1" xfId="0" applyFont="1" applyFill="1" applyBorder="1" applyAlignment="1">
      <alignment horizontal="left" vertical="center"/>
    </xf>
    <xf numFmtId="0" fontId="0" fillId="0" borderId="1" xfId="0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0" fillId="0" borderId="0" xfId="0" applyFont="1"/>
    <xf numFmtId="0" fontId="0" fillId="0" borderId="1" xfId="0" applyFont="1" applyBorder="1" applyAlignment="1">
      <alignment horizontal="center"/>
    </xf>
    <xf numFmtId="0" fontId="0" fillId="0" borderId="1" xfId="0" applyFont="1" applyBorder="1"/>
    <xf numFmtId="0" fontId="0" fillId="2" borderId="1" xfId="0" applyFont="1" applyFill="1" applyBorder="1"/>
    <xf numFmtId="0" fontId="0" fillId="0" borderId="1" xfId="0" applyFont="1" applyBorder="1" applyAlignment="1">
      <alignment horizontal="left"/>
    </xf>
    <xf numFmtId="0" fontId="0" fillId="0" borderId="1" xfId="0" applyFont="1" applyFill="1" applyBorder="1"/>
    <xf numFmtId="0" fontId="4" fillId="2" borderId="1" xfId="0" applyFont="1" applyFill="1" applyBorder="1" applyAlignment="1">
      <alignment horizontal="center" vertical="center"/>
    </xf>
    <xf numFmtId="0" fontId="0" fillId="0" borderId="0" xfId="0" applyFont="1" applyAlignment="1">
      <alignment horizontal="center"/>
    </xf>
    <xf numFmtId="164" fontId="0" fillId="0" borderId="0" xfId="0" applyNumberFormat="1" applyFont="1"/>
    <xf numFmtId="0" fontId="4" fillId="3" borderId="2" xfId="0" applyFont="1" applyFill="1" applyBorder="1" applyAlignment="1">
      <alignment horizontal="center" vertical="center" wrapText="1"/>
    </xf>
    <xf numFmtId="0" fontId="4" fillId="3" borderId="6" xfId="0" applyFont="1" applyFill="1" applyBorder="1" applyAlignment="1">
      <alignment horizontal="center" vertical="center" wrapText="1"/>
    </xf>
    <xf numFmtId="0" fontId="4" fillId="3" borderId="11" xfId="0" applyFont="1" applyFill="1" applyBorder="1" applyAlignment="1">
      <alignment horizontal="center" vertical="center" wrapText="1"/>
    </xf>
    <xf numFmtId="0" fontId="0" fillId="2" borderId="1" xfId="0" applyFill="1" applyBorder="1"/>
    <xf numFmtId="0" fontId="4" fillId="3" borderId="5" xfId="0" applyFont="1" applyFill="1" applyBorder="1" applyAlignment="1">
      <alignment horizontal="right" vertical="center" wrapText="1"/>
    </xf>
    <xf numFmtId="0" fontId="4" fillId="3" borderId="10" xfId="0" applyFont="1" applyFill="1" applyBorder="1" applyAlignment="1">
      <alignment horizontal="right" vertical="center" wrapText="1"/>
    </xf>
    <xf numFmtId="0" fontId="5" fillId="3" borderId="11" xfId="0" applyFont="1" applyFill="1" applyBorder="1" applyAlignment="1">
      <alignment horizontal="right" vertical="center"/>
    </xf>
    <xf numFmtId="0" fontId="0" fillId="2" borderId="1" xfId="0" applyFill="1" applyBorder="1" applyAlignment="1">
      <alignment horizontal="right"/>
    </xf>
    <xf numFmtId="0" fontId="0" fillId="0" borderId="0" xfId="0" applyFont="1" applyAlignment="1">
      <alignment horizontal="right"/>
    </xf>
    <xf numFmtId="0" fontId="3" fillId="2" borderId="1" xfId="0" applyFont="1" applyFill="1" applyBorder="1" applyAlignment="1">
      <alignment horizontal="center"/>
    </xf>
    <xf numFmtId="0" fontId="0" fillId="2" borderId="1" xfId="0" applyFont="1" applyFill="1" applyBorder="1" applyAlignment="1">
      <alignment horizontal="center"/>
    </xf>
    <xf numFmtId="0" fontId="0" fillId="2" borderId="0" xfId="0" applyFont="1" applyFill="1"/>
    <xf numFmtId="165" fontId="0" fillId="2" borderId="1" xfId="0" applyNumberFormat="1" applyFill="1" applyBorder="1" applyAlignment="1">
      <alignment horizontal="left"/>
    </xf>
    <xf numFmtId="164" fontId="0" fillId="2" borderId="1" xfId="0" applyNumberFormat="1" applyFill="1" applyBorder="1"/>
    <xf numFmtId="166" fontId="0" fillId="2" borderId="1" xfId="0" applyNumberFormat="1" applyFill="1" applyBorder="1" applyAlignment="1">
      <alignment horizontal="center"/>
    </xf>
    <xf numFmtId="165" fontId="0" fillId="2" borderId="1" xfId="0" applyNumberFormat="1" applyFill="1" applyBorder="1" applyAlignment="1">
      <alignment horizontal="right"/>
    </xf>
    <xf numFmtId="167" fontId="0" fillId="2" borderId="1" xfId="0" applyNumberFormat="1" applyFill="1" applyBorder="1" applyAlignment="1">
      <alignment horizontal="center"/>
    </xf>
    <xf numFmtId="2" fontId="0" fillId="2" borderId="1" xfId="0" applyNumberFormat="1" applyFill="1" applyBorder="1" applyAlignment="1">
      <alignment horizontal="right"/>
    </xf>
    <xf numFmtId="0" fontId="0" fillId="2" borderId="0" xfId="0" applyFill="1" applyAlignment="1">
      <alignment horizontal="center"/>
    </xf>
    <xf numFmtId="2" fontId="0" fillId="2" borderId="1" xfId="0" applyNumberFormat="1" applyFill="1" applyBorder="1"/>
    <xf numFmtId="14" fontId="0" fillId="2" borderId="1" xfId="0" applyNumberFormat="1" applyFill="1" applyBorder="1" applyAlignment="1">
      <alignment horizontal="center"/>
    </xf>
    <xf numFmtId="2" fontId="0" fillId="2" borderId="1" xfId="0" applyNumberFormat="1" applyFill="1" applyBorder="1" applyAlignment="1">
      <alignment horizontal="center"/>
    </xf>
    <xf numFmtId="1" fontId="0" fillId="2" borderId="1" xfId="0" applyNumberFormat="1" applyFill="1" applyBorder="1" applyAlignment="1">
      <alignment horizontal="center"/>
    </xf>
    <xf numFmtId="16" fontId="0" fillId="2" borderId="1" xfId="0" applyNumberFormat="1" applyFill="1" applyBorder="1" applyAlignment="1">
      <alignment horizontal="center"/>
    </xf>
    <xf numFmtId="166" fontId="0" fillId="2" borderId="1" xfId="0" applyNumberFormat="1" applyFont="1" applyFill="1" applyBorder="1" applyAlignment="1">
      <alignment horizontal="center" vertical="center"/>
    </xf>
    <xf numFmtId="0" fontId="5" fillId="2" borderId="0" xfId="0" applyFont="1" applyFill="1"/>
    <xf numFmtId="0" fontId="0" fillId="2" borderId="6" xfId="0" applyFill="1" applyBorder="1"/>
    <xf numFmtId="167" fontId="0" fillId="2" borderId="1" xfId="0" applyNumberFormat="1" applyFill="1" applyBorder="1"/>
    <xf numFmtId="0" fontId="0" fillId="2" borderId="1" xfId="0" applyFont="1" applyFill="1" applyBorder="1" applyAlignment="1">
      <alignment horizontal="left"/>
    </xf>
    <xf numFmtId="0" fontId="0" fillId="2" borderId="1" xfId="0" applyFont="1" applyFill="1" applyBorder="1" applyAlignment="1">
      <alignment horizontal="right"/>
    </xf>
    <xf numFmtId="0" fontId="7" fillId="2" borderId="1" xfId="0" applyFont="1" applyFill="1" applyBorder="1" applyAlignment="1">
      <alignment vertical="center"/>
    </xf>
    <xf numFmtId="165" fontId="0" fillId="2" borderId="1" xfId="0" applyNumberFormat="1" applyFont="1" applyFill="1" applyBorder="1" applyAlignment="1">
      <alignment horizontal="right"/>
    </xf>
    <xf numFmtId="0" fontId="0" fillId="2" borderId="0" xfId="0" applyFont="1" applyFill="1" applyAlignment="1">
      <alignment horizontal="center"/>
    </xf>
    <xf numFmtId="0" fontId="0" fillId="2" borderId="0" xfId="0" applyFont="1" applyFill="1" applyAlignment="1">
      <alignment horizontal="right"/>
    </xf>
    <xf numFmtId="164" fontId="0" fillId="2" borderId="0" xfId="0" applyNumberFormat="1" applyFont="1" applyFill="1"/>
    <xf numFmtId="0" fontId="0" fillId="2" borderId="6" xfId="0" applyFill="1" applyBorder="1" applyAlignment="1">
      <alignment vertical="center"/>
    </xf>
    <xf numFmtId="0" fontId="0" fillId="2" borderId="11" xfId="0" applyFill="1" applyBorder="1" applyAlignment="1">
      <alignment vertical="center"/>
    </xf>
    <xf numFmtId="14" fontId="3" fillId="0" borderId="1" xfId="0" applyNumberFormat="1" applyFont="1" applyBorder="1" applyAlignment="1">
      <alignment horizontal="center" vertical="center"/>
    </xf>
    <xf numFmtId="0" fontId="12" fillId="0" borderId="1" xfId="2" applyFont="1" applyBorder="1" applyAlignment="1">
      <alignment horizontal="center" vertical="center"/>
    </xf>
    <xf numFmtId="0" fontId="13" fillId="2" borderId="1" xfId="2" applyFont="1" applyFill="1" applyBorder="1" applyAlignment="1">
      <alignment horizontal="center" vertical="center"/>
    </xf>
    <xf numFmtId="0" fontId="13" fillId="0" borderId="1" xfId="2" applyFont="1" applyBorder="1" applyAlignment="1">
      <alignment horizontal="center" vertical="center"/>
    </xf>
    <xf numFmtId="0" fontId="12" fillId="2" borderId="1" xfId="2" applyFont="1" applyFill="1" applyBorder="1" applyAlignment="1">
      <alignment horizontal="center" vertical="center"/>
    </xf>
    <xf numFmtId="14" fontId="12" fillId="2" borderId="1" xfId="2" applyNumberFormat="1" applyFont="1" applyFill="1" applyBorder="1" applyAlignment="1">
      <alignment horizontal="center" vertical="center"/>
    </xf>
    <xf numFmtId="165" fontId="0" fillId="0" borderId="1" xfId="0" applyNumberFormat="1" applyFont="1" applyBorder="1" applyAlignment="1">
      <alignment horizontal="center"/>
    </xf>
    <xf numFmtId="166" fontId="0" fillId="0" borderId="1" xfId="0" applyNumberFormat="1" applyFont="1" applyBorder="1" applyAlignment="1">
      <alignment horizontal="center"/>
    </xf>
    <xf numFmtId="0" fontId="0" fillId="4" borderId="1" xfId="0" applyFont="1" applyFill="1" applyBorder="1" applyAlignment="1">
      <alignment horizontal="center"/>
    </xf>
    <xf numFmtId="0" fontId="0" fillId="4" borderId="1" xfId="0" applyFont="1" applyFill="1" applyBorder="1"/>
    <xf numFmtId="2" fontId="0" fillId="0" borderId="1" xfId="0" applyNumberFormat="1" applyFont="1" applyBorder="1" applyAlignment="1">
      <alignment horizontal="center"/>
    </xf>
    <xf numFmtId="0" fontId="4" fillId="3" borderId="2" xfId="0" applyFont="1" applyFill="1" applyBorder="1" applyAlignment="1">
      <alignment horizontal="center" vertical="center" wrapText="1"/>
    </xf>
    <xf numFmtId="0" fontId="4" fillId="3" borderId="6" xfId="0" applyFont="1" applyFill="1" applyBorder="1" applyAlignment="1">
      <alignment horizontal="center" vertical="center" wrapText="1"/>
    </xf>
    <xf numFmtId="0" fontId="4" fillId="3" borderId="11" xfId="0" applyFont="1" applyFill="1" applyBorder="1" applyAlignment="1">
      <alignment horizontal="center" vertical="center" wrapText="1"/>
    </xf>
    <xf numFmtId="0" fontId="4" fillId="3" borderId="7" xfId="0" applyFont="1" applyFill="1" applyBorder="1" applyAlignment="1">
      <alignment horizontal="center" vertical="center" wrapText="1"/>
    </xf>
    <xf numFmtId="0" fontId="4" fillId="3" borderId="8" xfId="0" applyFont="1" applyFill="1" applyBorder="1" applyAlignment="1">
      <alignment horizontal="center" vertical="center" wrapText="1"/>
    </xf>
    <xf numFmtId="0" fontId="4" fillId="3" borderId="9" xfId="0" applyFont="1" applyFill="1" applyBorder="1" applyAlignment="1">
      <alignment horizontal="center" vertical="center" wrapText="1"/>
    </xf>
    <xf numFmtId="0" fontId="4" fillId="3" borderId="10" xfId="0" applyFont="1" applyFill="1" applyBorder="1" applyAlignment="1">
      <alignment horizontal="center" vertical="center" wrapText="1"/>
    </xf>
    <xf numFmtId="0" fontId="10" fillId="0" borderId="0" xfId="0" applyFont="1" applyAlignment="1">
      <alignment horizontal="center" vertical="center"/>
    </xf>
    <xf numFmtId="0" fontId="4" fillId="3" borderId="3" xfId="0" applyFont="1" applyFill="1" applyBorder="1" applyAlignment="1">
      <alignment horizontal="center" vertical="center" wrapText="1"/>
    </xf>
    <xf numFmtId="0" fontId="4" fillId="3" borderId="4" xfId="0" applyFont="1" applyFill="1" applyBorder="1" applyAlignment="1">
      <alignment horizontal="center" vertical="center" wrapText="1"/>
    </xf>
    <xf numFmtId="0" fontId="4" fillId="3" borderId="5" xfId="0" applyFont="1" applyFill="1" applyBorder="1" applyAlignment="1">
      <alignment horizontal="center" vertical="center" wrapText="1"/>
    </xf>
    <xf numFmtId="164" fontId="4" fillId="3" borderId="2" xfId="0" applyNumberFormat="1" applyFont="1" applyFill="1" applyBorder="1" applyAlignment="1">
      <alignment horizontal="center" vertical="center" wrapText="1"/>
    </xf>
    <xf numFmtId="164" fontId="4" fillId="3" borderId="6" xfId="0" applyNumberFormat="1" applyFont="1" applyFill="1" applyBorder="1" applyAlignment="1">
      <alignment horizontal="center" vertical="center" wrapText="1"/>
    </xf>
    <xf numFmtId="164" fontId="4" fillId="3" borderId="11" xfId="0" applyNumberFormat="1" applyFont="1" applyFill="1" applyBorder="1" applyAlignment="1">
      <alignment horizontal="center" vertical="center" wrapText="1"/>
    </xf>
    <xf numFmtId="0" fontId="11" fillId="0" borderId="0" xfId="0" applyFont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0" fontId="0" fillId="3" borderId="1" xfId="0" applyFont="1" applyFill="1" applyBorder="1"/>
  </cellXfs>
  <cellStyles count="3">
    <cellStyle name="Normal" xfId="0" builtinId="0"/>
    <cellStyle name="Normal 2" xfId="2" xr:uid="{A29A6C1C-78ED-4EAD-BFA2-A4111EDD0207}"/>
    <cellStyle name="Normal 2 2" xfId="1" xr:uid="{4CA522E9-AFA2-43E5-97F7-11BF44AD10D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'TỔNG NG'!$A$3</c:f>
              <c:strCache>
                <c:ptCount val="1"/>
                <c:pt idx="0">
                  <c:v>KHÔNG GHI TỰ CHỦ 
KÍCH THƯỚC GIA CÔNG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'TỔNG NG'!$B$2:$M$2</c:f>
              <c:strCache>
                <c:ptCount val="12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</c:strCache>
            </c:strRef>
          </c:cat>
          <c:val>
            <c:numRef>
              <c:f>'TỔNG NG'!$B$3:$M$3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1</c:v>
                </c:pt>
                <c:pt idx="3">
                  <c:v>8</c:v>
                </c:pt>
                <c:pt idx="4">
                  <c:v>4</c:v>
                </c:pt>
                <c:pt idx="5">
                  <c:v>2</c:v>
                </c:pt>
                <c:pt idx="6">
                  <c:v>0</c:v>
                </c:pt>
                <c:pt idx="7">
                  <c:v>0</c:v>
                </c:pt>
                <c:pt idx="8">
                  <c:v>7</c:v>
                </c:pt>
                <c:pt idx="9">
                  <c:v>0</c:v>
                </c:pt>
                <c:pt idx="10">
                  <c:v>2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7D3-4C5E-B040-D8E442669F45}"/>
            </c:ext>
          </c:extLst>
        </c:ser>
        <c:ser>
          <c:idx val="1"/>
          <c:order val="1"/>
          <c:tx>
            <c:strRef>
              <c:f>'TỔNG NG'!$A$4</c:f>
              <c:strCache>
                <c:ptCount val="1"/>
                <c:pt idx="0">
                  <c:v>KHÔNG GHI TỰ CHỦ 
KÍCH THƯỚC ĐỘ BÓNG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'TỔNG NG'!$B$2:$M$2</c:f>
              <c:strCache>
                <c:ptCount val="12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</c:strCache>
            </c:strRef>
          </c:cat>
          <c:val>
            <c:numRef>
              <c:f>'TỔNG NG'!$B$4:$M$4</c:f>
              <c:numCache>
                <c:formatCode>General</c:formatCode>
                <c:ptCount val="12"/>
                <c:pt idx="0">
                  <c:v>3</c:v>
                </c:pt>
                <c:pt idx="1">
                  <c:v>7</c:v>
                </c:pt>
                <c:pt idx="2">
                  <c:v>1</c:v>
                </c:pt>
                <c:pt idx="3">
                  <c:v>8</c:v>
                </c:pt>
                <c:pt idx="4">
                  <c:v>6</c:v>
                </c:pt>
                <c:pt idx="5">
                  <c:v>1</c:v>
                </c:pt>
                <c:pt idx="6">
                  <c:v>13</c:v>
                </c:pt>
                <c:pt idx="7">
                  <c:v>3</c:v>
                </c:pt>
                <c:pt idx="8">
                  <c:v>2</c:v>
                </c:pt>
                <c:pt idx="9">
                  <c:v>3</c:v>
                </c:pt>
                <c:pt idx="10">
                  <c:v>4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7D3-4C5E-B040-D8E442669F45}"/>
            </c:ext>
          </c:extLst>
        </c:ser>
        <c:ser>
          <c:idx val="2"/>
          <c:order val="2"/>
          <c:tx>
            <c:strRef>
              <c:f>'TỔNG NG'!$A$5</c:f>
              <c:strCache>
                <c:ptCount val="1"/>
                <c:pt idx="0">
                  <c:v>NGOẠI 
QUAN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'TỔNG NG'!$B$2:$M$2</c:f>
              <c:strCache>
                <c:ptCount val="12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</c:strCache>
            </c:strRef>
          </c:cat>
          <c:val>
            <c:numRef>
              <c:f>'TỔNG NG'!$B$5:$M$5</c:f>
              <c:numCache>
                <c:formatCode>General</c:formatCode>
                <c:ptCount val="12"/>
                <c:pt idx="0">
                  <c:v>1</c:v>
                </c:pt>
                <c:pt idx="1">
                  <c:v>1</c:v>
                </c:pt>
                <c:pt idx="2">
                  <c:v>2</c:v>
                </c:pt>
                <c:pt idx="3">
                  <c:v>1</c:v>
                </c:pt>
                <c:pt idx="4">
                  <c:v>0</c:v>
                </c:pt>
                <c:pt idx="5">
                  <c:v>3</c:v>
                </c:pt>
                <c:pt idx="6">
                  <c:v>2</c:v>
                </c:pt>
                <c:pt idx="7">
                  <c:v>2</c:v>
                </c:pt>
                <c:pt idx="8">
                  <c:v>1</c:v>
                </c:pt>
                <c:pt idx="9">
                  <c:v>0</c:v>
                </c:pt>
                <c:pt idx="10">
                  <c:v>1</c:v>
                </c:pt>
                <c:pt idx="11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7D3-4C5E-B040-D8E442669F45}"/>
            </c:ext>
          </c:extLst>
        </c:ser>
        <c:ser>
          <c:idx val="3"/>
          <c:order val="3"/>
          <c:tx>
            <c:strRef>
              <c:f>'TỔNG NG'!$A$6</c:f>
              <c:strCache>
                <c:ptCount val="1"/>
                <c:pt idx="0">
                  <c:v>QUẢN LÝ 
KXN TC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'TỔNG NG'!$B$2:$M$2</c:f>
              <c:strCache>
                <c:ptCount val="12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</c:strCache>
            </c:strRef>
          </c:cat>
          <c:val>
            <c:numRef>
              <c:f>'TỔNG NG'!$B$6:$M$6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D7D3-4C5E-B040-D8E442669F45}"/>
            </c:ext>
          </c:extLst>
        </c:ser>
        <c:ser>
          <c:idx val="4"/>
          <c:order val="4"/>
          <c:tx>
            <c:strRef>
              <c:f>'TỔNG NG'!$A$7</c:f>
              <c:strCache>
                <c:ptCount val="1"/>
                <c:pt idx="0">
                  <c:v>GIA CÔNG 
THIẾU KT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'TỔNG NG'!$B$2:$M$2</c:f>
              <c:strCache>
                <c:ptCount val="12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</c:strCache>
            </c:strRef>
          </c:cat>
          <c:val>
            <c:numRef>
              <c:f>'TỔNG NG'!$B$7:$M$7</c:f>
              <c:numCache>
                <c:formatCode>General</c:formatCode>
                <c:ptCount val="12"/>
                <c:pt idx="0">
                  <c:v>3</c:v>
                </c:pt>
                <c:pt idx="1">
                  <c:v>4</c:v>
                </c:pt>
                <c:pt idx="2">
                  <c:v>14</c:v>
                </c:pt>
                <c:pt idx="3">
                  <c:v>7</c:v>
                </c:pt>
                <c:pt idx="4">
                  <c:v>6</c:v>
                </c:pt>
                <c:pt idx="5">
                  <c:v>7</c:v>
                </c:pt>
                <c:pt idx="6">
                  <c:v>10</c:v>
                </c:pt>
                <c:pt idx="7">
                  <c:v>6</c:v>
                </c:pt>
                <c:pt idx="8">
                  <c:v>8</c:v>
                </c:pt>
                <c:pt idx="9">
                  <c:v>18</c:v>
                </c:pt>
                <c:pt idx="10">
                  <c:v>6</c:v>
                </c:pt>
                <c:pt idx="11">
                  <c:v>17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D7D3-4C5E-B040-D8E442669F4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318204448"/>
        <c:axId val="318205888"/>
      </c:barChart>
      <c:catAx>
        <c:axId val="31820444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18205888"/>
        <c:crosses val="autoZero"/>
        <c:auto val="1"/>
        <c:lblAlgn val="ctr"/>
        <c:lblOffset val="100"/>
        <c:noMultiLvlLbl val="0"/>
      </c:catAx>
      <c:valAx>
        <c:axId val="3182058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182044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</xdr:colOff>
      <xdr:row>3</xdr:row>
      <xdr:rowOff>161925</xdr:rowOff>
    </xdr:from>
    <xdr:to>
      <xdr:col>9</xdr:col>
      <xdr:colOff>9525</xdr:colOff>
      <xdr:row>3</xdr:row>
      <xdr:rowOff>180975</xdr:rowOff>
    </xdr:to>
    <xdr:cxnSp macro="">
      <xdr:nvCxnSpPr>
        <xdr:cNvPr id="3" name="Straight Arrow Connector 2">
          <a:extLst>
            <a:ext uri="{FF2B5EF4-FFF2-40B4-BE49-F238E27FC236}">
              <a16:creationId xmlns:a16="http://schemas.microsoft.com/office/drawing/2014/main" id="{81CB72CF-7E83-4E2E-5095-B0EA07746B6C}"/>
            </a:ext>
          </a:extLst>
        </xdr:cNvPr>
        <xdr:cNvCxnSpPr/>
      </xdr:nvCxnSpPr>
      <xdr:spPr>
        <a:xfrm>
          <a:off x="6315075" y="1685925"/>
          <a:ext cx="4467225" cy="19050"/>
        </a:xfrm>
        <a:prstGeom prst="straightConnector1">
          <a:avLst/>
        </a:prstGeom>
        <a:ln w="19050" cap="flat" cmpd="sng" algn="ctr">
          <a:solidFill>
            <a:schemeClr val="accent5"/>
          </a:solidFill>
          <a:prstDash val="solid"/>
          <a:round/>
          <a:headEnd type="none" w="med" len="med"/>
          <a:tailEnd type="arrow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  <xdr:twoCellAnchor>
    <xdr:from>
      <xdr:col>6</xdr:col>
      <xdr:colOff>19050</xdr:colOff>
      <xdr:row>4</xdr:row>
      <xdr:rowOff>161925</xdr:rowOff>
    </xdr:from>
    <xdr:to>
      <xdr:col>9</xdr:col>
      <xdr:colOff>19050</xdr:colOff>
      <xdr:row>4</xdr:row>
      <xdr:rowOff>180975</xdr:rowOff>
    </xdr:to>
    <xdr:cxnSp macro="">
      <xdr:nvCxnSpPr>
        <xdr:cNvPr id="6" name="Straight Arrow Connector 5">
          <a:extLst>
            <a:ext uri="{FF2B5EF4-FFF2-40B4-BE49-F238E27FC236}">
              <a16:creationId xmlns:a16="http://schemas.microsoft.com/office/drawing/2014/main" id="{171D6710-BB5A-424F-A49D-5F5E12A14B86}"/>
            </a:ext>
          </a:extLst>
        </xdr:cNvPr>
        <xdr:cNvCxnSpPr/>
      </xdr:nvCxnSpPr>
      <xdr:spPr>
        <a:xfrm>
          <a:off x="6324600" y="1981200"/>
          <a:ext cx="4467225" cy="19050"/>
        </a:xfrm>
        <a:prstGeom prst="straightConnector1">
          <a:avLst/>
        </a:prstGeom>
        <a:ln w="19050" cap="flat" cmpd="sng" algn="ctr">
          <a:solidFill>
            <a:schemeClr val="accent5"/>
          </a:solidFill>
          <a:prstDash val="solid"/>
          <a:round/>
          <a:headEnd type="none" w="med" len="med"/>
          <a:tailEnd type="arrow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  <xdr:twoCellAnchor>
    <xdr:from>
      <xdr:col>6</xdr:col>
      <xdr:colOff>9525</xdr:colOff>
      <xdr:row>12</xdr:row>
      <xdr:rowOff>180975</xdr:rowOff>
    </xdr:from>
    <xdr:to>
      <xdr:col>9</xdr:col>
      <xdr:colOff>9525</xdr:colOff>
      <xdr:row>12</xdr:row>
      <xdr:rowOff>200025</xdr:rowOff>
    </xdr:to>
    <xdr:cxnSp macro="">
      <xdr:nvCxnSpPr>
        <xdr:cNvPr id="7" name="Straight Arrow Connector 6">
          <a:extLst>
            <a:ext uri="{FF2B5EF4-FFF2-40B4-BE49-F238E27FC236}">
              <a16:creationId xmlns:a16="http://schemas.microsoft.com/office/drawing/2014/main" id="{B4777213-3DCA-44E6-9B89-C27808DB8419}"/>
            </a:ext>
          </a:extLst>
        </xdr:cNvPr>
        <xdr:cNvCxnSpPr/>
      </xdr:nvCxnSpPr>
      <xdr:spPr>
        <a:xfrm>
          <a:off x="6315075" y="4362450"/>
          <a:ext cx="4467225" cy="19050"/>
        </a:xfrm>
        <a:prstGeom prst="straightConnector1">
          <a:avLst/>
        </a:prstGeom>
        <a:ln w="19050" cap="flat" cmpd="sng" algn="ctr">
          <a:solidFill>
            <a:schemeClr val="accent5"/>
          </a:solidFill>
          <a:prstDash val="solid"/>
          <a:round/>
          <a:headEnd type="none" w="med" len="med"/>
          <a:tailEnd type="arrow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  <xdr:twoCellAnchor>
    <xdr:from>
      <xdr:col>6</xdr:col>
      <xdr:colOff>0</xdr:colOff>
      <xdr:row>13</xdr:row>
      <xdr:rowOff>171450</xdr:rowOff>
    </xdr:from>
    <xdr:to>
      <xdr:col>9</xdr:col>
      <xdr:colOff>0</xdr:colOff>
      <xdr:row>13</xdr:row>
      <xdr:rowOff>190500</xdr:rowOff>
    </xdr:to>
    <xdr:cxnSp macro="">
      <xdr:nvCxnSpPr>
        <xdr:cNvPr id="8" name="Straight Arrow Connector 7">
          <a:extLst>
            <a:ext uri="{FF2B5EF4-FFF2-40B4-BE49-F238E27FC236}">
              <a16:creationId xmlns:a16="http://schemas.microsoft.com/office/drawing/2014/main" id="{A4C8834A-E4A0-4260-8E39-5F5A005EB782}"/>
            </a:ext>
          </a:extLst>
        </xdr:cNvPr>
        <xdr:cNvCxnSpPr/>
      </xdr:nvCxnSpPr>
      <xdr:spPr>
        <a:xfrm>
          <a:off x="6305550" y="4648200"/>
          <a:ext cx="4467225" cy="19050"/>
        </a:xfrm>
        <a:prstGeom prst="straightConnector1">
          <a:avLst/>
        </a:prstGeom>
        <a:ln w="19050" cap="flat" cmpd="sng" algn="ctr">
          <a:solidFill>
            <a:schemeClr val="accent5"/>
          </a:solidFill>
          <a:prstDash val="solid"/>
          <a:round/>
          <a:headEnd type="none" w="med" len="med"/>
          <a:tailEnd type="arrow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  <xdr:twoCellAnchor>
    <xdr:from>
      <xdr:col>6</xdr:col>
      <xdr:colOff>9525</xdr:colOff>
      <xdr:row>14</xdr:row>
      <xdr:rowOff>180975</xdr:rowOff>
    </xdr:from>
    <xdr:to>
      <xdr:col>9</xdr:col>
      <xdr:colOff>9525</xdr:colOff>
      <xdr:row>14</xdr:row>
      <xdr:rowOff>200025</xdr:rowOff>
    </xdr:to>
    <xdr:cxnSp macro="">
      <xdr:nvCxnSpPr>
        <xdr:cNvPr id="9" name="Straight Arrow Connector 8">
          <a:extLst>
            <a:ext uri="{FF2B5EF4-FFF2-40B4-BE49-F238E27FC236}">
              <a16:creationId xmlns:a16="http://schemas.microsoft.com/office/drawing/2014/main" id="{FB822D8A-9A9F-4D60-A16B-1E2DB64997F4}"/>
            </a:ext>
          </a:extLst>
        </xdr:cNvPr>
        <xdr:cNvCxnSpPr/>
      </xdr:nvCxnSpPr>
      <xdr:spPr>
        <a:xfrm>
          <a:off x="6315075" y="4953000"/>
          <a:ext cx="4467225" cy="19050"/>
        </a:xfrm>
        <a:prstGeom prst="straightConnector1">
          <a:avLst/>
        </a:prstGeom>
        <a:ln w="19050" cap="flat" cmpd="sng" algn="ctr">
          <a:solidFill>
            <a:schemeClr val="accent5"/>
          </a:solidFill>
          <a:prstDash val="solid"/>
          <a:round/>
          <a:headEnd type="none" w="med" len="med"/>
          <a:tailEnd type="arrow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  <xdr:twoCellAnchor>
    <xdr:from>
      <xdr:col>6</xdr:col>
      <xdr:colOff>9525</xdr:colOff>
      <xdr:row>15</xdr:row>
      <xdr:rowOff>142875</xdr:rowOff>
    </xdr:from>
    <xdr:to>
      <xdr:col>9</xdr:col>
      <xdr:colOff>9525</xdr:colOff>
      <xdr:row>15</xdr:row>
      <xdr:rowOff>161925</xdr:rowOff>
    </xdr:to>
    <xdr:cxnSp macro="">
      <xdr:nvCxnSpPr>
        <xdr:cNvPr id="10" name="Straight Arrow Connector 9">
          <a:extLst>
            <a:ext uri="{FF2B5EF4-FFF2-40B4-BE49-F238E27FC236}">
              <a16:creationId xmlns:a16="http://schemas.microsoft.com/office/drawing/2014/main" id="{551A0E67-859B-46D7-8996-8E76BD571F28}"/>
            </a:ext>
          </a:extLst>
        </xdr:cNvPr>
        <xdr:cNvCxnSpPr/>
      </xdr:nvCxnSpPr>
      <xdr:spPr>
        <a:xfrm>
          <a:off x="6315075" y="5210175"/>
          <a:ext cx="4467225" cy="19050"/>
        </a:xfrm>
        <a:prstGeom prst="straightConnector1">
          <a:avLst/>
        </a:prstGeom>
        <a:ln w="19050" cap="flat" cmpd="sng" algn="ctr">
          <a:solidFill>
            <a:schemeClr val="accent5"/>
          </a:solidFill>
          <a:prstDash val="solid"/>
          <a:round/>
          <a:headEnd type="none" w="med" len="med"/>
          <a:tailEnd type="arrow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  <xdr:twoCellAnchor>
    <xdr:from>
      <xdr:col>6</xdr:col>
      <xdr:colOff>9525</xdr:colOff>
      <xdr:row>16</xdr:row>
      <xdr:rowOff>161925</xdr:rowOff>
    </xdr:from>
    <xdr:to>
      <xdr:col>9</xdr:col>
      <xdr:colOff>9525</xdr:colOff>
      <xdr:row>16</xdr:row>
      <xdr:rowOff>180975</xdr:rowOff>
    </xdr:to>
    <xdr:cxnSp macro="">
      <xdr:nvCxnSpPr>
        <xdr:cNvPr id="11" name="Straight Arrow Connector 10">
          <a:extLst>
            <a:ext uri="{FF2B5EF4-FFF2-40B4-BE49-F238E27FC236}">
              <a16:creationId xmlns:a16="http://schemas.microsoft.com/office/drawing/2014/main" id="{973F8CFC-1B5E-4485-A8E7-C5BBCC5EB5A5}"/>
            </a:ext>
          </a:extLst>
        </xdr:cNvPr>
        <xdr:cNvCxnSpPr/>
      </xdr:nvCxnSpPr>
      <xdr:spPr>
        <a:xfrm>
          <a:off x="6315075" y="5524500"/>
          <a:ext cx="4467225" cy="19050"/>
        </a:xfrm>
        <a:prstGeom prst="straightConnector1">
          <a:avLst/>
        </a:prstGeom>
        <a:ln w="19050" cap="flat" cmpd="sng" algn="ctr">
          <a:solidFill>
            <a:schemeClr val="accent5"/>
          </a:solidFill>
          <a:prstDash val="solid"/>
          <a:round/>
          <a:headEnd type="none" w="med" len="med"/>
          <a:tailEnd type="arrow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  <xdr:twoCellAnchor>
    <xdr:from>
      <xdr:col>6</xdr:col>
      <xdr:colOff>0</xdr:colOff>
      <xdr:row>5</xdr:row>
      <xdr:rowOff>161925</xdr:rowOff>
    </xdr:from>
    <xdr:to>
      <xdr:col>9</xdr:col>
      <xdr:colOff>0</xdr:colOff>
      <xdr:row>5</xdr:row>
      <xdr:rowOff>180975</xdr:rowOff>
    </xdr:to>
    <xdr:cxnSp macro="">
      <xdr:nvCxnSpPr>
        <xdr:cNvPr id="12" name="Straight Arrow Connector 11">
          <a:extLst>
            <a:ext uri="{FF2B5EF4-FFF2-40B4-BE49-F238E27FC236}">
              <a16:creationId xmlns:a16="http://schemas.microsoft.com/office/drawing/2014/main" id="{DF5924E5-4C8A-493B-B655-BCEA1C1FCB52}"/>
            </a:ext>
          </a:extLst>
        </xdr:cNvPr>
        <xdr:cNvCxnSpPr/>
      </xdr:nvCxnSpPr>
      <xdr:spPr>
        <a:xfrm>
          <a:off x="6305550" y="2276475"/>
          <a:ext cx="4467225" cy="19050"/>
        </a:xfrm>
        <a:prstGeom prst="straightConnector1">
          <a:avLst/>
        </a:prstGeom>
        <a:ln w="19050" cap="flat" cmpd="sng" algn="ctr">
          <a:solidFill>
            <a:schemeClr val="accent5"/>
          </a:solidFill>
          <a:prstDash val="solid"/>
          <a:round/>
          <a:headEnd type="none" w="med" len="med"/>
          <a:tailEnd type="arrow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  <xdr:twoCellAnchor>
    <xdr:from>
      <xdr:col>6</xdr:col>
      <xdr:colOff>0</xdr:colOff>
      <xdr:row>6</xdr:row>
      <xdr:rowOff>161925</xdr:rowOff>
    </xdr:from>
    <xdr:to>
      <xdr:col>9</xdr:col>
      <xdr:colOff>0</xdr:colOff>
      <xdr:row>6</xdr:row>
      <xdr:rowOff>180975</xdr:rowOff>
    </xdr:to>
    <xdr:cxnSp macro="">
      <xdr:nvCxnSpPr>
        <xdr:cNvPr id="13" name="Straight Arrow Connector 12">
          <a:extLst>
            <a:ext uri="{FF2B5EF4-FFF2-40B4-BE49-F238E27FC236}">
              <a16:creationId xmlns:a16="http://schemas.microsoft.com/office/drawing/2014/main" id="{0A0B333E-1296-4D7B-9B6E-C5F5E5AC64FD}"/>
            </a:ext>
          </a:extLst>
        </xdr:cNvPr>
        <xdr:cNvCxnSpPr/>
      </xdr:nvCxnSpPr>
      <xdr:spPr>
        <a:xfrm>
          <a:off x="6305550" y="2571750"/>
          <a:ext cx="4467225" cy="19050"/>
        </a:xfrm>
        <a:prstGeom prst="straightConnector1">
          <a:avLst/>
        </a:prstGeom>
        <a:ln w="19050" cap="flat" cmpd="sng" algn="ctr">
          <a:solidFill>
            <a:schemeClr val="accent5"/>
          </a:solidFill>
          <a:prstDash val="solid"/>
          <a:round/>
          <a:headEnd type="none" w="med" len="med"/>
          <a:tailEnd type="arrow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  <xdr:twoCellAnchor>
    <xdr:from>
      <xdr:col>6</xdr:col>
      <xdr:colOff>9525</xdr:colOff>
      <xdr:row>7</xdr:row>
      <xdr:rowOff>142875</xdr:rowOff>
    </xdr:from>
    <xdr:to>
      <xdr:col>9</xdr:col>
      <xdr:colOff>9525</xdr:colOff>
      <xdr:row>7</xdr:row>
      <xdr:rowOff>161925</xdr:rowOff>
    </xdr:to>
    <xdr:cxnSp macro="">
      <xdr:nvCxnSpPr>
        <xdr:cNvPr id="14" name="Straight Arrow Connector 13">
          <a:extLst>
            <a:ext uri="{FF2B5EF4-FFF2-40B4-BE49-F238E27FC236}">
              <a16:creationId xmlns:a16="http://schemas.microsoft.com/office/drawing/2014/main" id="{C0A435BF-37B1-44F1-ADF7-3EC4E3C9345F}"/>
            </a:ext>
          </a:extLst>
        </xdr:cNvPr>
        <xdr:cNvCxnSpPr/>
      </xdr:nvCxnSpPr>
      <xdr:spPr>
        <a:xfrm>
          <a:off x="6315075" y="2847975"/>
          <a:ext cx="4467225" cy="19050"/>
        </a:xfrm>
        <a:prstGeom prst="straightConnector1">
          <a:avLst/>
        </a:prstGeom>
        <a:ln w="19050" cap="flat" cmpd="sng" algn="ctr">
          <a:solidFill>
            <a:schemeClr val="accent5"/>
          </a:solidFill>
          <a:prstDash val="solid"/>
          <a:round/>
          <a:headEnd type="none" w="med" len="med"/>
          <a:tailEnd type="arrow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  <xdr:twoCellAnchor>
    <xdr:from>
      <xdr:col>6</xdr:col>
      <xdr:colOff>19050</xdr:colOff>
      <xdr:row>8</xdr:row>
      <xdr:rowOff>152400</xdr:rowOff>
    </xdr:from>
    <xdr:to>
      <xdr:col>9</xdr:col>
      <xdr:colOff>19050</xdr:colOff>
      <xdr:row>8</xdr:row>
      <xdr:rowOff>171450</xdr:rowOff>
    </xdr:to>
    <xdr:cxnSp macro="">
      <xdr:nvCxnSpPr>
        <xdr:cNvPr id="15" name="Straight Arrow Connector 14">
          <a:extLst>
            <a:ext uri="{FF2B5EF4-FFF2-40B4-BE49-F238E27FC236}">
              <a16:creationId xmlns:a16="http://schemas.microsoft.com/office/drawing/2014/main" id="{48C0209F-91FB-4A3C-A98F-765E105F087C}"/>
            </a:ext>
          </a:extLst>
        </xdr:cNvPr>
        <xdr:cNvCxnSpPr/>
      </xdr:nvCxnSpPr>
      <xdr:spPr>
        <a:xfrm>
          <a:off x="6324600" y="3152775"/>
          <a:ext cx="4467225" cy="19050"/>
        </a:xfrm>
        <a:prstGeom prst="straightConnector1">
          <a:avLst/>
        </a:prstGeom>
        <a:ln w="19050" cap="flat" cmpd="sng" algn="ctr">
          <a:solidFill>
            <a:schemeClr val="accent5"/>
          </a:solidFill>
          <a:prstDash val="solid"/>
          <a:round/>
          <a:headEnd type="none" w="med" len="med"/>
          <a:tailEnd type="arrow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  <xdr:twoCellAnchor>
    <xdr:from>
      <xdr:col>6</xdr:col>
      <xdr:colOff>19050</xdr:colOff>
      <xdr:row>9</xdr:row>
      <xdr:rowOff>152400</xdr:rowOff>
    </xdr:from>
    <xdr:to>
      <xdr:col>9</xdr:col>
      <xdr:colOff>19050</xdr:colOff>
      <xdr:row>9</xdr:row>
      <xdr:rowOff>171450</xdr:rowOff>
    </xdr:to>
    <xdr:cxnSp macro="">
      <xdr:nvCxnSpPr>
        <xdr:cNvPr id="16" name="Straight Arrow Connector 15">
          <a:extLst>
            <a:ext uri="{FF2B5EF4-FFF2-40B4-BE49-F238E27FC236}">
              <a16:creationId xmlns:a16="http://schemas.microsoft.com/office/drawing/2014/main" id="{6D96B3B3-6ABA-4307-AA1E-4A721AE683DA}"/>
            </a:ext>
          </a:extLst>
        </xdr:cNvPr>
        <xdr:cNvCxnSpPr/>
      </xdr:nvCxnSpPr>
      <xdr:spPr>
        <a:xfrm>
          <a:off x="6324600" y="3448050"/>
          <a:ext cx="4467225" cy="19050"/>
        </a:xfrm>
        <a:prstGeom prst="straightConnector1">
          <a:avLst/>
        </a:prstGeom>
        <a:ln w="19050" cap="flat" cmpd="sng" algn="ctr">
          <a:solidFill>
            <a:schemeClr val="accent5"/>
          </a:solidFill>
          <a:prstDash val="solid"/>
          <a:round/>
          <a:headEnd type="none" w="med" len="med"/>
          <a:tailEnd type="arrow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  <xdr:twoCellAnchor>
    <xdr:from>
      <xdr:col>6</xdr:col>
      <xdr:colOff>0</xdr:colOff>
      <xdr:row>10</xdr:row>
      <xdr:rowOff>161925</xdr:rowOff>
    </xdr:from>
    <xdr:to>
      <xdr:col>9</xdr:col>
      <xdr:colOff>0</xdr:colOff>
      <xdr:row>10</xdr:row>
      <xdr:rowOff>180975</xdr:rowOff>
    </xdr:to>
    <xdr:cxnSp macro="">
      <xdr:nvCxnSpPr>
        <xdr:cNvPr id="17" name="Straight Arrow Connector 16">
          <a:extLst>
            <a:ext uri="{FF2B5EF4-FFF2-40B4-BE49-F238E27FC236}">
              <a16:creationId xmlns:a16="http://schemas.microsoft.com/office/drawing/2014/main" id="{2F8151C0-677F-4185-A782-878D8502A60C}"/>
            </a:ext>
          </a:extLst>
        </xdr:cNvPr>
        <xdr:cNvCxnSpPr/>
      </xdr:nvCxnSpPr>
      <xdr:spPr>
        <a:xfrm>
          <a:off x="6305550" y="3752850"/>
          <a:ext cx="4467225" cy="19050"/>
        </a:xfrm>
        <a:prstGeom prst="straightConnector1">
          <a:avLst/>
        </a:prstGeom>
        <a:ln w="19050" cap="flat" cmpd="sng" algn="ctr">
          <a:solidFill>
            <a:schemeClr val="accent5"/>
          </a:solidFill>
          <a:prstDash val="solid"/>
          <a:round/>
          <a:headEnd type="none" w="med" len="med"/>
          <a:tailEnd type="arrow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  <xdr:twoCellAnchor>
    <xdr:from>
      <xdr:col>6</xdr:col>
      <xdr:colOff>0</xdr:colOff>
      <xdr:row>11</xdr:row>
      <xdr:rowOff>142875</xdr:rowOff>
    </xdr:from>
    <xdr:to>
      <xdr:col>9</xdr:col>
      <xdr:colOff>0</xdr:colOff>
      <xdr:row>11</xdr:row>
      <xdr:rowOff>161925</xdr:rowOff>
    </xdr:to>
    <xdr:cxnSp macro="">
      <xdr:nvCxnSpPr>
        <xdr:cNvPr id="18" name="Straight Arrow Connector 17">
          <a:extLst>
            <a:ext uri="{FF2B5EF4-FFF2-40B4-BE49-F238E27FC236}">
              <a16:creationId xmlns:a16="http://schemas.microsoft.com/office/drawing/2014/main" id="{05069E19-6BBE-4C80-85E4-7D69C8BEBDB5}"/>
            </a:ext>
          </a:extLst>
        </xdr:cNvPr>
        <xdr:cNvCxnSpPr/>
      </xdr:nvCxnSpPr>
      <xdr:spPr>
        <a:xfrm>
          <a:off x="6305550" y="4029075"/>
          <a:ext cx="4467225" cy="19050"/>
        </a:xfrm>
        <a:prstGeom prst="straightConnector1">
          <a:avLst/>
        </a:prstGeom>
        <a:ln w="19050" cap="flat" cmpd="sng" algn="ctr">
          <a:solidFill>
            <a:schemeClr val="accent5"/>
          </a:solidFill>
          <a:prstDash val="solid"/>
          <a:round/>
          <a:headEnd type="none" w="med" len="med"/>
          <a:tailEnd type="arrow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2096433</xdr:colOff>
      <xdr:row>9</xdr:row>
      <xdr:rowOff>69104</xdr:rowOff>
    </xdr:from>
    <xdr:to>
      <xdr:col>13</xdr:col>
      <xdr:colOff>14941</xdr:colOff>
      <xdr:row>19</xdr:row>
      <xdr:rowOff>47066</xdr:rowOff>
    </xdr:to>
    <xdr:graphicFrame macro="">
      <xdr:nvGraphicFramePr>
        <xdr:cNvPr id="2" name="Biểu đồ 1">
          <a:extLst>
            <a:ext uri="{FF2B5EF4-FFF2-40B4-BE49-F238E27FC236}">
              <a16:creationId xmlns:a16="http://schemas.microsoft.com/office/drawing/2014/main" id="{188EE2E6-EDC1-C5B4-3C62-635F97FBDA5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D909C2-5CE1-442B-81E4-A54A74D7C6EC}">
  <dimension ref="A1:Q39"/>
  <sheetViews>
    <sheetView tabSelected="1" zoomScale="115" zoomScaleNormal="115" workbookViewId="0">
      <pane xSplit="4" ySplit="4" topLeftCell="E22" activePane="bottomRight" state="frozen"/>
      <selection pane="topRight" activeCell="E1" sqref="E1"/>
      <selection pane="bottomLeft" activeCell="A5" sqref="A5"/>
      <selection pane="bottomRight" activeCell="I37" sqref="I37"/>
    </sheetView>
  </sheetViews>
  <sheetFormatPr defaultColWidth="9" defaultRowHeight="15" x14ac:dyDescent="0.25"/>
  <cols>
    <col min="1" max="1" width="7" style="21" bestFit="1" customWidth="1"/>
    <col min="2" max="2" width="4.42578125" style="21" bestFit="1" customWidth="1"/>
    <col min="3" max="3" width="7.5703125" style="21" customWidth="1"/>
    <col min="4" max="4" width="4.42578125" style="21" customWidth="1"/>
    <col min="5" max="5" width="13.85546875" style="21" customWidth="1"/>
    <col min="6" max="6" width="12.42578125" style="21" hidden="1" customWidth="1"/>
    <col min="7" max="7" width="4.7109375" style="21" bestFit="1" customWidth="1"/>
    <col min="8" max="8" width="4.85546875" style="21" customWidth="1"/>
    <col min="9" max="9" width="22.28515625" style="28" customWidth="1"/>
    <col min="10" max="10" width="7.85546875" style="28" bestFit="1" customWidth="1"/>
    <col min="11" max="11" width="13.7109375" style="28" customWidth="1"/>
    <col min="12" max="12" width="7.85546875" style="28" bestFit="1" customWidth="1"/>
    <col min="13" max="13" width="8.42578125" style="28" bestFit="1" customWidth="1"/>
    <col min="14" max="14" width="31.28515625" style="28" customWidth="1"/>
    <col min="15" max="15" width="24" style="21" customWidth="1"/>
    <col min="16" max="16" width="20.140625" style="28" customWidth="1"/>
    <col min="17" max="17" width="22.28515625" style="28" bestFit="1" customWidth="1"/>
    <col min="18" max="16384" width="9" style="21"/>
  </cols>
  <sheetData>
    <row r="1" spans="1:17" ht="28.5" customHeight="1" x14ac:dyDescent="0.25">
      <c r="B1" s="85" t="s">
        <v>74</v>
      </c>
      <c r="C1" s="85"/>
      <c r="D1" s="85"/>
      <c r="E1" s="85"/>
      <c r="F1" s="85"/>
      <c r="G1" s="85"/>
      <c r="H1" s="85"/>
      <c r="I1" s="85"/>
      <c r="J1" s="85"/>
      <c r="K1" s="85"/>
      <c r="L1" s="85"/>
      <c r="M1" s="85"/>
      <c r="N1" s="85"/>
      <c r="O1" s="85"/>
      <c r="P1" s="85"/>
      <c r="Q1" s="21"/>
    </row>
    <row r="2" spans="1:17" s="2" customFormat="1" ht="15" customHeight="1" x14ac:dyDescent="0.25">
      <c r="A2" s="78" t="s">
        <v>18</v>
      </c>
      <c r="B2" s="78" t="s">
        <v>0</v>
      </c>
      <c r="C2" s="78" t="s">
        <v>5</v>
      </c>
      <c r="D2" s="78" t="s">
        <v>6</v>
      </c>
      <c r="E2" s="78" t="s">
        <v>7</v>
      </c>
      <c r="F2" s="11"/>
      <c r="G2" s="78" t="s">
        <v>8</v>
      </c>
      <c r="H2" s="78" t="s">
        <v>9</v>
      </c>
      <c r="I2" s="78" t="s">
        <v>10</v>
      </c>
      <c r="J2" s="86" t="s">
        <v>11</v>
      </c>
      <c r="K2" s="87"/>
      <c r="L2" s="87"/>
      <c r="M2" s="88"/>
      <c r="N2" s="15"/>
      <c r="O2" s="78" t="s">
        <v>75</v>
      </c>
      <c r="P2" s="78" t="s">
        <v>13</v>
      </c>
      <c r="Q2" s="78" t="s">
        <v>13</v>
      </c>
    </row>
    <row r="3" spans="1:17" s="2" customFormat="1" x14ac:dyDescent="0.25">
      <c r="A3" s="79"/>
      <c r="B3" s="79"/>
      <c r="C3" s="79"/>
      <c r="D3" s="79"/>
      <c r="E3" s="79"/>
      <c r="F3" s="12" t="s">
        <v>27</v>
      </c>
      <c r="G3" s="79"/>
      <c r="H3" s="79"/>
      <c r="I3" s="79"/>
      <c r="J3" s="81" t="s">
        <v>14</v>
      </c>
      <c r="K3" s="82"/>
      <c r="L3" s="83" t="s">
        <v>15</v>
      </c>
      <c r="M3" s="84"/>
      <c r="N3" s="14" t="s">
        <v>90</v>
      </c>
      <c r="O3" s="79"/>
      <c r="P3" s="79"/>
      <c r="Q3" s="79"/>
    </row>
    <row r="4" spans="1:17" s="4" customFormat="1" x14ac:dyDescent="0.25">
      <c r="A4" s="80"/>
      <c r="B4" s="80"/>
      <c r="C4" s="80"/>
      <c r="D4" s="80"/>
      <c r="E4" s="80"/>
      <c r="F4" s="13"/>
      <c r="G4" s="80"/>
      <c r="H4" s="80"/>
      <c r="I4" s="80"/>
      <c r="J4" s="3" t="s">
        <v>16</v>
      </c>
      <c r="K4" s="3" t="s">
        <v>17</v>
      </c>
      <c r="L4" s="3" t="s">
        <v>16</v>
      </c>
      <c r="M4" s="3" t="s">
        <v>17</v>
      </c>
      <c r="N4" s="5"/>
      <c r="O4" s="80"/>
      <c r="P4" s="80"/>
      <c r="Q4" s="80"/>
    </row>
    <row r="5" spans="1:17" ht="18" customHeight="1" x14ac:dyDescent="0.25">
      <c r="A5" s="40">
        <v>1</v>
      </c>
      <c r="B5" s="26">
        <v>1</v>
      </c>
      <c r="C5" s="26">
        <v>11590</v>
      </c>
      <c r="D5" s="26" t="s">
        <v>48</v>
      </c>
      <c r="E5" s="23" t="s">
        <v>76</v>
      </c>
      <c r="F5" s="23"/>
      <c r="G5" s="23">
        <v>2</v>
      </c>
      <c r="H5" s="23">
        <v>1</v>
      </c>
      <c r="I5" s="22" t="s">
        <v>82</v>
      </c>
      <c r="J5" s="22"/>
      <c r="K5" s="22">
        <v>3.4</v>
      </c>
      <c r="L5" s="22"/>
      <c r="M5" s="22">
        <v>3.63</v>
      </c>
      <c r="N5" s="22" t="s">
        <v>43</v>
      </c>
      <c r="O5" s="23"/>
      <c r="P5" s="22" t="s">
        <v>91</v>
      </c>
      <c r="Q5" s="22"/>
    </row>
    <row r="6" spans="1:17" ht="18" customHeight="1" x14ac:dyDescent="0.25">
      <c r="A6" s="40"/>
      <c r="B6" s="26">
        <v>2</v>
      </c>
      <c r="C6" s="26">
        <v>11553</v>
      </c>
      <c r="D6" s="26" t="s">
        <v>44</v>
      </c>
      <c r="E6" s="23" t="s">
        <v>77</v>
      </c>
      <c r="F6" s="23"/>
      <c r="G6" s="23">
        <v>1</v>
      </c>
      <c r="H6" s="23">
        <v>1</v>
      </c>
      <c r="I6" s="10" t="s">
        <v>83</v>
      </c>
      <c r="J6" s="22"/>
      <c r="K6" s="22">
        <v>0.01</v>
      </c>
      <c r="L6" s="22"/>
      <c r="M6" s="22">
        <v>0.02</v>
      </c>
      <c r="N6" s="22" t="s">
        <v>43</v>
      </c>
      <c r="O6" s="23"/>
      <c r="P6" s="22" t="s">
        <v>91</v>
      </c>
      <c r="Q6" s="22"/>
    </row>
    <row r="7" spans="1:17" ht="18" customHeight="1" x14ac:dyDescent="0.25">
      <c r="A7" s="40"/>
      <c r="B7" s="26">
        <v>3</v>
      </c>
      <c r="C7" s="26">
        <v>11553</v>
      </c>
      <c r="D7" s="26" t="s">
        <v>44</v>
      </c>
      <c r="E7" s="23" t="s">
        <v>78</v>
      </c>
      <c r="F7" s="23"/>
      <c r="G7" s="23">
        <v>1</v>
      </c>
      <c r="H7" s="23">
        <v>1</v>
      </c>
      <c r="I7" s="22" t="s">
        <v>84</v>
      </c>
      <c r="J7" s="22"/>
      <c r="K7" s="22">
        <v>1.9279999999999999</v>
      </c>
      <c r="L7" s="22"/>
      <c r="M7" s="22">
        <v>1.9350000000000001</v>
      </c>
      <c r="N7" s="22" t="s">
        <v>43</v>
      </c>
      <c r="O7" s="23"/>
      <c r="P7" s="22" t="s">
        <v>91</v>
      </c>
      <c r="Q7" s="22"/>
    </row>
    <row r="8" spans="1:17" x14ac:dyDescent="0.25">
      <c r="A8" s="24"/>
      <c r="B8" s="26">
        <v>4</v>
      </c>
      <c r="C8" s="26">
        <v>12244</v>
      </c>
      <c r="D8" s="26" t="s">
        <v>46</v>
      </c>
      <c r="E8" s="23" t="s">
        <v>79</v>
      </c>
      <c r="F8" s="23"/>
      <c r="G8" s="23">
        <v>1</v>
      </c>
      <c r="H8" s="23">
        <v>1</v>
      </c>
      <c r="I8" s="22">
        <v>2.0099999999999998</v>
      </c>
      <c r="J8" s="22"/>
      <c r="K8" s="22" t="s">
        <v>86</v>
      </c>
      <c r="L8" s="22"/>
      <c r="M8" s="22" t="s">
        <v>87</v>
      </c>
      <c r="N8" s="22" t="s">
        <v>43</v>
      </c>
      <c r="O8" s="23"/>
      <c r="P8" s="22" t="s">
        <v>91</v>
      </c>
      <c r="Q8" s="22"/>
    </row>
    <row r="9" spans="1:17" x14ac:dyDescent="0.25">
      <c r="A9" s="24"/>
      <c r="B9" s="26">
        <v>5</v>
      </c>
      <c r="C9" s="26">
        <v>11215</v>
      </c>
      <c r="D9" s="26" t="s">
        <v>40</v>
      </c>
      <c r="E9" s="23" t="s">
        <v>80</v>
      </c>
      <c r="F9" s="23"/>
      <c r="G9" s="23">
        <v>1</v>
      </c>
      <c r="H9" s="23">
        <v>3</v>
      </c>
      <c r="I9" s="22" t="s">
        <v>85</v>
      </c>
      <c r="J9" s="22"/>
      <c r="K9" s="22">
        <v>2.8519999999999999</v>
      </c>
      <c r="L9" s="22"/>
      <c r="M9" s="22">
        <v>2.8</v>
      </c>
      <c r="N9" s="22" t="s">
        <v>43</v>
      </c>
      <c r="O9" s="23"/>
      <c r="P9" s="22" t="s">
        <v>91</v>
      </c>
      <c r="Q9" s="22"/>
    </row>
    <row r="10" spans="1:17" x14ac:dyDescent="0.25">
      <c r="A10" s="24"/>
      <c r="B10" s="26">
        <v>6</v>
      </c>
      <c r="C10" s="26">
        <v>12409</v>
      </c>
      <c r="D10" s="26" t="s">
        <v>38</v>
      </c>
      <c r="E10" s="23">
        <v>6305070027</v>
      </c>
      <c r="F10" s="23"/>
      <c r="G10" s="23">
        <v>1</v>
      </c>
      <c r="H10" s="23">
        <v>1</v>
      </c>
      <c r="I10" s="10" t="s">
        <v>83</v>
      </c>
      <c r="J10" s="22"/>
      <c r="K10" s="22">
        <v>0.01</v>
      </c>
      <c r="L10" s="22"/>
      <c r="M10" s="22">
        <v>0.02</v>
      </c>
      <c r="N10" s="22" t="s">
        <v>43</v>
      </c>
      <c r="O10" s="23"/>
      <c r="P10" s="22" t="s">
        <v>91</v>
      </c>
      <c r="Q10" s="22"/>
    </row>
    <row r="11" spans="1:17" x14ac:dyDescent="0.25">
      <c r="A11" s="24"/>
      <c r="B11" s="26">
        <v>7</v>
      </c>
      <c r="C11" s="26">
        <v>11589</v>
      </c>
      <c r="D11" s="26" t="s">
        <v>38</v>
      </c>
      <c r="E11" s="23" t="s">
        <v>81</v>
      </c>
      <c r="F11" s="23"/>
      <c r="G11" s="23">
        <v>1</v>
      </c>
      <c r="H11" s="23">
        <v>1</v>
      </c>
      <c r="I11" s="73">
        <v>11</v>
      </c>
      <c r="J11" s="22"/>
      <c r="K11" s="22" t="s">
        <v>88</v>
      </c>
      <c r="L11" s="22"/>
      <c r="M11" s="22" t="s">
        <v>89</v>
      </c>
      <c r="N11" s="22" t="s">
        <v>43</v>
      </c>
      <c r="O11" s="23"/>
      <c r="P11" s="22" t="s">
        <v>91</v>
      </c>
      <c r="Q11" s="22"/>
    </row>
    <row r="12" spans="1:17" x14ac:dyDescent="0.25">
      <c r="A12" s="40">
        <v>2</v>
      </c>
      <c r="B12" s="26">
        <v>1</v>
      </c>
      <c r="C12" s="26">
        <v>12244</v>
      </c>
      <c r="D12" s="26" t="s">
        <v>46</v>
      </c>
      <c r="E12" s="23" t="s">
        <v>93</v>
      </c>
      <c r="F12" s="23"/>
      <c r="G12" s="23">
        <v>6</v>
      </c>
      <c r="H12" s="23">
        <v>1</v>
      </c>
      <c r="I12" s="22" t="s">
        <v>98</v>
      </c>
      <c r="J12" s="22"/>
      <c r="K12" s="22"/>
      <c r="L12" s="22"/>
      <c r="M12" s="22"/>
      <c r="N12" s="22" t="s">
        <v>47</v>
      </c>
      <c r="O12" s="23" t="s">
        <v>99</v>
      </c>
      <c r="P12" s="22" t="s">
        <v>91</v>
      </c>
      <c r="Q12" s="22"/>
    </row>
    <row r="13" spans="1:17" x14ac:dyDescent="0.25">
      <c r="A13" s="24"/>
      <c r="B13" s="26">
        <v>2</v>
      </c>
      <c r="C13" s="26">
        <v>11812</v>
      </c>
      <c r="D13" s="26" t="s">
        <v>40</v>
      </c>
      <c r="E13" s="23" t="s">
        <v>94</v>
      </c>
      <c r="F13" s="23"/>
      <c r="G13" s="23">
        <v>3</v>
      </c>
      <c r="H13" s="23">
        <v>1</v>
      </c>
      <c r="I13" s="22">
        <v>36.5</v>
      </c>
      <c r="J13" s="22"/>
      <c r="K13" s="22">
        <v>36.505000000000003</v>
      </c>
      <c r="L13" s="22"/>
      <c r="M13" s="22">
        <v>36.700000000000003</v>
      </c>
      <c r="N13" s="22" t="s">
        <v>43</v>
      </c>
      <c r="O13" s="23"/>
      <c r="P13" s="22" t="s">
        <v>91</v>
      </c>
      <c r="Q13" s="22"/>
    </row>
    <row r="14" spans="1:17" x14ac:dyDescent="0.25">
      <c r="A14" s="24"/>
      <c r="B14" s="26">
        <v>3</v>
      </c>
      <c r="C14" s="26">
        <v>11517</v>
      </c>
      <c r="D14" s="26" t="s">
        <v>42</v>
      </c>
      <c r="E14" s="23" t="s">
        <v>95</v>
      </c>
      <c r="F14" s="23"/>
      <c r="G14" s="23">
        <v>3</v>
      </c>
      <c r="H14" s="23">
        <v>2</v>
      </c>
      <c r="I14" s="22" t="s">
        <v>100</v>
      </c>
      <c r="J14" s="22"/>
      <c r="K14" s="22">
        <v>14.95</v>
      </c>
      <c r="L14" s="22"/>
      <c r="M14" s="22">
        <v>14.914</v>
      </c>
      <c r="N14" s="22" t="s">
        <v>43</v>
      </c>
      <c r="O14" s="23"/>
      <c r="P14" s="22" t="s">
        <v>91</v>
      </c>
      <c r="Q14" s="22"/>
    </row>
    <row r="15" spans="1:17" x14ac:dyDescent="0.25">
      <c r="A15" s="24"/>
      <c r="B15" s="26">
        <v>4</v>
      </c>
      <c r="C15" s="26">
        <v>10475</v>
      </c>
      <c r="D15" s="26" t="s">
        <v>45</v>
      </c>
      <c r="E15" s="23" t="s">
        <v>96</v>
      </c>
      <c r="F15" s="23"/>
      <c r="G15" s="23">
        <v>1</v>
      </c>
      <c r="H15" s="23">
        <v>2</v>
      </c>
      <c r="I15" s="10" t="s">
        <v>49</v>
      </c>
      <c r="J15" s="22"/>
      <c r="K15" s="22">
        <v>0.02</v>
      </c>
      <c r="L15" s="22"/>
      <c r="M15" s="22">
        <v>3.6999999999999998E-2</v>
      </c>
      <c r="N15" s="22" t="s">
        <v>43</v>
      </c>
      <c r="O15" s="23" t="s">
        <v>99</v>
      </c>
      <c r="P15" s="22" t="s">
        <v>91</v>
      </c>
      <c r="Q15" s="22"/>
    </row>
    <row r="16" spans="1:17" x14ac:dyDescent="0.25">
      <c r="A16" s="24"/>
      <c r="B16" s="26">
        <v>5</v>
      </c>
      <c r="C16" s="26">
        <v>11550</v>
      </c>
      <c r="D16" s="26" t="s">
        <v>39</v>
      </c>
      <c r="E16" s="23" t="s">
        <v>97</v>
      </c>
      <c r="F16" s="23"/>
      <c r="G16" s="23">
        <v>5</v>
      </c>
      <c r="H16" s="23">
        <v>2</v>
      </c>
      <c r="I16" s="22"/>
      <c r="J16" s="22"/>
      <c r="K16" s="22"/>
      <c r="L16" s="22"/>
      <c r="M16" s="22"/>
      <c r="N16" s="22" t="s">
        <v>47</v>
      </c>
      <c r="O16" s="23"/>
      <c r="P16" s="22" t="s">
        <v>91</v>
      </c>
      <c r="Q16" s="22"/>
    </row>
    <row r="17" spans="1:17" x14ac:dyDescent="0.25">
      <c r="A17" s="24"/>
      <c r="B17" s="26">
        <v>6</v>
      </c>
      <c r="C17" s="26">
        <v>11802</v>
      </c>
      <c r="D17" s="26" t="s">
        <v>41</v>
      </c>
      <c r="E17" s="25">
        <v>6236010039</v>
      </c>
      <c r="F17" s="23"/>
      <c r="G17" s="23">
        <v>1</v>
      </c>
      <c r="H17" s="23">
        <v>24</v>
      </c>
      <c r="I17" s="22" t="s">
        <v>92</v>
      </c>
      <c r="J17" s="22"/>
      <c r="K17" s="22">
        <v>5.0149999999999997</v>
      </c>
      <c r="L17" s="22"/>
      <c r="M17" s="22">
        <v>5.0250000000000004</v>
      </c>
      <c r="N17" s="22" t="s">
        <v>43</v>
      </c>
      <c r="O17" s="23"/>
      <c r="P17" s="22" t="s">
        <v>101</v>
      </c>
      <c r="Q17" s="22"/>
    </row>
    <row r="18" spans="1:17" x14ac:dyDescent="0.25">
      <c r="A18" s="24"/>
      <c r="B18" s="26">
        <v>7</v>
      </c>
      <c r="C18" s="26">
        <v>12244</v>
      </c>
      <c r="D18" s="26" t="s">
        <v>46</v>
      </c>
      <c r="E18" s="23" t="s">
        <v>103</v>
      </c>
      <c r="F18" s="23"/>
      <c r="G18" s="23">
        <v>1</v>
      </c>
      <c r="H18" s="23">
        <v>5</v>
      </c>
      <c r="I18" s="22" t="s">
        <v>104</v>
      </c>
      <c r="J18" s="22"/>
      <c r="K18" s="22">
        <v>2.5750000000000002</v>
      </c>
      <c r="L18" s="22"/>
      <c r="M18" s="73">
        <v>2.58</v>
      </c>
      <c r="N18" s="22" t="s">
        <v>43</v>
      </c>
      <c r="O18" s="23" t="s">
        <v>102</v>
      </c>
      <c r="P18" s="22" t="s">
        <v>91</v>
      </c>
      <c r="Q18" s="22"/>
    </row>
    <row r="19" spans="1:17" x14ac:dyDescent="0.25">
      <c r="A19" s="24"/>
      <c r="B19" s="26">
        <v>8</v>
      </c>
      <c r="C19" s="26">
        <v>11723</v>
      </c>
      <c r="D19" s="26" t="s">
        <v>40</v>
      </c>
      <c r="E19" s="23" t="s">
        <v>105</v>
      </c>
      <c r="F19" s="23"/>
      <c r="G19" s="23">
        <v>8</v>
      </c>
      <c r="H19" s="23">
        <v>1</v>
      </c>
      <c r="I19" s="22" t="s">
        <v>106</v>
      </c>
      <c r="J19" s="22"/>
      <c r="K19" s="22">
        <v>11.98</v>
      </c>
      <c r="L19" s="22"/>
      <c r="M19" s="22">
        <v>11.977</v>
      </c>
      <c r="N19" s="22" t="s">
        <v>43</v>
      </c>
      <c r="O19" s="23" t="s">
        <v>107</v>
      </c>
      <c r="P19" s="22" t="s">
        <v>101</v>
      </c>
      <c r="Q19" s="22"/>
    </row>
    <row r="20" spans="1:17" x14ac:dyDescent="0.25">
      <c r="A20" s="24"/>
      <c r="B20" s="26">
        <v>9</v>
      </c>
      <c r="C20" s="26">
        <v>11124</v>
      </c>
      <c r="D20" s="26" t="s">
        <v>39</v>
      </c>
      <c r="E20" s="23" t="s">
        <v>108</v>
      </c>
      <c r="F20" s="23"/>
      <c r="G20" s="23">
        <v>1</v>
      </c>
      <c r="H20" s="23">
        <v>1</v>
      </c>
      <c r="I20" s="22" t="s">
        <v>109</v>
      </c>
      <c r="J20" s="22"/>
      <c r="K20" s="22"/>
      <c r="L20" s="22"/>
      <c r="M20" s="22">
        <v>0.05</v>
      </c>
      <c r="N20" s="22" t="s">
        <v>43</v>
      </c>
      <c r="O20" s="23" t="s">
        <v>110</v>
      </c>
      <c r="P20" s="22" t="s">
        <v>91</v>
      </c>
      <c r="Q20" s="22"/>
    </row>
    <row r="21" spans="1:17" x14ac:dyDescent="0.25">
      <c r="A21" s="24"/>
      <c r="B21" s="26">
        <v>10</v>
      </c>
      <c r="C21" s="26">
        <v>11812</v>
      </c>
      <c r="D21" s="26" t="s">
        <v>40</v>
      </c>
      <c r="E21" s="23" t="s">
        <v>111</v>
      </c>
      <c r="F21" s="23"/>
      <c r="G21" s="23">
        <v>1</v>
      </c>
      <c r="H21" s="23">
        <v>4</v>
      </c>
      <c r="I21" s="22" t="s">
        <v>112</v>
      </c>
      <c r="J21" s="22"/>
      <c r="K21" s="22"/>
      <c r="L21" s="22"/>
      <c r="M21" s="73">
        <v>1.31</v>
      </c>
      <c r="N21" s="22" t="s">
        <v>43</v>
      </c>
      <c r="O21" s="23" t="s">
        <v>113</v>
      </c>
      <c r="P21" s="22" t="s">
        <v>91</v>
      </c>
      <c r="Q21" s="22"/>
    </row>
    <row r="22" spans="1:17" x14ac:dyDescent="0.25">
      <c r="A22" s="76">
        <v>3</v>
      </c>
      <c r="B22" s="26">
        <v>1</v>
      </c>
      <c r="C22" s="26">
        <v>12900</v>
      </c>
      <c r="D22" s="26" t="s">
        <v>46</v>
      </c>
      <c r="E22" s="23" t="s">
        <v>114</v>
      </c>
      <c r="F22" s="23"/>
      <c r="G22" s="23">
        <v>1</v>
      </c>
      <c r="H22" s="23">
        <v>1</v>
      </c>
      <c r="I22" s="22" t="s">
        <v>115</v>
      </c>
      <c r="J22" s="22"/>
      <c r="K22" s="22">
        <v>14.4</v>
      </c>
      <c r="L22" s="22"/>
      <c r="M22" s="22">
        <v>14.367000000000001</v>
      </c>
      <c r="N22" s="22" t="s">
        <v>43</v>
      </c>
      <c r="O22" s="23" t="s">
        <v>116</v>
      </c>
      <c r="P22" s="22" t="s">
        <v>91</v>
      </c>
      <c r="Q22" s="22"/>
    </row>
    <row r="23" spans="1:17" x14ac:dyDescent="0.25">
      <c r="A23" s="24"/>
      <c r="B23" s="26">
        <v>2</v>
      </c>
      <c r="C23" s="26">
        <v>11852</v>
      </c>
      <c r="D23" s="26" t="s">
        <v>39</v>
      </c>
      <c r="E23" s="23" t="s">
        <v>117</v>
      </c>
      <c r="F23" s="23"/>
      <c r="G23" s="23">
        <v>34</v>
      </c>
      <c r="H23" s="23">
        <v>2</v>
      </c>
      <c r="I23" s="22" t="s">
        <v>118</v>
      </c>
      <c r="J23" s="22"/>
      <c r="K23" s="22" t="s">
        <v>119</v>
      </c>
      <c r="L23" s="22"/>
      <c r="M23" s="22" t="s">
        <v>120</v>
      </c>
      <c r="N23" s="22" t="s">
        <v>43</v>
      </c>
      <c r="O23" s="23" t="s">
        <v>121</v>
      </c>
      <c r="P23" s="22" t="s">
        <v>91</v>
      </c>
      <c r="Q23" s="22"/>
    </row>
    <row r="24" spans="1:17" x14ac:dyDescent="0.25">
      <c r="A24" s="24"/>
      <c r="B24" s="26">
        <v>3</v>
      </c>
      <c r="C24" s="26">
        <v>11869</v>
      </c>
      <c r="D24" s="26" t="s">
        <v>44</v>
      </c>
      <c r="E24" s="23" t="s">
        <v>122</v>
      </c>
      <c r="F24" s="23"/>
      <c r="G24" s="23">
        <v>1</v>
      </c>
      <c r="H24" s="23">
        <v>1</v>
      </c>
      <c r="I24" s="22" t="s">
        <v>123</v>
      </c>
      <c r="J24" s="22"/>
      <c r="K24" s="22">
        <v>33.58</v>
      </c>
      <c r="L24" s="22"/>
      <c r="M24" s="74">
        <v>33.588799999999999</v>
      </c>
      <c r="N24" s="22" t="s">
        <v>43</v>
      </c>
      <c r="O24" s="23" t="s">
        <v>126</v>
      </c>
      <c r="P24" s="22" t="s">
        <v>91</v>
      </c>
      <c r="Q24" s="22"/>
    </row>
    <row r="25" spans="1:17" x14ac:dyDescent="0.25">
      <c r="A25" s="24"/>
      <c r="B25" s="26">
        <v>4</v>
      </c>
      <c r="C25" s="26">
        <v>11553</v>
      </c>
      <c r="D25" s="26" t="s">
        <v>44</v>
      </c>
      <c r="E25" s="23" t="s">
        <v>124</v>
      </c>
      <c r="F25" s="23"/>
      <c r="G25" s="23">
        <v>1</v>
      </c>
      <c r="H25" s="23">
        <v>1</v>
      </c>
      <c r="I25" s="22" t="s">
        <v>125</v>
      </c>
      <c r="J25" s="22"/>
      <c r="K25" s="22">
        <v>13.01</v>
      </c>
      <c r="L25" s="22"/>
      <c r="M25" s="22">
        <v>12.98</v>
      </c>
      <c r="N25" s="22" t="s">
        <v>43</v>
      </c>
      <c r="O25" s="23" t="s">
        <v>130</v>
      </c>
      <c r="P25" s="22" t="s">
        <v>136</v>
      </c>
      <c r="Q25" s="22"/>
    </row>
    <row r="26" spans="1:17" x14ac:dyDescent="0.25">
      <c r="A26" s="24"/>
      <c r="B26" s="26">
        <v>5</v>
      </c>
      <c r="C26" s="26">
        <v>12680</v>
      </c>
      <c r="D26" s="26" t="s">
        <v>48</v>
      </c>
      <c r="E26" s="23" t="s">
        <v>127</v>
      </c>
      <c r="F26" s="23"/>
      <c r="G26" s="23">
        <v>1</v>
      </c>
      <c r="H26" s="23">
        <v>4</v>
      </c>
      <c r="I26" s="22" t="s">
        <v>128</v>
      </c>
      <c r="J26" s="22"/>
      <c r="K26" s="22"/>
      <c r="L26" s="22"/>
      <c r="M26" s="75"/>
      <c r="N26" s="22" t="s">
        <v>129</v>
      </c>
      <c r="O26" s="23" t="s">
        <v>131</v>
      </c>
      <c r="P26" s="22" t="s">
        <v>132</v>
      </c>
      <c r="Q26" s="22"/>
    </row>
    <row r="27" spans="1:17" x14ac:dyDescent="0.25">
      <c r="A27" s="24"/>
      <c r="B27" s="26">
        <v>6</v>
      </c>
      <c r="C27" s="26">
        <v>11547</v>
      </c>
      <c r="D27" s="26" t="s">
        <v>41</v>
      </c>
      <c r="E27" s="23" t="s">
        <v>133</v>
      </c>
      <c r="F27" s="23"/>
      <c r="G27" s="23">
        <v>1</v>
      </c>
      <c r="H27" s="23">
        <v>3</v>
      </c>
      <c r="I27" s="22" t="s">
        <v>134</v>
      </c>
      <c r="J27" s="22"/>
      <c r="K27" s="22">
        <v>136.01</v>
      </c>
      <c r="L27" s="22"/>
      <c r="M27" s="73">
        <v>135.976</v>
      </c>
      <c r="N27" s="22" t="s">
        <v>43</v>
      </c>
      <c r="O27" s="23" t="s">
        <v>135</v>
      </c>
      <c r="P27" s="22" t="s">
        <v>101</v>
      </c>
      <c r="Q27" s="22"/>
    </row>
    <row r="28" spans="1:17" x14ac:dyDescent="0.25">
      <c r="A28" s="24"/>
      <c r="B28" s="26">
        <v>7</v>
      </c>
      <c r="C28" s="26">
        <v>12283</v>
      </c>
      <c r="D28" s="26" t="s">
        <v>48</v>
      </c>
      <c r="E28" s="23" t="s">
        <v>137</v>
      </c>
      <c r="F28" s="23"/>
      <c r="G28" s="23">
        <v>1</v>
      </c>
      <c r="H28" s="23">
        <v>1</v>
      </c>
      <c r="I28" s="22" t="s">
        <v>141</v>
      </c>
      <c r="J28" s="22"/>
      <c r="K28" s="22">
        <v>7.4249999999999998</v>
      </c>
      <c r="L28" s="22"/>
      <c r="M28" s="22">
        <v>7.4020000000000001</v>
      </c>
      <c r="N28" s="22" t="s">
        <v>43</v>
      </c>
      <c r="O28" s="23" t="s">
        <v>138</v>
      </c>
      <c r="P28" s="22" t="s">
        <v>143</v>
      </c>
      <c r="Q28" s="22"/>
    </row>
    <row r="29" spans="1:17" x14ac:dyDescent="0.25">
      <c r="A29" s="24"/>
      <c r="B29" s="26">
        <v>8</v>
      </c>
      <c r="C29" s="26">
        <v>11390</v>
      </c>
      <c r="D29" s="26" t="s">
        <v>40</v>
      </c>
      <c r="E29" s="23" t="s">
        <v>142</v>
      </c>
      <c r="F29" s="23"/>
      <c r="G29" s="23">
        <v>1</v>
      </c>
      <c r="H29" s="23">
        <v>1</v>
      </c>
      <c r="I29" s="77" t="s">
        <v>140</v>
      </c>
      <c r="J29" s="22"/>
      <c r="K29" s="22">
        <v>1.905</v>
      </c>
      <c r="L29" s="22"/>
      <c r="M29" s="22">
        <v>1.9350000000000001</v>
      </c>
      <c r="N29" s="22" t="s">
        <v>43</v>
      </c>
      <c r="O29" s="23" t="s">
        <v>139</v>
      </c>
      <c r="P29" s="22" t="s">
        <v>143</v>
      </c>
      <c r="Q29" s="22"/>
    </row>
    <row r="30" spans="1:17" x14ac:dyDescent="0.25">
      <c r="A30" s="24"/>
      <c r="B30" s="26">
        <v>9</v>
      </c>
      <c r="C30" s="26">
        <v>11538</v>
      </c>
      <c r="D30" s="26" t="s">
        <v>40</v>
      </c>
      <c r="E30" s="23" t="s">
        <v>144</v>
      </c>
      <c r="F30" s="23"/>
      <c r="G30" s="23">
        <v>1</v>
      </c>
      <c r="H30" s="23">
        <v>1</v>
      </c>
      <c r="I30" s="77" t="s">
        <v>145</v>
      </c>
      <c r="J30" s="22"/>
      <c r="K30" s="22">
        <v>36.5</v>
      </c>
      <c r="L30" s="22"/>
      <c r="M30" s="22">
        <v>36.463999999999999</v>
      </c>
      <c r="N30" s="22" t="s">
        <v>43</v>
      </c>
      <c r="O30" s="23" t="s">
        <v>146</v>
      </c>
      <c r="P30" s="22" t="s">
        <v>147</v>
      </c>
      <c r="Q30" s="22"/>
    </row>
    <row r="31" spans="1:17" x14ac:dyDescent="0.25">
      <c r="A31" s="95">
        <v>4</v>
      </c>
      <c r="B31" s="26">
        <v>1</v>
      </c>
      <c r="C31" s="26">
        <v>51964</v>
      </c>
      <c r="D31" s="26" t="s">
        <v>148</v>
      </c>
      <c r="E31" s="23" t="s">
        <v>149</v>
      </c>
      <c r="F31" s="23"/>
      <c r="G31" s="23">
        <v>1</v>
      </c>
      <c r="H31" s="23">
        <v>1</v>
      </c>
      <c r="I31" s="77" t="s">
        <v>150</v>
      </c>
      <c r="J31" s="22"/>
      <c r="K31" s="22">
        <v>1E-3</v>
      </c>
      <c r="L31" s="22"/>
      <c r="M31" s="22">
        <v>2.4E-2</v>
      </c>
      <c r="N31" s="22" t="s">
        <v>43</v>
      </c>
      <c r="O31" s="23" t="s">
        <v>151</v>
      </c>
      <c r="P31" s="22" t="s">
        <v>152</v>
      </c>
      <c r="Q31" s="22"/>
    </row>
    <row r="32" spans="1:17" x14ac:dyDescent="0.25">
      <c r="A32" s="24"/>
      <c r="B32" s="26">
        <v>2</v>
      </c>
      <c r="C32" s="26">
        <v>10652</v>
      </c>
      <c r="D32" s="26" t="s">
        <v>40</v>
      </c>
      <c r="E32" s="23" t="s">
        <v>153</v>
      </c>
      <c r="F32" s="23"/>
      <c r="G32" s="23">
        <v>3</v>
      </c>
      <c r="H32" s="23">
        <v>4</v>
      </c>
      <c r="I32" s="77" t="s">
        <v>154</v>
      </c>
      <c r="J32" s="22"/>
      <c r="K32" s="22"/>
      <c r="L32" s="22"/>
      <c r="M32" s="22">
        <v>0.86499999999999999</v>
      </c>
      <c r="N32" s="22" t="s">
        <v>43</v>
      </c>
      <c r="O32" s="23" t="s">
        <v>155</v>
      </c>
      <c r="P32" s="22" t="s">
        <v>101</v>
      </c>
      <c r="Q32" s="22"/>
    </row>
    <row r="33" spans="1:17" x14ac:dyDescent="0.25">
      <c r="A33" s="24"/>
      <c r="B33" s="26">
        <v>3</v>
      </c>
      <c r="C33" s="26">
        <v>12290</v>
      </c>
      <c r="D33" s="26" t="s">
        <v>38</v>
      </c>
      <c r="E33" s="23" t="s">
        <v>156</v>
      </c>
      <c r="F33" s="23"/>
      <c r="G33" s="23">
        <v>1</v>
      </c>
      <c r="H33" s="23">
        <v>1</v>
      </c>
      <c r="I33" s="73" t="s">
        <v>157</v>
      </c>
      <c r="J33" s="22"/>
      <c r="K33" s="22">
        <v>1.212</v>
      </c>
      <c r="L33" s="22"/>
      <c r="M33" s="22">
        <v>1.2210000000000001</v>
      </c>
      <c r="N33" s="22" t="s">
        <v>43</v>
      </c>
      <c r="O33" s="23" t="s">
        <v>158</v>
      </c>
      <c r="P33" s="22" t="s">
        <v>152</v>
      </c>
      <c r="Q33" s="22"/>
    </row>
    <row r="34" spans="1:17" x14ac:dyDescent="0.25">
      <c r="A34" s="24"/>
      <c r="B34" s="26"/>
      <c r="C34" s="26"/>
      <c r="D34" s="26"/>
      <c r="E34" s="23"/>
      <c r="F34" s="23"/>
      <c r="G34" s="23"/>
      <c r="H34" s="23"/>
      <c r="I34" s="77"/>
      <c r="J34" s="22"/>
      <c r="K34" s="22"/>
      <c r="L34" s="22"/>
      <c r="M34" s="22"/>
      <c r="N34" s="22"/>
      <c r="O34" s="23"/>
      <c r="P34" s="22"/>
      <c r="Q34" s="22"/>
    </row>
    <row r="35" spans="1:17" x14ac:dyDescent="0.25">
      <c r="A35" s="24"/>
      <c r="B35" s="26"/>
      <c r="C35" s="26"/>
      <c r="D35" s="26"/>
      <c r="E35" s="23"/>
      <c r="F35" s="23"/>
      <c r="G35" s="23"/>
      <c r="H35" s="23"/>
      <c r="I35" s="77"/>
      <c r="J35" s="22"/>
      <c r="K35" s="22"/>
      <c r="L35" s="22"/>
      <c r="M35" s="22"/>
      <c r="N35" s="22"/>
      <c r="O35" s="23"/>
      <c r="P35" s="22"/>
      <c r="Q35" s="22"/>
    </row>
    <row r="36" spans="1:17" x14ac:dyDescent="0.25">
      <c r="A36" s="24"/>
      <c r="B36" s="26"/>
      <c r="C36" s="26"/>
      <c r="D36" s="26"/>
      <c r="E36" s="23"/>
      <c r="F36" s="23"/>
      <c r="G36" s="23"/>
      <c r="H36" s="23"/>
      <c r="I36" s="77"/>
      <c r="J36" s="22"/>
      <c r="K36" s="22"/>
      <c r="L36" s="22"/>
      <c r="M36" s="22"/>
      <c r="N36" s="22"/>
      <c r="O36" s="23"/>
      <c r="P36" s="22"/>
      <c r="Q36" s="22"/>
    </row>
    <row r="37" spans="1:17" x14ac:dyDescent="0.25">
      <c r="A37" s="24"/>
      <c r="B37" s="26"/>
      <c r="C37" s="26"/>
      <c r="D37" s="26"/>
      <c r="E37" s="23"/>
      <c r="F37" s="23"/>
      <c r="G37" s="23"/>
      <c r="H37" s="23"/>
      <c r="I37" s="77"/>
      <c r="J37" s="22"/>
      <c r="K37" s="22"/>
      <c r="L37" s="22"/>
      <c r="M37" s="22"/>
      <c r="N37" s="22"/>
      <c r="O37" s="23"/>
      <c r="P37" s="22"/>
      <c r="Q37" s="22"/>
    </row>
    <row r="38" spans="1:17" x14ac:dyDescent="0.25">
      <c r="A38" s="24"/>
      <c r="B38" s="26"/>
      <c r="C38" s="26"/>
      <c r="D38" s="26"/>
      <c r="E38" s="23"/>
      <c r="F38" s="23"/>
      <c r="G38" s="23"/>
      <c r="H38" s="23"/>
      <c r="I38" s="77"/>
      <c r="J38" s="22"/>
      <c r="K38" s="22"/>
      <c r="L38" s="22"/>
      <c r="M38" s="22"/>
      <c r="N38" s="22"/>
      <c r="O38" s="23"/>
      <c r="P38" s="22"/>
      <c r="Q38" s="22"/>
    </row>
    <row r="39" spans="1:17" x14ac:dyDescent="0.25">
      <c r="A39" s="24"/>
      <c r="B39" s="26"/>
      <c r="C39" s="26"/>
      <c r="D39" s="26"/>
      <c r="E39" s="23"/>
      <c r="F39" s="23"/>
      <c r="G39" s="23"/>
      <c r="H39" s="23"/>
      <c r="I39" s="77"/>
      <c r="J39" s="22"/>
      <c r="K39" s="22"/>
      <c r="L39" s="22"/>
      <c r="M39" s="22"/>
      <c r="N39" s="22"/>
      <c r="O39" s="23"/>
      <c r="P39" s="22"/>
      <c r="Q39" s="22"/>
    </row>
  </sheetData>
  <autoFilter ref="A4:Q4" xr:uid="{E38522E0-C1A0-4F0E-A4CC-8BD43AF85B36}"/>
  <mergeCells count="15">
    <mergeCell ref="Q2:Q4"/>
    <mergeCell ref="J3:K3"/>
    <mergeCell ref="L3:M3"/>
    <mergeCell ref="B1:P1"/>
    <mergeCell ref="A2:A4"/>
    <mergeCell ref="B2:B4"/>
    <mergeCell ref="C2:C4"/>
    <mergeCell ref="D2:D4"/>
    <mergeCell ref="E2:E4"/>
    <mergeCell ref="G2:G4"/>
    <mergeCell ref="H2:H4"/>
    <mergeCell ref="I2:I4"/>
    <mergeCell ref="J2:M2"/>
    <mergeCell ref="O2:O4"/>
    <mergeCell ref="P2:P4"/>
  </mergeCells>
  <phoneticPr fontId="6" type="noConversion"/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D17015-B37A-4F3F-B233-6B75794AFFF3}">
  <dimension ref="A1:R164"/>
  <sheetViews>
    <sheetView zoomScale="115" zoomScaleNormal="115" workbookViewId="0">
      <pane xSplit="4" ySplit="4" topLeftCell="E5" activePane="bottomRight" state="frozen"/>
      <selection pane="topRight" activeCell="E1" sqref="E1"/>
      <selection pane="bottomLeft" activeCell="A5" sqref="A5"/>
      <selection pane="bottomRight" activeCell="N20" sqref="N20"/>
    </sheetView>
  </sheetViews>
  <sheetFormatPr defaultColWidth="9" defaultRowHeight="15" x14ac:dyDescent="0.25"/>
  <cols>
    <col min="1" max="1" width="7" style="21" bestFit="1" customWidth="1"/>
    <col min="2" max="2" width="4.42578125" style="21" bestFit="1" customWidth="1"/>
    <col min="3" max="3" width="9.42578125" style="21" bestFit="1" customWidth="1"/>
    <col min="4" max="4" width="3.7109375" style="21" bestFit="1" customWidth="1"/>
    <col min="5" max="5" width="12" style="21" bestFit="1" customWidth="1"/>
    <col min="6" max="6" width="12.42578125" style="21" hidden="1" customWidth="1"/>
    <col min="7" max="7" width="4.7109375" style="21" bestFit="1" customWidth="1"/>
    <col min="8" max="8" width="3.140625" style="21" bestFit="1" customWidth="1"/>
    <col min="9" max="9" width="12.42578125" style="28" bestFit="1" customWidth="1"/>
    <col min="10" max="10" width="7.85546875" style="28" bestFit="1" customWidth="1"/>
    <col min="11" max="11" width="8.42578125" style="28" bestFit="1" customWidth="1"/>
    <col min="12" max="12" width="7.85546875" style="28" bestFit="1" customWidth="1"/>
    <col min="13" max="13" width="8.42578125" style="28" bestFit="1" customWidth="1"/>
    <col min="14" max="14" width="31.28515625" style="38" customWidth="1"/>
    <col min="15" max="15" width="28.7109375" style="21" customWidth="1"/>
    <col min="16" max="16" width="6.42578125" style="29" bestFit="1" customWidth="1"/>
    <col min="17" max="17" width="16.5703125" style="28" customWidth="1"/>
    <col min="18" max="18" width="10.5703125" style="28" customWidth="1"/>
    <col min="19" max="16384" width="9" style="21"/>
  </cols>
  <sheetData>
    <row r="1" spans="1:18" ht="28.5" customHeight="1" x14ac:dyDescent="0.25">
      <c r="B1" s="85" t="s">
        <v>73</v>
      </c>
      <c r="C1" s="85"/>
      <c r="D1" s="85"/>
      <c r="E1" s="85"/>
      <c r="F1" s="85"/>
      <c r="G1" s="85"/>
      <c r="H1" s="85"/>
      <c r="I1" s="85"/>
      <c r="J1" s="85"/>
      <c r="K1" s="85"/>
      <c r="L1" s="85"/>
      <c r="M1" s="85"/>
      <c r="N1" s="85"/>
      <c r="O1" s="85"/>
      <c r="P1" s="85"/>
      <c r="Q1" s="85"/>
      <c r="R1" s="21"/>
    </row>
    <row r="2" spans="1:18" s="2" customFormat="1" ht="15" customHeight="1" x14ac:dyDescent="0.25">
      <c r="A2" s="78" t="s">
        <v>18</v>
      </c>
      <c r="B2" s="78" t="s">
        <v>0</v>
      </c>
      <c r="C2" s="78" t="s">
        <v>5</v>
      </c>
      <c r="D2" s="78" t="s">
        <v>6</v>
      </c>
      <c r="E2" s="78" t="s">
        <v>7</v>
      </c>
      <c r="F2" s="30"/>
      <c r="G2" s="78" t="s">
        <v>8</v>
      </c>
      <c r="H2" s="78" t="s">
        <v>9</v>
      </c>
      <c r="I2" s="78" t="s">
        <v>10</v>
      </c>
      <c r="J2" s="86" t="s">
        <v>11</v>
      </c>
      <c r="K2" s="87"/>
      <c r="L2" s="87"/>
      <c r="M2" s="88"/>
      <c r="N2" s="34"/>
      <c r="O2" s="78" t="s">
        <v>12</v>
      </c>
      <c r="P2" s="89" t="s">
        <v>26</v>
      </c>
      <c r="Q2" s="78"/>
      <c r="R2" s="78" t="s">
        <v>13</v>
      </c>
    </row>
    <row r="3" spans="1:18" s="2" customFormat="1" x14ac:dyDescent="0.25">
      <c r="A3" s="79"/>
      <c r="B3" s="79"/>
      <c r="C3" s="79"/>
      <c r="D3" s="79"/>
      <c r="E3" s="79"/>
      <c r="F3" s="31" t="s">
        <v>27</v>
      </c>
      <c r="G3" s="79"/>
      <c r="H3" s="79"/>
      <c r="I3" s="79"/>
      <c r="J3" s="81" t="s">
        <v>14</v>
      </c>
      <c r="K3" s="82"/>
      <c r="L3" s="83" t="s">
        <v>15</v>
      </c>
      <c r="M3" s="84"/>
      <c r="N3" s="35" t="s">
        <v>19</v>
      </c>
      <c r="O3" s="79"/>
      <c r="P3" s="90"/>
      <c r="Q3" s="79"/>
      <c r="R3" s="79"/>
    </row>
    <row r="4" spans="1:18" s="4" customFormat="1" x14ac:dyDescent="0.25">
      <c r="A4" s="80"/>
      <c r="B4" s="80"/>
      <c r="C4" s="80"/>
      <c r="D4" s="80"/>
      <c r="E4" s="80"/>
      <c r="F4" s="32"/>
      <c r="G4" s="80"/>
      <c r="H4" s="80"/>
      <c r="I4" s="80"/>
      <c r="J4" s="3" t="s">
        <v>16</v>
      </c>
      <c r="K4" s="3" t="s">
        <v>17</v>
      </c>
      <c r="L4" s="3" t="s">
        <v>16</v>
      </c>
      <c r="M4" s="3" t="s">
        <v>17</v>
      </c>
      <c r="N4" s="36"/>
      <c r="O4" s="80"/>
      <c r="P4" s="91"/>
      <c r="Q4" s="80"/>
      <c r="R4" s="80"/>
    </row>
    <row r="5" spans="1:18" ht="18" customHeight="1" x14ac:dyDescent="0.25">
      <c r="A5" s="40">
        <v>1</v>
      </c>
      <c r="B5" s="26">
        <v>1</v>
      </c>
      <c r="C5" s="26">
        <v>11590</v>
      </c>
      <c r="D5" s="26" t="s">
        <v>48</v>
      </c>
      <c r="E5" s="23" t="s">
        <v>76</v>
      </c>
      <c r="F5" s="23"/>
      <c r="G5" s="23">
        <v>2</v>
      </c>
      <c r="H5" s="23">
        <v>1</v>
      </c>
      <c r="I5" s="22" t="s">
        <v>82</v>
      </c>
      <c r="J5" s="22"/>
      <c r="K5" s="22">
        <v>3.4</v>
      </c>
      <c r="L5" s="22"/>
      <c r="M5" s="22">
        <v>3.63</v>
      </c>
      <c r="N5" s="22" t="s">
        <v>43</v>
      </c>
      <c r="O5" s="23"/>
      <c r="P5" s="22" t="s">
        <v>91</v>
      </c>
      <c r="Q5" s="22"/>
      <c r="R5" s="21"/>
    </row>
    <row r="6" spans="1:18" x14ac:dyDescent="0.25">
      <c r="A6" s="24">
        <v>2</v>
      </c>
      <c r="B6" s="26">
        <v>10</v>
      </c>
      <c r="C6" s="26">
        <v>11812</v>
      </c>
      <c r="D6" s="26" t="s">
        <v>40</v>
      </c>
      <c r="E6" s="23" t="s">
        <v>111</v>
      </c>
      <c r="F6" s="23"/>
      <c r="G6" s="23">
        <v>1</v>
      </c>
      <c r="H6" s="23">
        <v>4</v>
      </c>
      <c r="I6" s="22" t="s">
        <v>112</v>
      </c>
      <c r="J6" s="22"/>
      <c r="K6" s="22"/>
      <c r="L6" s="22"/>
      <c r="M6" s="73">
        <v>1.31</v>
      </c>
      <c r="N6" s="22" t="s">
        <v>43</v>
      </c>
      <c r="O6" s="23" t="s">
        <v>113</v>
      </c>
      <c r="P6" s="22" t="s">
        <v>91</v>
      </c>
      <c r="Q6" s="22"/>
      <c r="R6" s="21"/>
    </row>
    <row r="7" spans="1:18" x14ac:dyDescent="0.25">
      <c r="A7" s="24">
        <v>3</v>
      </c>
      <c r="B7" s="26">
        <v>8</v>
      </c>
      <c r="C7" s="26">
        <v>11390</v>
      </c>
      <c r="D7" s="26" t="s">
        <v>40</v>
      </c>
      <c r="E7" s="23" t="s">
        <v>142</v>
      </c>
      <c r="F7" s="23"/>
      <c r="G7" s="23">
        <v>1</v>
      </c>
      <c r="H7" s="23">
        <v>1</v>
      </c>
      <c r="I7" s="77" t="s">
        <v>140</v>
      </c>
      <c r="J7" s="22"/>
      <c r="K7" s="22">
        <v>1.905</v>
      </c>
      <c r="L7" s="22"/>
      <c r="M7" s="22">
        <v>1.9350000000000001</v>
      </c>
      <c r="N7" s="22" t="s">
        <v>43</v>
      </c>
      <c r="O7" s="23" t="s">
        <v>139</v>
      </c>
      <c r="P7" s="22" t="s">
        <v>143</v>
      </c>
      <c r="Q7" s="22"/>
      <c r="R7" s="21"/>
    </row>
    <row r="8" spans="1:18" s="55" customFormat="1" x14ac:dyDescent="0.25">
      <c r="A8" s="65"/>
      <c r="B8" s="10"/>
      <c r="C8" s="33"/>
      <c r="D8" s="33"/>
      <c r="E8" s="9"/>
      <c r="F8" s="9"/>
      <c r="G8" s="33"/>
      <c r="H8" s="33"/>
      <c r="I8" s="10"/>
      <c r="J8" s="42"/>
      <c r="K8" s="42"/>
      <c r="L8" s="42"/>
      <c r="M8" s="42"/>
      <c r="N8" s="45"/>
      <c r="O8" s="33"/>
      <c r="P8" s="43"/>
      <c r="Q8" s="10"/>
      <c r="R8" s="10"/>
    </row>
    <row r="9" spans="1:18" s="55" customFormat="1" x14ac:dyDescent="0.25">
      <c r="A9" s="65"/>
      <c r="B9" s="10"/>
      <c r="C9" s="33"/>
      <c r="D9" s="33"/>
      <c r="E9" s="9"/>
      <c r="F9" s="9"/>
      <c r="G9" s="33"/>
      <c r="H9" s="33"/>
      <c r="I9" s="10"/>
      <c r="J9" s="42"/>
      <c r="K9" s="42"/>
      <c r="L9" s="42"/>
      <c r="M9" s="42"/>
      <c r="N9" s="45"/>
      <c r="O9" s="33"/>
      <c r="P9" s="43"/>
      <c r="Q9" s="10"/>
      <c r="R9" s="10"/>
    </row>
    <row r="10" spans="1:18" s="55" customFormat="1" x14ac:dyDescent="0.25">
      <c r="A10" s="65"/>
      <c r="B10" s="10"/>
      <c r="C10" s="33"/>
      <c r="D10" s="33"/>
      <c r="E10" s="33"/>
      <c r="F10" s="33"/>
      <c r="G10" s="33"/>
      <c r="H10" s="33"/>
      <c r="I10" s="44"/>
      <c r="J10" s="42"/>
      <c r="K10" s="42"/>
      <c r="L10" s="8"/>
      <c r="M10" s="8"/>
      <c r="N10" s="45"/>
      <c r="O10" s="33"/>
      <c r="P10" s="43"/>
      <c r="Q10" s="10"/>
      <c r="R10" s="10"/>
    </row>
    <row r="11" spans="1:18" s="55" customFormat="1" x14ac:dyDescent="0.25">
      <c r="A11" s="65"/>
      <c r="B11" s="10"/>
      <c r="C11" s="33"/>
      <c r="D11" s="33"/>
      <c r="E11" s="33"/>
      <c r="F11" s="33"/>
      <c r="G11" s="33"/>
      <c r="H11" s="33"/>
      <c r="I11" s="44"/>
      <c r="J11" s="42"/>
      <c r="K11" s="42"/>
      <c r="L11" s="42"/>
      <c r="M11" s="45"/>
      <c r="N11" s="45"/>
      <c r="O11" s="33"/>
      <c r="P11" s="43"/>
      <c r="Q11" s="10"/>
      <c r="R11" s="10"/>
    </row>
    <row r="12" spans="1:18" s="55" customFormat="1" x14ac:dyDescent="0.25">
      <c r="A12" s="65"/>
      <c r="B12" s="10"/>
      <c r="C12" s="33"/>
      <c r="D12" s="33"/>
      <c r="E12" s="33"/>
      <c r="F12" s="33"/>
      <c r="G12" s="33"/>
      <c r="H12" s="33"/>
      <c r="I12" s="44"/>
      <c r="J12" s="42"/>
      <c r="K12" s="42"/>
      <c r="L12" s="42"/>
      <c r="M12" s="33"/>
      <c r="N12" s="45"/>
      <c r="O12" s="33"/>
      <c r="P12" s="43"/>
      <c r="Q12" s="10"/>
      <c r="R12" s="10"/>
    </row>
    <row r="13" spans="1:18" s="55" customFormat="1" x14ac:dyDescent="0.25">
      <c r="A13" s="65"/>
      <c r="B13" s="10"/>
      <c r="C13" s="33"/>
      <c r="D13" s="33"/>
      <c r="E13" s="33"/>
      <c r="F13" s="33"/>
      <c r="G13" s="33"/>
      <c r="H13" s="33"/>
      <c r="I13" s="44"/>
      <c r="J13" s="42"/>
      <c r="K13" s="42"/>
      <c r="L13" s="42"/>
      <c r="M13" s="42"/>
      <c r="N13" s="45"/>
      <c r="O13" s="33"/>
      <c r="P13" s="43"/>
      <c r="Q13" s="10"/>
      <c r="R13" s="10"/>
    </row>
    <row r="14" spans="1:18" s="55" customFormat="1" x14ac:dyDescent="0.25">
      <c r="A14" s="65"/>
      <c r="B14" s="10"/>
      <c r="C14" s="33"/>
      <c r="D14" s="33"/>
      <c r="E14" s="33"/>
      <c r="F14" s="33"/>
      <c r="G14" s="33"/>
      <c r="H14" s="33"/>
      <c r="I14" s="44"/>
      <c r="J14" s="42"/>
      <c r="K14" s="42"/>
      <c r="L14" s="42"/>
      <c r="M14" s="42"/>
      <c r="N14" s="45"/>
      <c r="O14" s="33"/>
      <c r="P14" s="43"/>
      <c r="Q14" s="10"/>
      <c r="R14" s="10"/>
    </row>
    <row r="15" spans="1:18" s="55" customFormat="1" x14ac:dyDescent="0.25">
      <c r="A15" s="66"/>
      <c r="B15" s="10"/>
      <c r="C15" s="33"/>
      <c r="D15" s="33"/>
      <c r="E15" s="33"/>
      <c r="F15" s="33"/>
      <c r="G15" s="33"/>
      <c r="H15" s="33"/>
      <c r="I15" s="44"/>
      <c r="J15" s="42"/>
      <c r="K15" s="42"/>
      <c r="L15" s="42"/>
      <c r="M15" s="42"/>
      <c r="N15" s="45"/>
      <c r="O15" s="33"/>
      <c r="P15" s="43"/>
      <c r="Q15" s="10"/>
      <c r="R15" s="10"/>
    </row>
    <row r="16" spans="1:18" s="55" customFormat="1" x14ac:dyDescent="0.25">
      <c r="A16" s="10"/>
      <c r="B16" s="10"/>
      <c r="C16" s="33"/>
      <c r="D16" s="33"/>
      <c r="E16" s="33"/>
      <c r="F16" s="33"/>
      <c r="G16" s="33"/>
      <c r="H16" s="33"/>
      <c r="I16" s="46"/>
      <c r="J16" s="42"/>
      <c r="K16" s="42"/>
      <c r="L16" s="42"/>
      <c r="M16" s="42"/>
      <c r="N16" s="47"/>
      <c r="O16" s="33"/>
      <c r="P16" s="43"/>
      <c r="Q16" s="10"/>
      <c r="R16" s="10"/>
    </row>
    <row r="17" spans="1:18" s="55" customFormat="1" x14ac:dyDescent="0.25">
      <c r="A17" s="10"/>
      <c r="B17" s="10"/>
      <c r="C17" s="33"/>
      <c r="D17" s="33"/>
      <c r="E17" s="33"/>
      <c r="F17" s="33"/>
      <c r="G17" s="33"/>
      <c r="H17" s="33"/>
      <c r="I17" s="46"/>
      <c r="J17" s="42"/>
      <c r="K17" s="42"/>
      <c r="L17" s="48"/>
      <c r="M17" s="42"/>
      <c r="N17" s="45"/>
      <c r="O17" s="33"/>
      <c r="P17" s="43"/>
      <c r="Q17" s="10"/>
      <c r="R17" s="10"/>
    </row>
    <row r="18" spans="1:18" s="55" customFormat="1" x14ac:dyDescent="0.25">
      <c r="A18" s="10"/>
      <c r="B18" s="10"/>
      <c r="C18" s="33"/>
      <c r="D18" s="33"/>
      <c r="E18" s="33"/>
      <c r="F18" s="33"/>
      <c r="G18" s="33"/>
      <c r="H18" s="33"/>
      <c r="I18" s="10"/>
      <c r="J18" s="42"/>
      <c r="K18" s="42"/>
      <c r="L18" s="42"/>
      <c r="M18" s="9"/>
      <c r="N18" s="45"/>
      <c r="O18" s="33"/>
      <c r="P18" s="43"/>
      <c r="Q18" s="10"/>
      <c r="R18" s="10"/>
    </row>
    <row r="19" spans="1:18" s="55" customFormat="1" x14ac:dyDescent="0.25">
      <c r="A19" s="10"/>
      <c r="B19" s="10"/>
      <c r="C19" s="33"/>
      <c r="D19" s="33"/>
      <c r="E19" s="33"/>
      <c r="F19" s="33"/>
      <c r="G19" s="33"/>
      <c r="H19" s="33"/>
      <c r="I19" s="10"/>
      <c r="J19" s="10"/>
      <c r="K19" s="10"/>
      <c r="L19" s="10"/>
      <c r="M19" s="10"/>
      <c r="N19" s="45"/>
      <c r="O19" s="33"/>
      <c r="P19" s="43"/>
      <c r="Q19" s="10"/>
      <c r="R19" s="10"/>
    </row>
    <row r="20" spans="1:18" s="55" customFormat="1" x14ac:dyDescent="0.25">
      <c r="A20" s="10"/>
      <c r="B20" s="10"/>
      <c r="C20" s="33"/>
      <c r="D20" s="33"/>
      <c r="E20" s="33"/>
      <c r="F20" s="33"/>
      <c r="G20" s="33"/>
      <c r="H20" s="33"/>
      <c r="I20" s="10"/>
      <c r="J20" s="42"/>
      <c r="K20" s="42"/>
      <c r="L20" s="42"/>
      <c r="M20" s="42"/>
      <c r="N20" s="45"/>
      <c r="O20" s="33"/>
      <c r="P20" s="43"/>
      <c r="Q20" s="10"/>
      <c r="R20" s="10"/>
    </row>
    <row r="21" spans="1:18" s="55" customFormat="1" x14ac:dyDescent="0.25">
      <c r="A21" s="10"/>
      <c r="B21" s="10"/>
      <c r="C21" s="33"/>
      <c r="D21" s="33"/>
      <c r="E21" s="33"/>
      <c r="F21" s="33"/>
      <c r="G21" s="33"/>
      <c r="H21" s="33"/>
      <c r="I21" s="10"/>
      <c r="J21" s="8"/>
      <c r="K21" s="8"/>
      <c r="L21" s="8"/>
      <c r="M21" s="8"/>
      <c r="N21" s="45"/>
      <c r="O21" s="49"/>
      <c r="P21" s="43"/>
      <c r="Q21" s="10"/>
      <c r="R21" s="10"/>
    </row>
    <row r="22" spans="1:18" s="55" customFormat="1" x14ac:dyDescent="0.25">
      <c r="A22" s="10"/>
      <c r="B22" s="10"/>
      <c r="C22" s="33"/>
      <c r="D22" s="33"/>
      <c r="E22" s="33"/>
      <c r="F22" s="33"/>
      <c r="G22" s="33"/>
      <c r="H22" s="33"/>
      <c r="I22" s="10"/>
      <c r="J22" s="10"/>
      <c r="K22" s="10"/>
      <c r="L22" s="10"/>
      <c r="M22" s="10"/>
      <c r="N22" s="45"/>
      <c r="O22" s="33"/>
      <c r="P22" s="43"/>
      <c r="Q22" s="10"/>
      <c r="R22" s="10"/>
    </row>
    <row r="23" spans="1:18" s="55" customFormat="1" x14ac:dyDescent="0.25">
      <c r="A23" s="10"/>
      <c r="B23" s="10"/>
      <c r="C23" s="33"/>
      <c r="D23" s="33"/>
      <c r="E23" s="33"/>
      <c r="F23" s="33"/>
      <c r="G23" s="33"/>
      <c r="H23" s="33"/>
      <c r="I23" s="8"/>
      <c r="J23" s="10"/>
      <c r="K23" s="10"/>
      <c r="L23" s="10"/>
      <c r="M23" s="10"/>
      <c r="N23" s="47"/>
      <c r="O23" s="33"/>
      <c r="P23" s="43"/>
      <c r="Q23" s="10"/>
      <c r="R23" s="10"/>
    </row>
    <row r="24" spans="1:18" s="55" customFormat="1" x14ac:dyDescent="0.25">
      <c r="A24" s="10"/>
      <c r="B24" s="10"/>
      <c r="C24" s="33"/>
      <c r="D24" s="33"/>
      <c r="E24" s="33"/>
      <c r="F24" s="33"/>
      <c r="G24" s="33"/>
      <c r="H24" s="33"/>
      <c r="I24" s="8"/>
      <c r="J24" s="10"/>
      <c r="K24" s="10"/>
      <c r="L24" s="8"/>
      <c r="M24" s="10"/>
      <c r="N24" s="37"/>
      <c r="O24" s="33"/>
      <c r="P24" s="43"/>
      <c r="Q24" s="10"/>
      <c r="R24" s="50"/>
    </row>
    <row r="25" spans="1:18" s="55" customFormat="1" x14ac:dyDescent="0.25">
      <c r="A25" s="10"/>
      <c r="B25" s="10"/>
      <c r="C25" s="33"/>
      <c r="D25" s="33"/>
      <c r="E25" s="33"/>
      <c r="F25" s="33"/>
      <c r="G25" s="33"/>
      <c r="H25" s="33"/>
      <c r="I25" s="51"/>
      <c r="J25" s="10"/>
      <c r="K25" s="51"/>
      <c r="L25" s="8"/>
      <c r="M25" s="51"/>
      <c r="N25" s="37"/>
      <c r="O25" s="33"/>
      <c r="P25" s="43"/>
      <c r="Q25" s="10"/>
      <c r="R25" s="50"/>
    </row>
    <row r="26" spans="1:18" s="55" customFormat="1" x14ac:dyDescent="0.25">
      <c r="A26" s="10"/>
      <c r="B26" s="10"/>
      <c r="C26" s="33"/>
      <c r="D26" s="33"/>
      <c r="E26" s="33"/>
      <c r="F26" s="33"/>
      <c r="G26" s="33"/>
      <c r="H26" s="33"/>
      <c r="I26" s="10"/>
      <c r="J26" s="10"/>
      <c r="K26" s="10"/>
      <c r="L26" s="10"/>
      <c r="M26" s="10"/>
      <c r="N26" s="37"/>
      <c r="O26" s="33"/>
      <c r="P26" s="43"/>
      <c r="Q26" s="10"/>
      <c r="R26" s="50"/>
    </row>
    <row r="27" spans="1:18" s="55" customFormat="1" x14ac:dyDescent="0.25">
      <c r="A27" s="10"/>
      <c r="B27" s="10"/>
      <c r="C27" s="33"/>
      <c r="D27" s="33"/>
      <c r="E27" s="33"/>
      <c r="F27" s="33"/>
      <c r="G27" s="33"/>
      <c r="H27" s="33"/>
      <c r="I27" s="10"/>
      <c r="J27" s="10"/>
      <c r="K27" s="10"/>
      <c r="L27" s="10"/>
      <c r="M27" s="8"/>
      <c r="N27" s="47"/>
      <c r="O27" s="33"/>
      <c r="P27" s="43"/>
      <c r="Q27" s="10"/>
      <c r="R27" s="10"/>
    </row>
    <row r="28" spans="1:18" s="55" customFormat="1" x14ac:dyDescent="0.25">
      <c r="A28" s="10"/>
      <c r="B28" s="10"/>
      <c r="C28" s="33"/>
      <c r="D28" s="33"/>
      <c r="E28" s="33"/>
      <c r="F28" s="33"/>
      <c r="G28" s="33"/>
      <c r="H28" s="33"/>
      <c r="I28" s="10"/>
      <c r="J28" s="10"/>
      <c r="K28" s="10"/>
      <c r="L28" s="10"/>
      <c r="M28" s="46"/>
      <c r="N28" s="37"/>
      <c r="O28" s="33"/>
      <c r="P28" s="43"/>
      <c r="Q28" s="10"/>
      <c r="R28" s="10"/>
    </row>
    <row r="29" spans="1:18" s="55" customFormat="1" x14ac:dyDescent="0.25">
      <c r="A29" s="10"/>
      <c r="B29" s="10"/>
      <c r="C29" s="33"/>
      <c r="D29" s="33"/>
      <c r="E29" s="33"/>
      <c r="F29" s="33"/>
      <c r="G29" s="33"/>
      <c r="H29" s="33"/>
      <c r="I29" s="52"/>
      <c r="J29" s="46"/>
      <c r="K29" s="8"/>
      <c r="L29" s="8"/>
      <c r="M29" s="10"/>
      <c r="N29" s="37"/>
      <c r="O29" s="33"/>
      <c r="P29" s="43"/>
      <c r="Q29" s="10"/>
      <c r="R29" s="10"/>
    </row>
    <row r="30" spans="1:18" s="55" customFormat="1" x14ac:dyDescent="0.25">
      <c r="A30" s="10"/>
      <c r="B30" s="10"/>
      <c r="C30" s="33"/>
      <c r="D30" s="33"/>
      <c r="E30" s="33"/>
      <c r="F30" s="33"/>
      <c r="G30" s="33"/>
      <c r="H30" s="33"/>
      <c r="I30" s="8"/>
      <c r="J30" s="46"/>
      <c r="K30" s="8"/>
      <c r="L30" s="46"/>
      <c r="M30" s="8"/>
      <c r="N30" s="37"/>
      <c r="O30" s="33"/>
      <c r="P30" s="43"/>
      <c r="Q30" s="10"/>
      <c r="R30" s="10"/>
    </row>
    <row r="31" spans="1:18" s="55" customFormat="1" x14ac:dyDescent="0.25">
      <c r="A31" s="10"/>
      <c r="B31" s="10"/>
      <c r="C31" s="33"/>
      <c r="D31" s="33"/>
      <c r="E31" s="9"/>
      <c r="F31" s="9"/>
      <c r="G31" s="33"/>
      <c r="H31" s="33"/>
      <c r="I31" s="46"/>
      <c r="J31" s="10"/>
      <c r="K31" s="10"/>
      <c r="L31" s="10"/>
      <c r="M31" s="10"/>
      <c r="N31" s="37"/>
      <c r="O31" s="33"/>
      <c r="P31" s="43"/>
      <c r="Q31" s="10"/>
      <c r="R31" s="10"/>
    </row>
    <row r="32" spans="1:18" s="55" customFormat="1" x14ac:dyDescent="0.25">
      <c r="A32" s="10"/>
      <c r="B32" s="10"/>
      <c r="C32" s="33"/>
      <c r="D32" s="33"/>
      <c r="E32" s="9"/>
      <c r="F32" s="9"/>
      <c r="G32" s="33"/>
      <c r="H32" s="33"/>
      <c r="I32" s="10"/>
      <c r="J32" s="10"/>
      <c r="K32" s="10"/>
      <c r="L32" s="10"/>
      <c r="M32" s="10"/>
      <c r="N32" s="37"/>
      <c r="O32" s="33"/>
      <c r="P32" s="43"/>
      <c r="Q32" s="10"/>
      <c r="R32" s="10"/>
    </row>
    <row r="33" spans="1:18" s="55" customFormat="1" x14ac:dyDescent="0.25">
      <c r="A33" s="10"/>
      <c r="B33" s="10"/>
      <c r="C33" s="33"/>
      <c r="D33" s="33"/>
      <c r="E33" s="33"/>
      <c r="F33" s="33"/>
      <c r="G33" s="33"/>
      <c r="H33" s="33"/>
      <c r="I33" s="8"/>
      <c r="J33" s="52"/>
      <c r="K33" s="10"/>
      <c r="L33" s="10"/>
      <c r="M33" s="10"/>
      <c r="N33" s="37"/>
      <c r="O33" s="33"/>
      <c r="P33" s="43"/>
      <c r="Q33" s="10"/>
      <c r="R33" s="10"/>
    </row>
    <row r="34" spans="1:18" s="55" customFormat="1" x14ac:dyDescent="0.25">
      <c r="A34" s="10"/>
      <c r="B34" s="10"/>
      <c r="C34" s="33"/>
      <c r="D34" s="33"/>
      <c r="E34" s="33"/>
      <c r="F34" s="33"/>
      <c r="G34" s="33"/>
      <c r="H34" s="33"/>
      <c r="I34" s="51"/>
      <c r="J34" s="51"/>
      <c r="K34" s="8"/>
      <c r="L34" s="46"/>
      <c r="M34" s="8"/>
      <c r="N34" s="45"/>
      <c r="O34" s="33"/>
      <c r="P34" s="43"/>
      <c r="Q34" s="10"/>
      <c r="R34" s="10"/>
    </row>
    <row r="35" spans="1:18" s="55" customFormat="1" x14ac:dyDescent="0.25">
      <c r="A35" s="10"/>
      <c r="B35" s="10"/>
      <c r="C35" s="33"/>
      <c r="D35" s="33"/>
      <c r="E35" s="33"/>
      <c r="F35" s="33"/>
      <c r="G35" s="33"/>
      <c r="H35" s="33"/>
      <c r="I35" s="8"/>
      <c r="J35" s="10"/>
      <c r="K35" s="10"/>
      <c r="L35" s="10"/>
      <c r="M35" s="10"/>
      <c r="N35" s="37"/>
      <c r="O35" s="33"/>
      <c r="P35" s="43"/>
      <c r="Q35" s="10"/>
      <c r="R35" s="10"/>
    </row>
    <row r="36" spans="1:18" s="55" customFormat="1" x14ac:dyDescent="0.25">
      <c r="A36" s="10"/>
      <c r="B36" s="10"/>
      <c r="C36" s="33"/>
      <c r="D36" s="33"/>
      <c r="E36" s="33"/>
      <c r="F36" s="33"/>
      <c r="G36" s="33"/>
      <c r="H36" s="33"/>
      <c r="I36" s="8"/>
      <c r="J36" s="10"/>
      <c r="K36" s="10"/>
      <c r="L36" s="48"/>
      <c r="M36" s="10"/>
      <c r="N36" s="37"/>
      <c r="O36" s="33"/>
      <c r="P36" s="43"/>
      <c r="Q36" s="10"/>
      <c r="R36" s="10"/>
    </row>
    <row r="37" spans="1:18" s="55" customFormat="1" x14ac:dyDescent="0.25">
      <c r="A37" s="10"/>
      <c r="B37" s="10"/>
      <c r="C37" s="33"/>
      <c r="D37" s="33"/>
      <c r="E37" s="33"/>
      <c r="F37" s="33"/>
      <c r="G37" s="33"/>
      <c r="H37" s="33"/>
      <c r="I37" s="44"/>
      <c r="J37" s="10"/>
      <c r="K37" s="10"/>
      <c r="L37" s="10"/>
      <c r="M37" s="10"/>
      <c r="N37" s="45"/>
      <c r="O37" s="33"/>
      <c r="P37" s="43"/>
      <c r="Q37" s="10"/>
      <c r="R37" s="10"/>
    </row>
    <row r="38" spans="1:18" s="55" customFormat="1" x14ac:dyDescent="0.25">
      <c r="A38" s="10"/>
      <c r="B38" s="10"/>
      <c r="C38" s="33"/>
      <c r="D38" s="33"/>
      <c r="E38" s="33"/>
      <c r="F38" s="33"/>
      <c r="G38" s="33"/>
      <c r="H38" s="33"/>
      <c r="I38" s="44"/>
      <c r="J38" s="10"/>
      <c r="K38" s="10"/>
      <c r="L38" s="10"/>
      <c r="M38" s="10"/>
      <c r="N38" s="45"/>
      <c r="O38" s="33"/>
      <c r="P38" s="43"/>
      <c r="Q38" s="10"/>
      <c r="R38" s="10"/>
    </row>
    <row r="39" spans="1:18" s="55" customFormat="1" x14ac:dyDescent="0.25">
      <c r="A39" s="10"/>
      <c r="B39" s="10"/>
      <c r="C39" s="33"/>
      <c r="D39" s="33"/>
      <c r="E39" s="33"/>
      <c r="F39" s="33"/>
      <c r="G39" s="33"/>
      <c r="H39" s="33"/>
      <c r="I39" s="10"/>
      <c r="J39" s="10"/>
      <c r="K39" s="10"/>
      <c r="L39" s="10"/>
      <c r="M39" s="10"/>
      <c r="N39" s="45"/>
      <c r="O39" s="33"/>
      <c r="P39" s="43"/>
      <c r="Q39" s="10"/>
      <c r="R39" s="10"/>
    </row>
    <row r="40" spans="1:18" s="55" customFormat="1" x14ac:dyDescent="0.25">
      <c r="A40" s="10"/>
      <c r="B40" s="10"/>
      <c r="C40" s="33"/>
      <c r="D40" s="33"/>
      <c r="E40" s="33"/>
      <c r="F40" s="33"/>
      <c r="G40" s="33"/>
      <c r="H40" s="33"/>
      <c r="I40" s="10"/>
      <c r="J40" s="10"/>
      <c r="K40" s="10"/>
      <c r="L40" s="10"/>
      <c r="M40" s="10"/>
      <c r="N40" s="37"/>
      <c r="O40" s="33"/>
      <c r="P40" s="43"/>
      <c r="Q40" s="10"/>
      <c r="R40" s="10"/>
    </row>
    <row r="41" spans="1:18" s="55" customFormat="1" x14ac:dyDescent="0.25">
      <c r="A41" s="10"/>
      <c r="B41" s="10"/>
      <c r="C41" s="33"/>
      <c r="D41" s="33"/>
      <c r="E41" s="33"/>
      <c r="F41" s="33"/>
      <c r="G41" s="33"/>
      <c r="H41" s="33"/>
      <c r="I41" s="10"/>
      <c r="J41" s="10"/>
      <c r="K41" s="10"/>
      <c r="L41" s="10"/>
      <c r="M41" s="10"/>
      <c r="N41" s="37"/>
      <c r="O41" s="33"/>
      <c r="P41" s="43"/>
      <c r="Q41" s="10"/>
      <c r="R41" s="10"/>
    </row>
    <row r="42" spans="1:18" s="55" customFormat="1" x14ac:dyDescent="0.25">
      <c r="A42" s="10"/>
      <c r="B42" s="10"/>
      <c r="C42" s="33"/>
      <c r="D42" s="33"/>
      <c r="E42" s="33"/>
      <c r="F42" s="33"/>
      <c r="G42" s="33"/>
      <c r="H42" s="33"/>
      <c r="I42" s="44"/>
      <c r="J42" s="10"/>
      <c r="K42" s="10"/>
      <c r="L42" s="10"/>
      <c r="M42" s="10"/>
      <c r="N42" s="45"/>
      <c r="O42" s="33"/>
      <c r="P42" s="43"/>
      <c r="Q42" s="10"/>
      <c r="R42" s="10"/>
    </row>
    <row r="43" spans="1:18" s="55" customFormat="1" x14ac:dyDescent="0.25">
      <c r="A43" s="10"/>
      <c r="B43" s="10"/>
      <c r="C43" s="33"/>
      <c r="D43" s="33"/>
      <c r="E43" s="33"/>
      <c r="F43" s="33"/>
      <c r="G43" s="33"/>
      <c r="H43" s="33"/>
      <c r="I43" s="44"/>
      <c r="J43" s="10"/>
      <c r="K43" s="10"/>
      <c r="L43" s="10"/>
      <c r="M43" s="10"/>
      <c r="N43" s="45"/>
      <c r="O43" s="33"/>
      <c r="P43" s="43"/>
      <c r="Q43" s="10"/>
      <c r="R43" s="10"/>
    </row>
    <row r="44" spans="1:18" s="55" customFormat="1" x14ac:dyDescent="0.25">
      <c r="A44" s="10"/>
      <c r="B44" s="10"/>
      <c r="C44" s="33"/>
      <c r="D44" s="33"/>
      <c r="E44" s="33"/>
      <c r="F44" s="33"/>
      <c r="G44" s="33"/>
      <c r="H44" s="33"/>
      <c r="I44" s="10"/>
      <c r="J44" s="10"/>
      <c r="K44" s="10"/>
      <c r="L44" s="10"/>
      <c r="M44" s="10"/>
      <c r="N44" s="45"/>
      <c r="O44" s="33"/>
      <c r="P44" s="43"/>
      <c r="Q44" s="10"/>
      <c r="R44" s="10"/>
    </row>
    <row r="45" spans="1:18" s="55" customFormat="1" x14ac:dyDescent="0.25">
      <c r="A45" s="10"/>
      <c r="B45" s="10"/>
      <c r="C45" s="33"/>
      <c r="D45" s="33"/>
      <c r="E45" s="33"/>
      <c r="F45" s="33"/>
      <c r="G45" s="33"/>
      <c r="H45" s="33"/>
      <c r="I45" s="10"/>
      <c r="J45" s="10"/>
      <c r="K45" s="10"/>
      <c r="L45" s="10"/>
      <c r="M45" s="10"/>
      <c r="N45" s="45"/>
      <c r="O45" s="33"/>
      <c r="P45" s="43"/>
      <c r="Q45" s="10"/>
      <c r="R45" s="10"/>
    </row>
    <row r="46" spans="1:18" s="55" customFormat="1" x14ac:dyDescent="0.25">
      <c r="A46" s="10"/>
      <c r="B46" s="10"/>
      <c r="C46" s="33"/>
      <c r="D46" s="33"/>
      <c r="E46" s="33"/>
      <c r="F46" s="33"/>
      <c r="G46" s="33"/>
      <c r="H46" s="33"/>
      <c r="I46" s="10"/>
      <c r="J46" s="10"/>
      <c r="K46" s="10"/>
      <c r="L46" s="10"/>
      <c r="M46" s="10"/>
      <c r="N46" s="37"/>
      <c r="O46" s="33"/>
      <c r="P46" s="43"/>
      <c r="Q46" s="10"/>
      <c r="R46" s="53"/>
    </row>
    <row r="47" spans="1:18" s="55" customFormat="1" x14ac:dyDescent="0.25">
      <c r="A47" s="10"/>
      <c r="B47" s="10"/>
      <c r="C47" s="33"/>
      <c r="D47" s="33"/>
      <c r="E47" s="33"/>
      <c r="F47" s="33"/>
      <c r="G47" s="33"/>
      <c r="H47" s="33"/>
      <c r="I47" s="10"/>
      <c r="J47" s="10"/>
      <c r="K47" s="10"/>
      <c r="L47" s="10"/>
      <c r="M47" s="10"/>
      <c r="N47" s="37"/>
      <c r="O47" s="33"/>
      <c r="P47" s="43"/>
      <c r="Q47" s="10"/>
      <c r="R47" s="53"/>
    </row>
    <row r="48" spans="1:18" s="55" customFormat="1" x14ac:dyDescent="0.25">
      <c r="A48" s="10"/>
      <c r="B48" s="10"/>
      <c r="C48" s="33"/>
      <c r="D48" s="33"/>
      <c r="E48" s="33"/>
      <c r="F48" s="33"/>
      <c r="G48" s="33"/>
      <c r="H48" s="33"/>
      <c r="I48" s="10"/>
      <c r="J48" s="10"/>
      <c r="K48" s="10"/>
      <c r="L48" s="10"/>
      <c r="M48" s="10"/>
      <c r="N48" s="37"/>
      <c r="O48" s="33"/>
      <c r="P48" s="43"/>
      <c r="Q48" s="10"/>
      <c r="R48" s="10"/>
    </row>
    <row r="49" spans="1:18" s="55" customFormat="1" x14ac:dyDescent="0.25">
      <c r="A49" s="10"/>
      <c r="B49" s="10"/>
      <c r="C49" s="33"/>
      <c r="D49" s="33"/>
      <c r="E49" s="33"/>
      <c r="F49" s="33"/>
      <c r="G49" s="33"/>
      <c r="H49" s="33"/>
      <c r="I49" s="10"/>
      <c r="J49" s="10"/>
      <c r="K49" s="10"/>
      <c r="L49" s="10"/>
      <c r="M49" s="10"/>
      <c r="N49" s="37"/>
      <c r="O49" s="33"/>
      <c r="P49" s="43"/>
      <c r="Q49" s="10"/>
      <c r="R49" s="10"/>
    </row>
    <row r="50" spans="1:18" s="55" customFormat="1" x14ac:dyDescent="0.25">
      <c r="A50" s="10"/>
      <c r="B50" s="10"/>
      <c r="C50" s="33"/>
      <c r="D50" s="33"/>
      <c r="E50" s="33"/>
      <c r="F50" s="33"/>
      <c r="G50" s="33"/>
      <c r="H50" s="33"/>
      <c r="I50" s="10"/>
      <c r="J50" s="10"/>
      <c r="K50" s="10"/>
      <c r="L50" s="10"/>
      <c r="M50" s="10"/>
      <c r="N50" s="45"/>
      <c r="O50" s="33"/>
      <c r="P50" s="43"/>
      <c r="Q50" s="10"/>
      <c r="R50" s="10"/>
    </row>
    <row r="51" spans="1:18" s="55" customFormat="1" x14ac:dyDescent="0.25">
      <c r="A51" s="10"/>
      <c r="B51" s="10"/>
      <c r="C51" s="33"/>
      <c r="D51" s="33"/>
      <c r="E51" s="33"/>
      <c r="F51" s="33"/>
      <c r="G51" s="33"/>
      <c r="H51" s="33"/>
      <c r="I51" s="54"/>
      <c r="J51" s="10"/>
      <c r="K51" s="10"/>
      <c r="L51" s="10"/>
      <c r="M51" s="10"/>
      <c r="N51" s="45"/>
      <c r="O51" s="33"/>
      <c r="P51" s="43"/>
      <c r="Q51" s="10"/>
      <c r="R51" s="10"/>
    </row>
    <row r="52" spans="1:18" s="55" customFormat="1" x14ac:dyDescent="0.25">
      <c r="A52" s="10"/>
      <c r="B52" s="10"/>
      <c r="C52" s="33"/>
      <c r="D52" s="33"/>
      <c r="E52" s="33"/>
      <c r="F52" s="33"/>
      <c r="G52" s="33"/>
      <c r="H52" s="33"/>
      <c r="I52" s="10"/>
      <c r="J52" s="10"/>
      <c r="K52" s="10"/>
      <c r="L52" s="10"/>
      <c r="M52" s="10"/>
      <c r="N52" s="37"/>
      <c r="O52" s="33"/>
      <c r="P52" s="43"/>
      <c r="Q52" s="10"/>
      <c r="R52" s="10"/>
    </row>
    <row r="53" spans="1:18" s="55" customFormat="1" x14ac:dyDescent="0.25">
      <c r="A53" s="10"/>
      <c r="B53" s="10"/>
      <c r="C53" s="33"/>
      <c r="D53" s="33"/>
      <c r="E53" s="33"/>
      <c r="F53" s="33"/>
      <c r="G53" s="33"/>
      <c r="H53" s="33"/>
      <c r="I53" s="54"/>
      <c r="J53" s="10"/>
      <c r="K53" s="10"/>
      <c r="L53" s="10"/>
      <c r="M53" s="10"/>
      <c r="N53" s="45"/>
      <c r="O53" s="33"/>
      <c r="P53" s="43"/>
      <c r="Q53" s="10"/>
      <c r="R53" s="10"/>
    </row>
    <row r="54" spans="1:18" s="55" customFormat="1" x14ac:dyDescent="0.25">
      <c r="A54" s="10"/>
      <c r="B54" s="10"/>
      <c r="C54" s="33"/>
      <c r="D54" s="33"/>
      <c r="E54" s="33"/>
      <c r="F54" s="33"/>
      <c r="G54" s="33"/>
      <c r="H54" s="33"/>
      <c r="I54" s="10"/>
      <c r="J54" s="10"/>
      <c r="K54" s="10"/>
      <c r="L54" s="10"/>
      <c r="M54" s="10"/>
      <c r="N54" s="45"/>
      <c r="O54" s="33"/>
      <c r="P54" s="43"/>
      <c r="Q54" s="10"/>
      <c r="R54" s="10"/>
    </row>
    <row r="55" spans="1:18" s="55" customFormat="1" x14ac:dyDescent="0.25">
      <c r="A55" s="10"/>
      <c r="B55" s="10"/>
      <c r="C55" s="33"/>
      <c r="D55" s="33"/>
      <c r="E55" s="33"/>
      <c r="F55" s="33"/>
      <c r="G55" s="33"/>
      <c r="H55" s="33"/>
      <c r="I55" s="10"/>
      <c r="J55" s="10"/>
      <c r="K55" s="10"/>
      <c r="L55" s="10"/>
      <c r="M55" s="10"/>
      <c r="N55" s="45"/>
      <c r="O55" s="33"/>
      <c r="P55" s="43"/>
      <c r="Q55" s="10"/>
      <c r="R55" s="10"/>
    </row>
    <row r="56" spans="1:18" s="55" customFormat="1" x14ac:dyDescent="0.25">
      <c r="A56" s="10"/>
      <c r="B56" s="10"/>
      <c r="C56" s="33"/>
      <c r="D56" s="33"/>
      <c r="E56" s="33"/>
      <c r="F56" s="33"/>
      <c r="G56" s="33"/>
      <c r="H56" s="33"/>
      <c r="I56" s="10"/>
      <c r="J56" s="10"/>
      <c r="K56" s="10"/>
      <c r="L56" s="10"/>
      <c r="M56" s="10"/>
      <c r="N56" s="45"/>
      <c r="O56" s="33"/>
      <c r="P56" s="43"/>
      <c r="Q56" s="10"/>
      <c r="R56" s="10"/>
    </row>
    <row r="57" spans="1:18" s="55" customFormat="1" x14ac:dyDescent="0.25">
      <c r="A57" s="10"/>
      <c r="B57" s="10"/>
      <c r="C57" s="33"/>
      <c r="D57" s="33"/>
      <c r="E57" s="33"/>
      <c r="F57" s="33"/>
      <c r="G57" s="33"/>
      <c r="H57" s="33"/>
      <c r="I57" s="44"/>
      <c r="J57" s="44"/>
      <c r="K57" s="44"/>
      <c r="L57" s="44"/>
      <c r="M57" s="44"/>
      <c r="N57" s="37"/>
      <c r="O57" s="33"/>
      <c r="P57" s="43"/>
      <c r="Q57" s="10"/>
      <c r="R57" s="10"/>
    </row>
    <row r="58" spans="1:18" s="55" customFormat="1" x14ac:dyDescent="0.25">
      <c r="A58" s="10"/>
      <c r="B58" s="10"/>
      <c r="C58" s="33"/>
      <c r="D58" s="33"/>
      <c r="E58" s="33"/>
      <c r="F58" s="33"/>
      <c r="G58" s="33"/>
      <c r="H58" s="33"/>
      <c r="I58" s="10"/>
      <c r="J58" s="44"/>
      <c r="K58" s="44"/>
      <c r="L58" s="44"/>
      <c r="M58" s="44"/>
      <c r="N58" s="45"/>
      <c r="O58" s="33"/>
      <c r="P58" s="43"/>
      <c r="Q58" s="10"/>
      <c r="R58" s="10"/>
    </row>
    <row r="59" spans="1:18" s="55" customFormat="1" x14ac:dyDescent="0.25">
      <c r="A59" s="10"/>
      <c r="B59" s="10"/>
      <c r="C59" s="33"/>
      <c r="D59" s="33"/>
      <c r="E59" s="33"/>
      <c r="F59" s="33"/>
      <c r="G59" s="33"/>
      <c r="H59" s="33"/>
      <c r="I59" s="10"/>
      <c r="J59" s="10"/>
      <c r="K59" s="10"/>
      <c r="L59" s="10"/>
      <c r="M59" s="10"/>
      <c r="N59" s="45"/>
      <c r="O59" s="33"/>
      <c r="P59" s="43"/>
      <c r="Q59" s="10"/>
      <c r="R59" s="10"/>
    </row>
    <row r="60" spans="1:18" s="55" customFormat="1" x14ac:dyDescent="0.25">
      <c r="A60" s="10"/>
      <c r="B60" s="10"/>
      <c r="C60" s="33"/>
      <c r="D60" s="33"/>
      <c r="E60" s="33"/>
      <c r="F60" s="33"/>
      <c r="G60" s="33"/>
      <c r="H60" s="33"/>
      <c r="I60" s="44"/>
      <c r="J60" s="10"/>
      <c r="K60" s="10"/>
      <c r="L60" s="10"/>
      <c r="M60" s="10"/>
      <c r="N60" s="45"/>
      <c r="O60" s="33"/>
      <c r="P60" s="43"/>
      <c r="Q60" s="10"/>
      <c r="R60" s="10"/>
    </row>
    <row r="61" spans="1:18" s="55" customFormat="1" x14ac:dyDescent="0.25">
      <c r="A61" s="10"/>
      <c r="B61" s="10"/>
      <c r="C61" s="33"/>
      <c r="D61" s="33"/>
      <c r="E61" s="33"/>
      <c r="F61" s="33"/>
      <c r="G61" s="33"/>
      <c r="H61" s="33"/>
      <c r="I61" s="10"/>
      <c r="J61" s="10"/>
      <c r="K61" s="10"/>
      <c r="L61" s="10"/>
      <c r="M61" s="10"/>
      <c r="N61" s="37"/>
      <c r="O61" s="33"/>
      <c r="P61" s="43"/>
      <c r="Q61" s="10"/>
      <c r="R61" s="53"/>
    </row>
    <row r="62" spans="1:18" s="55" customFormat="1" x14ac:dyDescent="0.25">
      <c r="A62" s="10"/>
      <c r="B62" s="10"/>
      <c r="C62" s="33"/>
      <c r="D62" s="33"/>
      <c r="E62" s="33"/>
      <c r="F62" s="33"/>
      <c r="G62" s="33"/>
      <c r="H62" s="33"/>
      <c r="I62" s="10"/>
      <c r="J62" s="10"/>
      <c r="K62" s="10"/>
      <c r="L62" s="10"/>
      <c r="M62" s="10"/>
      <c r="N62" s="45"/>
      <c r="O62" s="33"/>
      <c r="P62" s="43"/>
      <c r="Q62" s="10"/>
      <c r="R62" s="10"/>
    </row>
    <row r="63" spans="1:18" s="55" customFormat="1" x14ac:dyDescent="0.25">
      <c r="A63" s="10"/>
      <c r="B63" s="10"/>
      <c r="C63" s="33"/>
      <c r="D63" s="33"/>
      <c r="E63" s="33"/>
      <c r="F63" s="33"/>
      <c r="G63" s="33"/>
      <c r="H63" s="33"/>
      <c r="I63" s="10"/>
      <c r="J63" s="10"/>
      <c r="K63" s="10"/>
      <c r="L63" s="10"/>
      <c r="M63" s="10"/>
      <c r="N63" s="45"/>
      <c r="O63" s="33"/>
      <c r="P63" s="43"/>
      <c r="Q63" s="10"/>
      <c r="R63" s="10"/>
    </row>
    <row r="64" spans="1:18" s="55" customFormat="1" x14ac:dyDescent="0.25">
      <c r="A64" s="10"/>
      <c r="B64" s="10"/>
      <c r="C64" s="33"/>
      <c r="D64" s="33"/>
      <c r="E64" s="33"/>
      <c r="F64" s="33"/>
      <c r="G64" s="33"/>
      <c r="H64" s="33"/>
      <c r="I64" s="10"/>
      <c r="J64" s="10"/>
      <c r="K64" s="10"/>
      <c r="L64" s="10"/>
      <c r="M64" s="10"/>
      <c r="N64" s="45"/>
      <c r="O64" s="33"/>
      <c r="P64" s="43"/>
      <c r="Q64" s="10"/>
      <c r="R64" s="10"/>
    </row>
    <row r="65" spans="1:18" s="55" customFormat="1" x14ac:dyDescent="0.25">
      <c r="A65" s="10"/>
      <c r="B65" s="10"/>
      <c r="C65" s="33"/>
      <c r="D65" s="33"/>
      <c r="E65" s="33"/>
      <c r="F65" s="33"/>
      <c r="G65" s="33"/>
      <c r="H65" s="33"/>
      <c r="I65" s="10"/>
      <c r="J65" s="10"/>
      <c r="K65" s="10"/>
      <c r="L65" s="10"/>
      <c r="M65" s="10"/>
      <c r="N65" s="45"/>
      <c r="O65" s="33"/>
      <c r="P65" s="43"/>
      <c r="Q65" s="10"/>
      <c r="R65" s="10"/>
    </row>
    <row r="66" spans="1:18" s="55" customFormat="1" x14ac:dyDescent="0.25">
      <c r="A66" s="10"/>
      <c r="B66" s="10"/>
      <c r="C66" s="33"/>
      <c r="D66" s="33"/>
      <c r="E66" s="33"/>
      <c r="F66" s="33"/>
      <c r="G66" s="33"/>
      <c r="H66" s="33"/>
      <c r="I66" s="8"/>
      <c r="J66" s="10"/>
      <c r="K66" s="10"/>
      <c r="L66" s="10"/>
      <c r="M66" s="10"/>
      <c r="N66" s="45"/>
      <c r="O66" s="33"/>
      <c r="P66" s="43"/>
      <c r="Q66" s="10"/>
      <c r="R66" s="10"/>
    </row>
    <row r="67" spans="1:18" s="55" customFormat="1" x14ac:dyDescent="0.25">
      <c r="A67" s="10"/>
      <c r="B67" s="10"/>
      <c r="C67" s="33"/>
      <c r="D67" s="33"/>
      <c r="E67" s="33"/>
      <c r="F67" s="33"/>
      <c r="G67" s="33"/>
      <c r="H67" s="33"/>
      <c r="I67" s="10"/>
      <c r="J67" s="10"/>
      <c r="K67" s="10"/>
      <c r="L67" s="10"/>
      <c r="M67" s="10"/>
      <c r="N67" s="45"/>
      <c r="O67" s="33"/>
      <c r="P67" s="43"/>
      <c r="Q67" s="10"/>
      <c r="R67" s="10"/>
    </row>
    <row r="68" spans="1:18" s="55" customFormat="1" x14ac:dyDescent="0.25">
      <c r="A68" s="10"/>
      <c r="B68" s="10"/>
      <c r="C68" s="33"/>
      <c r="D68" s="33"/>
      <c r="E68" s="33"/>
      <c r="F68" s="33"/>
      <c r="G68" s="33"/>
      <c r="H68" s="33"/>
      <c r="I68" s="10"/>
      <c r="J68" s="10"/>
      <c r="K68" s="10"/>
      <c r="L68" s="10"/>
      <c r="M68" s="10"/>
      <c r="N68" s="45"/>
      <c r="O68" s="33"/>
      <c r="P68" s="43"/>
      <c r="Q68" s="10"/>
      <c r="R68" s="10"/>
    </row>
    <row r="69" spans="1:18" s="55" customFormat="1" x14ac:dyDescent="0.25">
      <c r="A69" s="10"/>
      <c r="B69" s="10"/>
      <c r="C69" s="33"/>
      <c r="D69" s="33"/>
      <c r="E69" s="33"/>
      <c r="F69" s="33"/>
      <c r="G69" s="33"/>
      <c r="H69" s="33"/>
      <c r="I69" s="10"/>
      <c r="J69" s="10"/>
      <c r="K69" s="10"/>
      <c r="L69" s="10"/>
      <c r="M69" s="10"/>
      <c r="N69" s="45"/>
      <c r="O69" s="33"/>
      <c r="P69" s="43"/>
      <c r="Q69" s="10"/>
      <c r="R69" s="10"/>
    </row>
    <row r="70" spans="1:18" s="55" customFormat="1" x14ac:dyDescent="0.25">
      <c r="A70" s="10"/>
      <c r="B70" s="10"/>
      <c r="C70" s="33"/>
      <c r="D70" s="33"/>
      <c r="E70" s="33"/>
      <c r="F70" s="33"/>
      <c r="G70" s="33"/>
      <c r="H70" s="33"/>
      <c r="I70" s="10"/>
      <c r="J70" s="10"/>
      <c r="K70" s="10"/>
      <c r="L70" s="10"/>
      <c r="M70" s="10"/>
      <c r="N70" s="45"/>
      <c r="O70" s="33"/>
      <c r="P70" s="43"/>
      <c r="Q70" s="10"/>
      <c r="R70" s="10"/>
    </row>
    <row r="71" spans="1:18" s="55" customFormat="1" x14ac:dyDescent="0.25">
      <c r="A71" s="10"/>
      <c r="B71" s="10"/>
      <c r="C71" s="33"/>
      <c r="D71" s="33"/>
      <c r="E71" s="33"/>
      <c r="F71" s="33"/>
      <c r="G71" s="33"/>
      <c r="H71" s="33"/>
      <c r="I71" s="10"/>
      <c r="J71" s="10"/>
      <c r="K71" s="10"/>
      <c r="L71" s="10"/>
      <c r="M71" s="10"/>
      <c r="N71" s="45"/>
      <c r="O71" s="33"/>
      <c r="P71" s="43"/>
      <c r="Q71" s="10"/>
      <c r="R71" s="10"/>
    </row>
    <row r="72" spans="1:18" s="55" customFormat="1" x14ac:dyDescent="0.25">
      <c r="A72" s="10"/>
      <c r="B72" s="10"/>
      <c r="C72" s="33"/>
      <c r="D72" s="33"/>
      <c r="E72" s="33"/>
      <c r="F72" s="33"/>
      <c r="G72" s="33"/>
      <c r="H72" s="33"/>
      <c r="I72" s="10"/>
      <c r="J72" s="10"/>
      <c r="K72" s="10"/>
      <c r="L72" s="10"/>
      <c r="M72" s="10"/>
      <c r="N72" s="45"/>
      <c r="O72" s="33"/>
      <c r="P72" s="43"/>
      <c r="Q72" s="10"/>
      <c r="R72" s="10"/>
    </row>
    <row r="73" spans="1:18" s="55" customFormat="1" x14ac:dyDescent="0.25">
      <c r="A73" s="10"/>
      <c r="B73" s="10"/>
      <c r="C73" s="33"/>
      <c r="D73" s="33"/>
      <c r="E73" s="33"/>
      <c r="F73" s="33"/>
      <c r="G73" s="33"/>
      <c r="H73" s="33"/>
      <c r="I73" s="10"/>
      <c r="J73" s="10"/>
      <c r="K73" s="10"/>
      <c r="L73" s="10"/>
      <c r="M73" s="10"/>
      <c r="N73" s="45"/>
      <c r="O73" s="33"/>
      <c r="P73" s="43"/>
      <c r="Q73" s="10"/>
      <c r="R73" s="10"/>
    </row>
    <row r="74" spans="1:18" s="55" customFormat="1" x14ac:dyDescent="0.25">
      <c r="A74" s="10"/>
      <c r="B74" s="10"/>
      <c r="C74" s="33"/>
      <c r="D74" s="33"/>
      <c r="E74" s="33"/>
      <c r="F74" s="33"/>
      <c r="G74" s="33"/>
      <c r="H74" s="33"/>
      <c r="I74" s="10"/>
      <c r="J74" s="10"/>
      <c r="K74" s="10"/>
      <c r="L74" s="10"/>
      <c r="M74" s="10"/>
      <c r="N74" s="45"/>
      <c r="O74" s="33"/>
      <c r="P74" s="43"/>
      <c r="Q74" s="10"/>
      <c r="R74" s="10"/>
    </row>
    <row r="75" spans="1:18" s="55" customFormat="1" x14ac:dyDescent="0.25">
      <c r="A75" s="10"/>
      <c r="B75" s="10"/>
      <c r="C75" s="33"/>
      <c r="D75" s="33"/>
      <c r="E75" s="33"/>
      <c r="F75" s="33"/>
      <c r="G75" s="33"/>
      <c r="H75" s="33"/>
      <c r="I75" s="10"/>
      <c r="J75" s="10"/>
      <c r="K75" s="10"/>
      <c r="L75" s="10"/>
      <c r="M75" s="10"/>
      <c r="N75" s="45"/>
      <c r="O75" s="33"/>
      <c r="P75" s="43"/>
      <c r="Q75" s="10"/>
      <c r="R75" s="10"/>
    </row>
    <row r="76" spans="1:18" s="55" customFormat="1" x14ac:dyDescent="0.25">
      <c r="A76" s="10"/>
      <c r="B76" s="33"/>
      <c r="C76" s="33"/>
      <c r="D76" s="33"/>
      <c r="E76" s="33"/>
      <c r="F76" s="33"/>
      <c r="G76" s="33"/>
      <c r="H76" s="33"/>
      <c r="I76" s="10"/>
      <c r="J76" s="10"/>
      <c r="K76" s="10"/>
      <c r="L76" s="10"/>
      <c r="M76" s="10"/>
      <c r="N76" s="45"/>
      <c r="O76" s="33"/>
      <c r="P76" s="43"/>
      <c r="Q76" s="10"/>
      <c r="R76" s="10"/>
    </row>
    <row r="77" spans="1:18" s="55" customFormat="1" x14ac:dyDescent="0.25">
      <c r="A77" s="10"/>
      <c r="B77" s="33"/>
      <c r="C77" s="33"/>
      <c r="D77" s="33"/>
      <c r="E77" s="33"/>
      <c r="F77" s="33"/>
      <c r="G77" s="33"/>
      <c r="H77" s="33"/>
      <c r="I77" s="10"/>
      <c r="J77" s="10"/>
      <c r="K77" s="10"/>
      <c r="L77" s="10"/>
      <c r="M77" s="10"/>
      <c r="N77" s="37"/>
      <c r="O77" s="33"/>
      <c r="P77" s="43"/>
      <c r="Q77" s="10"/>
      <c r="R77" s="10"/>
    </row>
    <row r="78" spans="1:18" s="55" customFormat="1" x14ac:dyDescent="0.25">
      <c r="A78" s="10"/>
      <c r="B78" s="33"/>
      <c r="C78" s="33"/>
      <c r="D78" s="33"/>
      <c r="E78" s="33"/>
      <c r="F78" s="33"/>
      <c r="G78" s="33"/>
      <c r="H78" s="33"/>
      <c r="I78" s="10"/>
      <c r="J78" s="10"/>
      <c r="K78" s="10"/>
      <c r="L78" s="10"/>
      <c r="M78" s="10"/>
      <c r="N78" s="37"/>
      <c r="O78" s="33"/>
      <c r="P78" s="43"/>
      <c r="Q78" s="10"/>
      <c r="R78" s="10"/>
    </row>
    <row r="79" spans="1:18" s="55" customFormat="1" x14ac:dyDescent="0.25">
      <c r="A79" s="10"/>
      <c r="B79" s="33"/>
      <c r="C79" s="33"/>
      <c r="D79" s="33"/>
      <c r="E79" s="33"/>
      <c r="F79" s="33"/>
      <c r="G79" s="33"/>
      <c r="H79" s="33"/>
      <c r="I79" s="10"/>
      <c r="J79" s="10"/>
      <c r="K79" s="10"/>
      <c r="L79" s="10"/>
      <c r="M79" s="10"/>
      <c r="N79" s="45"/>
      <c r="O79" s="33"/>
      <c r="P79" s="43"/>
      <c r="Q79" s="10"/>
      <c r="R79" s="10"/>
    </row>
    <row r="80" spans="1:18" s="55" customFormat="1" x14ac:dyDescent="0.25">
      <c r="A80" s="10"/>
      <c r="B80" s="33"/>
      <c r="C80" s="33"/>
      <c r="D80" s="33"/>
      <c r="E80" s="33"/>
      <c r="F80" s="33"/>
      <c r="G80" s="33"/>
      <c r="H80" s="33"/>
      <c r="I80" s="10"/>
      <c r="J80" s="10"/>
      <c r="K80" s="10"/>
      <c r="L80" s="10"/>
      <c r="M80" s="10"/>
      <c r="N80" s="45"/>
      <c r="O80" s="33"/>
      <c r="P80" s="43"/>
      <c r="Q80" s="10"/>
      <c r="R80" s="10"/>
    </row>
    <row r="81" spans="1:18" s="55" customFormat="1" x14ac:dyDescent="0.25">
      <c r="A81" s="10"/>
      <c r="B81" s="33"/>
      <c r="C81" s="33"/>
      <c r="D81" s="33"/>
      <c r="E81" s="33"/>
      <c r="F81" s="33"/>
      <c r="G81" s="33"/>
      <c r="H81" s="33"/>
      <c r="I81" s="10"/>
      <c r="J81" s="10"/>
      <c r="K81" s="10"/>
      <c r="L81" s="10"/>
      <c r="M81" s="10"/>
      <c r="N81" s="45"/>
      <c r="O81" s="33"/>
      <c r="P81" s="43"/>
      <c r="Q81" s="10"/>
      <c r="R81" s="10"/>
    </row>
    <row r="82" spans="1:18" s="55" customFormat="1" x14ac:dyDescent="0.25">
      <c r="A82" s="10"/>
      <c r="B82" s="33"/>
      <c r="C82" s="33"/>
      <c r="D82" s="33"/>
      <c r="E82" s="33"/>
      <c r="F82" s="33"/>
      <c r="G82" s="33"/>
      <c r="H82" s="33"/>
      <c r="I82" s="10"/>
      <c r="J82" s="10"/>
      <c r="K82" s="10"/>
      <c r="L82" s="51"/>
      <c r="M82" s="51"/>
      <c r="N82" s="37"/>
      <c r="O82" s="33"/>
      <c r="P82" s="43"/>
      <c r="Q82" s="10"/>
      <c r="R82" s="10"/>
    </row>
    <row r="83" spans="1:18" s="55" customFormat="1" x14ac:dyDescent="0.25">
      <c r="A83" s="10"/>
      <c r="B83" s="33"/>
      <c r="C83" s="33"/>
      <c r="D83" s="33"/>
      <c r="E83" s="33"/>
      <c r="F83" s="33"/>
      <c r="G83" s="33"/>
      <c r="H83" s="33"/>
      <c r="I83" s="10"/>
      <c r="J83" s="10"/>
      <c r="K83" s="10"/>
      <c r="L83" s="10"/>
      <c r="M83" s="10"/>
      <c r="N83" s="45"/>
      <c r="O83" s="33"/>
      <c r="P83" s="43"/>
      <c r="Q83" s="10"/>
      <c r="R83" s="10"/>
    </row>
    <row r="84" spans="1:18" s="55" customFormat="1" x14ac:dyDescent="0.25">
      <c r="A84" s="10"/>
      <c r="B84" s="33"/>
      <c r="C84" s="33"/>
      <c r="D84" s="33"/>
      <c r="E84" s="33"/>
      <c r="F84" s="33"/>
      <c r="G84" s="33"/>
      <c r="H84" s="33"/>
      <c r="I84" s="10"/>
      <c r="J84" s="10"/>
      <c r="K84" s="10"/>
      <c r="L84" s="10"/>
      <c r="M84" s="10"/>
      <c r="N84" s="45"/>
      <c r="O84" s="33"/>
      <c r="P84" s="43"/>
      <c r="Q84" s="10"/>
      <c r="R84" s="10"/>
    </row>
    <row r="85" spans="1:18" s="55" customFormat="1" x14ac:dyDescent="0.25">
      <c r="A85" s="10"/>
      <c r="B85" s="33"/>
      <c r="C85" s="33"/>
      <c r="D85" s="33"/>
      <c r="E85" s="33"/>
      <c r="F85" s="33"/>
      <c r="G85" s="33"/>
      <c r="H85" s="33"/>
      <c r="I85" s="10"/>
      <c r="J85" s="10"/>
      <c r="K85" s="10"/>
      <c r="L85" s="10"/>
      <c r="M85" s="10"/>
      <c r="N85" s="45"/>
      <c r="O85" s="33"/>
      <c r="P85" s="43"/>
      <c r="Q85" s="10"/>
      <c r="R85" s="10"/>
    </row>
    <row r="86" spans="1:18" s="55" customFormat="1" x14ac:dyDescent="0.25">
      <c r="A86" s="10"/>
      <c r="B86" s="33"/>
      <c r="C86" s="33"/>
      <c r="D86" s="33"/>
      <c r="E86" s="33"/>
      <c r="F86" s="33"/>
      <c r="G86" s="33"/>
      <c r="H86" s="33"/>
      <c r="I86" s="10"/>
      <c r="J86" s="10"/>
      <c r="K86" s="10"/>
      <c r="L86" s="10"/>
      <c r="M86" s="10"/>
      <c r="N86" s="45"/>
      <c r="O86" s="33"/>
      <c r="P86" s="43"/>
      <c r="Q86" s="10"/>
      <c r="R86" s="10"/>
    </row>
    <row r="87" spans="1:18" s="55" customFormat="1" x14ac:dyDescent="0.25">
      <c r="A87" s="10"/>
      <c r="B87" s="33"/>
      <c r="C87" s="33"/>
      <c r="D87" s="33"/>
      <c r="E87" s="33"/>
      <c r="F87" s="33"/>
      <c r="G87" s="33"/>
      <c r="H87" s="33"/>
      <c r="I87" s="10"/>
      <c r="J87" s="10"/>
      <c r="K87" s="10"/>
      <c r="L87" s="10"/>
      <c r="M87" s="10"/>
      <c r="N87" s="45"/>
      <c r="O87" s="33"/>
      <c r="P87" s="43"/>
      <c r="Q87" s="10"/>
      <c r="R87" s="10"/>
    </row>
    <row r="88" spans="1:18" s="55" customFormat="1" x14ac:dyDescent="0.25">
      <c r="A88" s="10"/>
      <c r="B88" s="33"/>
      <c r="C88" s="33"/>
      <c r="D88" s="33"/>
      <c r="E88" s="33"/>
      <c r="F88" s="33"/>
      <c r="G88" s="33"/>
      <c r="H88" s="33"/>
      <c r="I88" s="10"/>
      <c r="J88" s="10"/>
      <c r="K88" s="10"/>
      <c r="L88" s="10"/>
      <c r="M88" s="10"/>
      <c r="N88" s="45"/>
      <c r="O88" s="33"/>
      <c r="P88" s="43"/>
      <c r="Q88" s="10"/>
      <c r="R88" s="10"/>
    </row>
    <row r="89" spans="1:18" s="55" customFormat="1" x14ac:dyDescent="0.25">
      <c r="A89" s="10"/>
      <c r="B89" s="33"/>
      <c r="C89" s="33"/>
      <c r="D89" s="33"/>
      <c r="E89" s="33"/>
      <c r="F89" s="33"/>
      <c r="G89" s="33"/>
      <c r="H89" s="33"/>
      <c r="I89" s="10"/>
      <c r="J89" s="10"/>
      <c r="K89" s="10"/>
      <c r="L89" s="10"/>
      <c r="M89" s="10"/>
      <c r="N89" s="45"/>
      <c r="O89" s="33"/>
      <c r="P89" s="43"/>
      <c r="Q89" s="10"/>
      <c r="R89" s="10"/>
    </row>
    <row r="90" spans="1:18" s="55" customFormat="1" x14ac:dyDescent="0.25">
      <c r="A90" s="10"/>
      <c r="B90" s="33"/>
      <c r="C90" s="33"/>
      <c r="D90" s="33"/>
      <c r="E90" s="33"/>
      <c r="F90" s="33"/>
      <c r="G90" s="33"/>
      <c r="H90" s="33"/>
      <c r="I90" s="10"/>
      <c r="J90" s="10"/>
      <c r="K90" s="10"/>
      <c r="L90" s="10"/>
      <c r="M90" s="10"/>
      <c r="N90" s="45"/>
      <c r="O90" s="33"/>
      <c r="P90" s="43"/>
      <c r="Q90" s="10"/>
      <c r="R90" s="10"/>
    </row>
    <row r="91" spans="1:18" s="55" customFormat="1" x14ac:dyDescent="0.25">
      <c r="A91" s="10"/>
      <c r="B91" s="33"/>
      <c r="C91" s="33"/>
      <c r="D91" s="56"/>
      <c r="E91" s="33"/>
      <c r="F91" s="33"/>
      <c r="G91" s="33"/>
      <c r="H91" s="33"/>
      <c r="I91" s="10"/>
      <c r="J91" s="10"/>
      <c r="K91" s="10"/>
      <c r="L91" s="10"/>
      <c r="M91" s="10"/>
      <c r="N91" s="45"/>
      <c r="O91" s="33"/>
      <c r="P91" s="43"/>
      <c r="Q91" s="10"/>
      <c r="R91" s="10"/>
    </row>
    <row r="92" spans="1:18" s="55" customFormat="1" x14ac:dyDescent="0.25">
      <c r="A92" s="10"/>
      <c r="B92" s="33"/>
      <c r="C92" s="33"/>
      <c r="D92" s="33"/>
      <c r="E92" s="33"/>
      <c r="F92" s="33"/>
      <c r="G92" s="33"/>
      <c r="H92" s="33"/>
      <c r="I92" s="10"/>
      <c r="J92" s="10"/>
      <c r="K92" s="10"/>
      <c r="L92" s="10"/>
      <c r="M92" s="10"/>
      <c r="N92" s="37"/>
      <c r="O92" s="33"/>
      <c r="P92" s="43"/>
      <c r="Q92" s="10"/>
      <c r="R92" s="10"/>
    </row>
    <row r="93" spans="1:18" s="55" customFormat="1" x14ac:dyDescent="0.25">
      <c r="A93" s="10"/>
      <c r="B93" s="33"/>
      <c r="C93" s="33"/>
      <c r="D93" s="33"/>
      <c r="E93" s="33"/>
      <c r="F93" s="33"/>
      <c r="G93" s="33"/>
      <c r="H93" s="33"/>
      <c r="I93" s="10"/>
      <c r="J93" s="10"/>
      <c r="K93" s="10"/>
      <c r="L93" s="10"/>
      <c r="M93" s="10"/>
      <c r="N93" s="37"/>
      <c r="O93" s="33"/>
      <c r="P93" s="43"/>
      <c r="Q93" s="10"/>
      <c r="R93" s="10"/>
    </row>
    <row r="94" spans="1:18" s="55" customFormat="1" x14ac:dyDescent="0.25">
      <c r="A94" s="10"/>
      <c r="B94" s="33"/>
      <c r="C94" s="33"/>
      <c r="D94" s="33"/>
      <c r="E94" s="33"/>
      <c r="F94" s="33"/>
      <c r="G94" s="33"/>
      <c r="H94" s="33"/>
      <c r="I94" s="10"/>
      <c r="J94" s="10"/>
      <c r="K94" s="10"/>
      <c r="L94" s="10"/>
      <c r="M94" s="10"/>
      <c r="N94" s="37"/>
      <c r="O94" s="33"/>
      <c r="P94" s="43"/>
      <c r="Q94" s="10"/>
      <c r="R94" s="10"/>
    </row>
    <row r="95" spans="1:18" s="55" customFormat="1" x14ac:dyDescent="0.25">
      <c r="A95" s="39"/>
      <c r="B95" s="33"/>
      <c r="C95" s="33"/>
      <c r="D95" s="33"/>
      <c r="E95" s="33"/>
      <c r="F95" s="33"/>
      <c r="G95" s="33"/>
      <c r="H95" s="33"/>
      <c r="I95" s="10"/>
      <c r="J95" s="10"/>
      <c r="K95" s="10"/>
      <c r="L95" s="10"/>
      <c r="M95" s="10"/>
      <c r="N95" s="45"/>
      <c r="O95" s="33"/>
      <c r="P95" s="43"/>
      <c r="Q95" s="10"/>
      <c r="R95" s="10"/>
    </row>
    <row r="96" spans="1:18" s="55" customFormat="1" x14ac:dyDescent="0.25">
      <c r="A96" s="39"/>
      <c r="B96" s="33"/>
      <c r="C96" s="33"/>
      <c r="D96" s="33"/>
      <c r="E96" s="33"/>
      <c r="F96" s="33"/>
      <c r="G96" s="33"/>
      <c r="H96" s="33"/>
      <c r="I96" s="10"/>
      <c r="J96" s="10"/>
      <c r="K96" s="10"/>
      <c r="L96" s="10"/>
      <c r="M96" s="10"/>
      <c r="N96" s="45"/>
      <c r="O96" s="33"/>
      <c r="P96" s="43"/>
      <c r="Q96" s="10"/>
      <c r="R96" s="10"/>
    </row>
    <row r="97" spans="1:18" s="55" customFormat="1" x14ac:dyDescent="0.25">
      <c r="A97" s="39"/>
      <c r="B97" s="33"/>
      <c r="C97" s="33"/>
      <c r="D97" s="33"/>
      <c r="E97" s="33"/>
      <c r="F97" s="33"/>
      <c r="G97" s="33"/>
      <c r="H97" s="33"/>
      <c r="I97" s="10"/>
      <c r="J97" s="10"/>
      <c r="K97" s="10"/>
      <c r="L97" s="10"/>
      <c r="M97" s="10"/>
      <c r="N97" s="45"/>
      <c r="O97" s="33"/>
      <c r="P97" s="43"/>
      <c r="Q97" s="10"/>
      <c r="R97" s="10"/>
    </row>
    <row r="98" spans="1:18" s="55" customFormat="1" x14ac:dyDescent="0.25">
      <c r="A98" s="39"/>
      <c r="B98" s="33"/>
      <c r="C98" s="33"/>
      <c r="D98" s="33"/>
      <c r="E98" s="33"/>
      <c r="F98" s="33"/>
      <c r="G98" s="33"/>
      <c r="H98" s="33"/>
      <c r="I98" s="10"/>
      <c r="J98" s="10"/>
      <c r="K98" s="10"/>
      <c r="L98" s="10"/>
      <c r="M98" s="10"/>
      <c r="N98" s="45"/>
      <c r="O98" s="33"/>
      <c r="P98" s="43"/>
      <c r="Q98" s="10"/>
      <c r="R98" s="10"/>
    </row>
    <row r="99" spans="1:18" s="55" customFormat="1" x14ac:dyDescent="0.25">
      <c r="A99" s="39"/>
      <c r="B99" s="33"/>
      <c r="C99" s="33"/>
      <c r="D99" s="33"/>
      <c r="E99" s="33"/>
      <c r="F99" s="33"/>
      <c r="G99" s="33"/>
      <c r="H99" s="33"/>
      <c r="I99" s="10"/>
      <c r="J99" s="10"/>
      <c r="K99" s="10"/>
      <c r="L99" s="10"/>
      <c r="M99" s="10"/>
      <c r="N99" s="45"/>
      <c r="O99" s="33"/>
      <c r="P99" s="43"/>
      <c r="Q99" s="10"/>
      <c r="R99" s="10"/>
    </row>
    <row r="100" spans="1:18" s="55" customFormat="1" x14ac:dyDescent="0.25">
      <c r="A100" s="39"/>
      <c r="B100" s="33"/>
      <c r="C100" s="33"/>
      <c r="D100" s="33"/>
      <c r="E100" s="33"/>
      <c r="F100" s="33"/>
      <c r="G100" s="33"/>
      <c r="H100" s="33"/>
      <c r="I100" s="10"/>
      <c r="J100" s="10"/>
      <c r="K100" s="10"/>
      <c r="L100" s="10"/>
      <c r="M100" s="10"/>
      <c r="N100" s="45"/>
      <c r="O100" s="33"/>
      <c r="P100" s="43"/>
      <c r="Q100" s="10"/>
      <c r="R100" s="10"/>
    </row>
    <row r="101" spans="1:18" s="55" customFormat="1" x14ac:dyDescent="0.25">
      <c r="A101" s="39"/>
      <c r="B101" s="33"/>
      <c r="C101" s="33"/>
      <c r="D101" s="33"/>
      <c r="E101" s="33"/>
      <c r="F101" s="33"/>
      <c r="G101" s="33"/>
      <c r="H101" s="33"/>
      <c r="I101" s="10"/>
      <c r="J101" s="10"/>
      <c r="K101" s="10"/>
      <c r="L101" s="10"/>
      <c r="M101" s="10"/>
      <c r="N101" s="45"/>
      <c r="O101" s="33"/>
      <c r="P101" s="43"/>
      <c r="Q101" s="10"/>
      <c r="R101" s="10"/>
    </row>
    <row r="102" spans="1:18" s="55" customFormat="1" x14ac:dyDescent="0.25">
      <c r="A102" s="39"/>
      <c r="B102" s="33"/>
      <c r="C102" s="33"/>
      <c r="D102" s="33"/>
      <c r="E102" s="33"/>
      <c r="F102" s="33"/>
      <c r="G102" s="33"/>
      <c r="H102" s="33"/>
      <c r="I102" s="10"/>
      <c r="J102" s="10"/>
      <c r="K102" s="10"/>
      <c r="L102" s="10"/>
      <c r="M102" s="10"/>
      <c r="N102" s="45"/>
      <c r="O102" s="33"/>
      <c r="P102" s="43"/>
      <c r="Q102" s="10"/>
      <c r="R102" s="10"/>
    </row>
    <row r="103" spans="1:18" s="55" customFormat="1" x14ac:dyDescent="0.25">
      <c r="A103" s="39"/>
      <c r="B103" s="33"/>
      <c r="C103" s="33"/>
      <c r="D103" s="33"/>
      <c r="E103" s="33"/>
      <c r="F103" s="33"/>
      <c r="G103" s="33"/>
      <c r="H103" s="33"/>
      <c r="I103" s="54"/>
      <c r="J103" s="10"/>
      <c r="K103" s="10"/>
      <c r="L103" s="10"/>
      <c r="M103" s="10"/>
      <c r="N103" s="45"/>
      <c r="O103" s="33"/>
      <c r="P103" s="43"/>
      <c r="Q103" s="10"/>
      <c r="R103" s="10"/>
    </row>
    <row r="104" spans="1:18" s="55" customFormat="1" x14ac:dyDescent="0.25">
      <c r="A104" s="39"/>
      <c r="B104" s="33"/>
      <c r="C104" s="33"/>
      <c r="D104" s="33"/>
      <c r="E104" s="33"/>
      <c r="F104" s="33"/>
      <c r="G104" s="33"/>
      <c r="H104" s="57"/>
      <c r="I104" s="10"/>
      <c r="J104" s="10"/>
      <c r="K104" s="10"/>
      <c r="L104" s="10"/>
      <c r="M104" s="10"/>
      <c r="N104" s="37"/>
      <c r="O104" s="33"/>
      <c r="P104" s="43"/>
      <c r="Q104" s="10"/>
      <c r="R104" s="10"/>
    </row>
    <row r="105" spans="1:18" s="55" customFormat="1" x14ac:dyDescent="0.25">
      <c r="A105" s="39"/>
      <c r="B105" s="33"/>
      <c r="C105" s="33"/>
      <c r="D105" s="33"/>
      <c r="E105" s="33"/>
      <c r="F105" s="33"/>
      <c r="G105" s="33"/>
      <c r="H105" s="33"/>
      <c r="I105" s="10"/>
      <c r="J105" s="10"/>
      <c r="K105" s="10"/>
      <c r="L105" s="10"/>
      <c r="M105" s="10"/>
      <c r="N105" s="37"/>
      <c r="O105" s="33"/>
      <c r="P105" s="43"/>
      <c r="Q105" s="10"/>
      <c r="R105" s="10"/>
    </row>
    <row r="106" spans="1:18" s="55" customFormat="1" x14ac:dyDescent="0.25">
      <c r="A106" s="39"/>
      <c r="B106" s="33"/>
      <c r="C106" s="33"/>
      <c r="D106" s="33"/>
      <c r="E106" s="33"/>
      <c r="F106" s="33"/>
      <c r="G106" s="33"/>
      <c r="H106" s="33"/>
      <c r="I106" s="10"/>
      <c r="J106" s="10"/>
      <c r="K106" s="10"/>
      <c r="L106" s="10"/>
      <c r="M106" s="10"/>
      <c r="N106" s="37"/>
      <c r="O106" s="33"/>
      <c r="P106" s="43"/>
      <c r="Q106" s="10"/>
      <c r="R106" s="10"/>
    </row>
    <row r="107" spans="1:18" s="55" customFormat="1" x14ac:dyDescent="0.25">
      <c r="A107" s="39"/>
      <c r="B107" s="33"/>
      <c r="C107" s="33"/>
      <c r="D107" s="33"/>
      <c r="E107" s="33"/>
      <c r="F107" s="33"/>
      <c r="G107" s="33"/>
      <c r="H107" s="33"/>
      <c r="I107" s="10"/>
      <c r="J107" s="10"/>
      <c r="K107" s="10"/>
      <c r="L107" s="10"/>
      <c r="M107" s="10"/>
      <c r="N107" s="45"/>
      <c r="O107" s="33"/>
      <c r="P107" s="43"/>
      <c r="Q107" s="10"/>
      <c r="R107" s="10"/>
    </row>
    <row r="108" spans="1:18" s="55" customFormat="1" x14ac:dyDescent="0.25">
      <c r="A108" s="39"/>
      <c r="B108" s="33"/>
      <c r="C108" s="33"/>
      <c r="D108" s="33"/>
      <c r="E108" s="33"/>
      <c r="F108" s="33"/>
      <c r="G108" s="33"/>
      <c r="H108" s="33"/>
      <c r="I108" s="10"/>
      <c r="J108" s="10"/>
      <c r="K108" s="10"/>
      <c r="L108" s="10"/>
      <c r="M108" s="10"/>
      <c r="N108" s="45"/>
      <c r="O108" s="33"/>
      <c r="P108" s="43"/>
      <c r="Q108" s="10"/>
      <c r="R108" s="10"/>
    </row>
    <row r="109" spans="1:18" s="55" customFormat="1" x14ac:dyDescent="0.25">
      <c r="A109" s="39"/>
      <c r="B109" s="33"/>
      <c r="C109" s="33"/>
      <c r="D109" s="33"/>
      <c r="E109" s="33"/>
      <c r="F109" s="33"/>
      <c r="G109" s="33"/>
      <c r="H109" s="33"/>
      <c r="I109" s="54"/>
      <c r="J109" s="10"/>
      <c r="K109" s="10"/>
      <c r="L109" s="10"/>
      <c r="M109" s="10"/>
      <c r="N109" s="37"/>
      <c r="O109" s="33"/>
      <c r="P109" s="43"/>
      <c r="Q109" s="10"/>
      <c r="R109" s="10"/>
    </row>
    <row r="110" spans="1:18" s="55" customFormat="1" x14ac:dyDescent="0.25">
      <c r="A110" s="39"/>
      <c r="B110" s="33"/>
      <c r="C110" s="33"/>
      <c r="D110" s="33"/>
      <c r="E110" s="33"/>
      <c r="F110" s="33"/>
      <c r="G110" s="33"/>
      <c r="H110" s="33"/>
      <c r="I110" s="10"/>
      <c r="J110" s="10"/>
      <c r="K110" s="10"/>
      <c r="L110" s="10"/>
      <c r="M110" s="10"/>
      <c r="N110" s="37"/>
      <c r="O110" s="33"/>
      <c r="P110" s="43"/>
      <c r="Q110" s="10"/>
      <c r="R110" s="10"/>
    </row>
    <row r="111" spans="1:18" s="55" customFormat="1" x14ac:dyDescent="0.25">
      <c r="A111" s="39"/>
      <c r="B111" s="33"/>
      <c r="C111" s="33"/>
      <c r="D111" s="33"/>
      <c r="E111" s="33"/>
      <c r="F111" s="33"/>
      <c r="G111" s="33"/>
      <c r="H111" s="33"/>
      <c r="I111" s="10"/>
      <c r="J111" s="10"/>
      <c r="K111" s="10"/>
      <c r="L111" s="10"/>
      <c r="M111" s="10"/>
      <c r="N111" s="45"/>
      <c r="O111" s="33"/>
      <c r="P111" s="43"/>
      <c r="Q111" s="10"/>
      <c r="R111" s="10"/>
    </row>
    <row r="112" spans="1:18" s="55" customFormat="1" x14ac:dyDescent="0.25">
      <c r="A112" s="10"/>
      <c r="B112" s="33"/>
      <c r="C112" s="33"/>
      <c r="D112" s="33"/>
      <c r="E112" s="33"/>
      <c r="F112" s="33"/>
      <c r="G112" s="33"/>
      <c r="H112" s="33"/>
      <c r="I112" s="10"/>
      <c r="J112" s="10"/>
      <c r="K112" s="10"/>
      <c r="L112" s="10"/>
      <c r="M112" s="10"/>
      <c r="N112" s="37"/>
      <c r="O112" s="33"/>
      <c r="P112" s="43"/>
      <c r="Q112" s="10"/>
      <c r="R112" s="10"/>
    </row>
    <row r="113" spans="1:18" s="55" customFormat="1" x14ac:dyDescent="0.25">
      <c r="A113" s="39"/>
      <c r="B113" s="33"/>
      <c r="C113" s="33"/>
      <c r="D113" s="33"/>
      <c r="E113" s="33"/>
      <c r="F113" s="33"/>
      <c r="G113" s="33"/>
      <c r="H113" s="33"/>
      <c r="I113" s="10"/>
      <c r="J113" s="10"/>
      <c r="K113" s="10"/>
      <c r="L113" s="10"/>
      <c r="M113" s="10"/>
      <c r="N113" s="45"/>
      <c r="O113" s="33"/>
      <c r="P113" s="43"/>
      <c r="Q113" s="10"/>
      <c r="R113" s="10"/>
    </row>
    <row r="114" spans="1:18" s="55" customFormat="1" x14ac:dyDescent="0.25">
      <c r="A114" s="10"/>
      <c r="B114" s="33"/>
      <c r="C114" s="33"/>
      <c r="D114" s="33"/>
      <c r="E114" s="33"/>
      <c r="F114" s="33"/>
      <c r="G114" s="33"/>
      <c r="H114" s="33"/>
      <c r="I114" s="10"/>
      <c r="J114" s="10"/>
      <c r="K114" s="10"/>
      <c r="L114" s="10"/>
      <c r="M114" s="10"/>
      <c r="N114" s="37"/>
      <c r="O114" s="33"/>
      <c r="P114" s="43"/>
      <c r="Q114" s="10"/>
      <c r="R114" s="10"/>
    </row>
    <row r="115" spans="1:18" s="55" customFormat="1" x14ac:dyDescent="0.25">
      <c r="A115" s="39"/>
      <c r="B115" s="33"/>
      <c r="C115" s="33"/>
      <c r="D115" s="33"/>
      <c r="E115" s="33"/>
      <c r="F115" s="33"/>
      <c r="G115" s="33"/>
      <c r="H115" s="33"/>
      <c r="I115" s="10"/>
      <c r="J115" s="10"/>
      <c r="K115" s="10"/>
      <c r="L115" s="10"/>
      <c r="M115" s="10"/>
      <c r="N115" s="37"/>
      <c r="O115" s="33"/>
      <c r="P115" s="43"/>
      <c r="Q115" s="10"/>
      <c r="R115" s="10"/>
    </row>
    <row r="116" spans="1:18" s="55" customFormat="1" x14ac:dyDescent="0.25">
      <c r="A116" s="10"/>
      <c r="B116" s="33"/>
      <c r="C116" s="33"/>
      <c r="D116" s="33"/>
      <c r="E116" s="33"/>
      <c r="F116" s="33"/>
      <c r="G116" s="33"/>
      <c r="H116" s="33"/>
      <c r="I116" s="10"/>
      <c r="J116" s="10"/>
      <c r="K116" s="10"/>
      <c r="L116" s="10"/>
      <c r="M116" s="10"/>
      <c r="N116" s="37"/>
      <c r="O116" s="33"/>
      <c r="P116" s="43"/>
      <c r="Q116" s="10"/>
      <c r="R116" s="10"/>
    </row>
    <row r="117" spans="1:18" s="55" customFormat="1" x14ac:dyDescent="0.25">
      <c r="A117" s="39"/>
      <c r="B117" s="33"/>
      <c r="C117" s="33"/>
      <c r="D117" s="33"/>
      <c r="E117" s="33"/>
      <c r="F117" s="33"/>
      <c r="G117" s="33"/>
      <c r="H117" s="33"/>
      <c r="I117" s="10"/>
      <c r="J117" s="10"/>
      <c r="K117" s="10"/>
      <c r="L117" s="10"/>
      <c r="M117" s="10"/>
      <c r="N117" s="37"/>
      <c r="O117" s="33"/>
      <c r="P117" s="43"/>
      <c r="Q117" s="10"/>
      <c r="R117" s="10"/>
    </row>
    <row r="118" spans="1:18" s="55" customFormat="1" x14ac:dyDescent="0.25">
      <c r="A118" s="10"/>
      <c r="B118" s="33"/>
      <c r="C118" s="33"/>
      <c r="D118" s="33"/>
      <c r="E118" s="33"/>
      <c r="F118" s="33"/>
      <c r="G118" s="33"/>
      <c r="H118" s="33"/>
      <c r="I118" s="10"/>
      <c r="J118" s="10"/>
      <c r="K118" s="10"/>
      <c r="L118" s="10"/>
      <c r="M118" s="10"/>
      <c r="N118" s="45"/>
      <c r="O118" s="33"/>
      <c r="P118" s="43"/>
      <c r="Q118" s="10"/>
      <c r="R118" s="10"/>
    </row>
    <row r="119" spans="1:18" s="55" customFormat="1" x14ac:dyDescent="0.25">
      <c r="A119" s="39"/>
      <c r="B119" s="33"/>
      <c r="C119" s="33"/>
      <c r="D119" s="33"/>
      <c r="E119" s="33"/>
      <c r="F119" s="33"/>
      <c r="G119" s="33"/>
      <c r="H119" s="33"/>
      <c r="I119" s="10"/>
      <c r="J119" s="10"/>
      <c r="K119" s="10"/>
      <c r="L119" s="10"/>
      <c r="M119" s="10"/>
      <c r="N119" s="45"/>
      <c r="O119" s="33"/>
      <c r="P119" s="43"/>
      <c r="Q119" s="10"/>
      <c r="R119" s="10"/>
    </row>
    <row r="120" spans="1:18" s="55" customFormat="1" x14ac:dyDescent="0.25">
      <c r="A120" s="10"/>
      <c r="B120" s="33"/>
      <c r="C120" s="33"/>
      <c r="D120" s="33"/>
      <c r="E120" s="33"/>
      <c r="F120" s="33"/>
      <c r="G120" s="33"/>
      <c r="H120" s="33"/>
      <c r="I120" s="10"/>
      <c r="J120" s="10"/>
      <c r="K120" s="10"/>
      <c r="L120" s="10"/>
      <c r="M120" s="10"/>
      <c r="N120" s="37"/>
      <c r="O120" s="33"/>
      <c r="P120" s="43"/>
      <c r="Q120" s="10"/>
      <c r="R120" s="10"/>
    </row>
    <row r="121" spans="1:18" s="55" customFormat="1" x14ac:dyDescent="0.25">
      <c r="A121" s="39"/>
      <c r="B121" s="33"/>
      <c r="C121" s="33"/>
      <c r="D121" s="33"/>
      <c r="E121" s="33"/>
      <c r="F121" s="33"/>
      <c r="G121" s="33"/>
      <c r="H121" s="33"/>
      <c r="I121" s="10"/>
      <c r="J121" s="10"/>
      <c r="K121" s="10"/>
      <c r="L121" s="10"/>
      <c r="M121" s="10"/>
      <c r="N121" s="37"/>
      <c r="O121" s="33"/>
      <c r="P121" s="43"/>
      <c r="Q121" s="10"/>
      <c r="R121" s="10"/>
    </row>
    <row r="122" spans="1:18" s="41" customFormat="1" ht="17.25" customHeight="1" x14ac:dyDescent="0.25">
      <c r="A122" s="40"/>
      <c r="B122" s="24"/>
      <c r="C122" s="24"/>
      <c r="D122" s="24"/>
      <c r="E122" s="24"/>
      <c r="F122" s="24"/>
      <c r="G122" s="24"/>
      <c r="H122" s="24"/>
      <c r="I122" s="58"/>
      <c r="J122" s="40"/>
      <c r="K122" s="40"/>
      <c r="L122" s="40"/>
      <c r="M122" s="40"/>
      <c r="N122" s="59"/>
      <c r="O122" s="24"/>
      <c r="P122" s="60" t="str">
        <f>IF(F122="","",HYPERLINK("\\192.168.40.5\smb\2018-2019\"&amp;F122&amp;".pdf","XEM"))</f>
        <v/>
      </c>
      <c r="Q122" s="40"/>
      <c r="R122" s="40"/>
    </row>
    <row r="123" spans="1:18" s="41" customFormat="1" ht="17.25" customHeight="1" x14ac:dyDescent="0.25">
      <c r="A123" s="40"/>
      <c r="B123" s="24"/>
      <c r="C123" s="24"/>
      <c r="D123" s="24"/>
      <c r="E123" s="24"/>
      <c r="F123" s="24"/>
      <c r="G123" s="24"/>
      <c r="H123" s="24"/>
      <c r="I123" s="58"/>
      <c r="J123" s="40"/>
      <c r="K123" s="40"/>
      <c r="L123" s="40"/>
      <c r="M123" s="40"/>
      <c r="N123" s="61"/>
      <c r="O123" s="24"/>
      <c r="P123" s="60" t="str">
        <f t="shared" ref="P123:P163" si="0">IF(F123="","",HYPERLINK("\\192.168.40.5\smb\2018-2019\"&amp;F123&amp;".pdf","XEM"))</f>
        <v/>
      </c>
      <c r="Q123" s="40"/>
      <c r="R123" s="40"/>
    </row>
    <row r="124" spans="1:18" s="41" customFormat="1" ht="17.25" customHeight="1" x14ac:dyDescent="0.25">
      <c r="A124" s="40"/>
      <c r="B124" s="24"/>
      <c r="C124" s="24"/>
      <c r="D124" s="24"/>
      <c r="E124" s="24"/>
      <c r="F124" s="24"/>
      <c r="G124" s="24"/>
      <c r="H124" s="24"/>
      <c r="I124" s="58"/>
      <c r="J124" s="40"/>
      <c r="K124" s="40"/>
      <c r="L124" s="40"/>
      <c r="M124" s="40"/>
      <c r="N124" s="59"/>
      <c r="O124" s="24"/>
      <c r="P124" s="60" t="str">
        <f t="shared" si="0"/>
        <v/>
      </c>
      <c r="Q124" s="40"/>
      <c r="R124" s="40"/>
    </row>
    <row r="125" spans="1:18" s="41" customFormat="1" ht="17.25" customHeight="1" x14ac:dyDescent="0.25">
      <c r="A125" s="40"/>
      <c r="B125" s="24"/>
      <c r="C125" s="24"/>
      <c r="D125" s="24"/>
      <c r="E125" s="58"/>
      <c r="F125" s="24"/>
      <c r="G125" s="24"/>
      <c r="H125" s="24"/>
      <c r="I125" s="58"/>
      <c r="J125" s="40"/>
      <c r="K125" s="40"/>
      <c r="L125" s="40"/>
      <c r="M125" s="40"/>
      <c r="N125" s="59"/>
      <c r="O125" s="24"/>
      <c r="P125" s="60" t="str">
        <f t="shared" si="0"/>
        <v/>
      </c>
      <c r="Q125" s="40"/>
      <c r="R125" s="40"/>
    </row>
    <row r="126" spans="1:18" s="41" customFormat="1" ht="17.25" customHeight="1" x14ac:dyDescent="0.25">
      <c r="A126" s="40"/>
      <c r="B126" s="24"/>
      <c r="C126" s="24"/>
      <c r="D126" s="24"/>
      <c r="E126" s="24"/>
      <c r="F126" s="24"/>
      <c r="G126" s="24"/>
      <c r="H126" s="24"/>
      <c r="I126" s="58"/>
      <c r="J126" s="40"/>
      <c r="K126" s="40"/>
      <c r="L126" s="40"/>
      <c r="M126" s="40"/>
      <c r="N126" s="59"/>
      <c r="O126" s="24"/>
      <c r="P126" s="60" t="str">
        <f t="shared" si="0"/>
        <v/>
      </c>
      <c r="Q126" s="40"/>
      <c r="R126" s="40"/>
    </row>
    <row r="127" spans="1:18" s="41" customFormat="1" ht="17.25" customHeight="1" x14ac:dyDescent="0.25">
      <c r="A127" s="40"/>
      <c r="B127" s="24"/>
      <c r="C127" s="24"/>
      <c r="D127" s="24"/>
      <c r="E127" s="24"/>
      <c r="F127" s="24"/>
      <c r="G127" s="24"/>
      <c r="H127" s="24"/>
      <c r="I127" s="58"/>
      <c r="J127" s="40"/>
      <c r="K127" s="40"/>
      <c r="L127" s="40"/>
      <c r="M127" s="40"/>
      <c r="N127" s="59"/>
      <c r="O127" s="24"/>
      <c r="P127" s="60" t="str">
        <f t="shared" si="0"/>
        <v/>
      </c>
      <c r="Q127" s="40"/>
      <c r="R127" s="40"/>
    </row>
    <row r="128" spans="1:18" s="41" customFormat="1" ht="17.25" customHeight="1" x14ac:dyDescent="0.25">
      <c r="A128" s="40"/>
      <c r="B128" s="24"/>
      <c r="C128" s="24"/>
      <c r="D128" s="24"/>
      <c r="E128" s="24"/>
      <c r="F128" s="24"/>
      <c r="G128" s="24"/>
      <c r="H128" s="24"/>
      <c r="I128" s="58"/>
      <c r="J128" s="40"/>
      <c r="K128" s="40"/>
      <c r="L128" s="40"/>
      <c r="M128" s="40"/>
      <c r="N128" s="59"/>
      <c r="O128" s="24"/>
      <c r="P128" s="60" t="str">
        <f t="shared" si="0"/>
        <v/>
      </c>
      <c r="Q128" s="40"/>
      <c r="R128" s="40"/>
    </row>
    <row r="129" spans="1:18" s="41" customFormat="1" ht="17.25" customHeight="1" x14ac:dyDescent="0.25">
      <c r="A129" s="40"/>
      <c r="B129" s="24"/>
      <c r="C129" s="24"/>
      <c r="D129" s="24"/>
      <c r="E129" s="24"/>
      <c r="F129" s="24"/>
      <c r="G129" s="24"/>
      <c r="H129" s="24"/>
      <c r="I129" s="58"/>
      <c r="J129" s="40"/>
      <c r="K129" s="40"/>
      <c r="L129" s="40"/>
      <c r="M129" s="40"/>
      <c r="N129" s="59"/>
      <c r="O129" s="24"/>
      <c r="P129" s="60" t="str">
        <f t="shared" si="0"/>
        <v/>
      </c>
      <c r="Q129" s="40"/>
      <c r="R129" s="40"/>
    </row>
    <row r="130" spans="1:18" s="41" customFormat="1" ht="17.25" customHeight="1" x14ac:dyDescent="0.25">
      <c r="A130" s="40"/>
      <c r="B130" s="24"/>
      <c r="C130" s="24"/>
      <c r="D130" s="24"/>
      <c r="E130" s="24"/>
      <c r="F130" s="24"/>
      <c r="G130" s="24"/>
      <c r="H130" s="24"/>
      <c r="I130" s="58"/>
      <c r="J130" s="40"/>
      <c r="K130" s="40"/>
      <c r="L130" s="40"/>
      <c r="M130" s="40"/>
      <c r="N130" s="59"/>
      <c r="O130" s="24"/>
      <c r="P130" s="60" t="str">
        <f t="shared" si="0"/>
        <v/>
      </c>
      <c r="Q130" s="40"/>
      <c r="R130" s="40"/>
    </row>
    <row r="131" spans="1:18" s="41" customFormat="1" ht="17.25" customHeight="1" x14ac:dyDescent="0.25">
      <c r="A131" s="40"/>
      <c r="B131" s="24"/>
      <c r="C131" s="24"/>
      <c r="D131" s="24"/>
      <c r="E131" s="24"/>
      <c r="F131" s="24"/>
      <c r="G131" s="24"/>
      <c r="H131" s="24"/>
      <c r="I131" s="58"/>
      <c r="J131" s="40"/>
      <c r="K131" s="40"/>
      <c r="L131" s="40"/>
      <c r="M131" s="40"/>
      <c r="N131" s="59"/>
      <c r="O131" s="24"/>
      <c r="P131" s="60" t="str">
        <f t="shared" si="0"/>
        <v/>
      </c>
      <c r="Q131" s="40"/>
      <c r="R131" s="40"/>
    </row>
    <row r="132" spans="1:18" s="41" customFormat="1" ht="17.25" customHeight="1" x14ac:dyDescent="0.25">
      <c r="A132" s="40"/>
      <c r="B132" s="24"/>
      <c r="C132" s="24"/>
      <c r="D132" s="24"/>
      <c r="E132" s="24"/>
      <c r="F132" s="24"/>
      <c r="G132" s="24"/>
      <c r="H132" s="24"/>
      <c r="I132" s="58"/>
      <c r="J132" s="40"/>
      <c r="K132" s="40"/>
      <c r="L132" s="40"/>
      <c r="M132" s="40"/>
      <c r="N132" s="59"/>
      <c r="O132" s="24"/>
      <c r="P132" s="60" t="str">
        <f t="shared" si="0"/>
        <v/>
      </c>
      <c r="Q132" s="40"/>
      <c r="R132" s="40"/>
    </row>
    <row r="133" spans="1:18" s="41" customFormat="1" ht="17.25" customHeight="1" x14ac:dyDescent="0.25">
      <c r="A133" s="40"/>
      <c r="B133" s="24"/>
      <c r="C133" s="24"/>
      <c r="D133" s="24"/>
      <c r="E133" s="58"/>
      <c r="F133" s="24"/>
      <c r="G133" s="24"/>
      <c r="H133" s="24"/>
      <c r="I133" s="58"/>
      <c r="J133" s="40"/>
      <c r="K133" s="40"/>
      <c r="L133" s="40"/>
      <c r="M133" s="40"/>
      <c r="N133" s="59"/>
      <c r="O133" s="24"/>
      <c r="P133" s="60" t="str">
        <f t="shared" si="0"/>
        <v/>
      </c>
      <c r="Q133" s="40"/>
      <c r="R133" s="40"/>
    </row>
    <row r="134" spans="1:18" s="41" customFormat="1" ht="17.25" customHeight="1" x14ac:dyDescent="0.25">
      <c r="A134" s="39"/>
      <c r="B134" s="24"/>
      <c r="C134" s="24"/>
      <c r="D134" s="24"/>
      <c r="E134" s="24"/>
      <c r="F134" s="24"/>
      <c r="G134" s="24"/>
      <c r="H134" s="24"/>
      <c r="I134" s="58"/>
      <c r="J134" s="40"/>
      <c r="K134" s="40"/>
      <c r="L134" s="40"/>
      <c r="M134" s="40"/>
      <c r="N134" s="61"/>
      <c r="O134" s="24"/>
      <c r="P134" s="60" t="str">
        <f t="shared" si="0"/>
        <v/>
      </c>
      <c r="Q134" s="40"/>
      <c r="R134" s="40"/>
    </row>
    <row r="135" spans="1:18" s="41" customFormat="1" ht="17.25" customHeight="1" x14ac:dyDescent="0.25">
      <c r="A135" s="39"/>
      <c r="B135" s="24"/>
      <c r="C135" s="24"/>
      <c r="D135" s="24"/>
      <c r="E135" s="24"/>
      <c r="F135" s="24"/>
      <c r="G135" s="24"/>
      <c r="H135" s="24"/>
      <c r="I135" s="58"/>
      <c r="J135" s="40"/>
      <c r="K135" s="40"/>
      <c r="L135" s="40"/>
      <c r="M135" s="40"/>
      <c r="N135" s="59"/>
      <c r="O135" s="24"/>
      <c r="P135" s="60" t="str">
        <f t="shared" si="0"/>
        <v/>
      </c>
      <c r="Q135" s="40"/>
      <c r="R135" s="40"/>
    </row>
    <row r="136" spans="1:18" s="41" customFormat="1" ht="17.25" customHeight="1" x14ac:dyDescent="0.25">
      <c r="A136" s="39"/>
      <c r="B136" s="24"/>
      <c r="C136" s="24"/>
      <c r="D136" s="24"/>
      <c r="E136" s="24"/>
      <c r="F136" s="24"/>
      <c r="G136" s="24"/>
      <c r="H136" s="24"/>
      <c r="I136" s="58"/>
      <c r="J136" s="40"/>
      <c r="K136" s="40"/>
      <c r="L136" s="40"/>
      <c r="M136" s="40"/>
      <c r="N136" s="59"/>
      <c r="O136" s="24"/>
      <c r="P136" s="60" t="str">
        <f t="shared" si="0"/>
        <v/>
      </c>
      <c r="Q136" s="40"/>
      <c r="R136" s="40"/>
    </row>
    <row r="137" spans="1:18" s="41" customFormat="1" ht="17.25" customHeight="1" x14ac:dyDescent="0.25">
      <c r="A137" s="39"/>
      <c r="B137" s="24"/>
      <c r="C137" s="24"/>
      <c r="D137" s="24"/>
      <c r="E137" s="24"/>
      <c r="F137" s="24"/>
      <c r="G137" s="24"/>
      <c r="H137" s="24"/>
      <c r="I137" s="58"/>
      <c r="J137" s="40"/>
      <c r="K137" s="40"/>
      <c r="L137" s="40"/>
      <c r="M137" s="40"/>
      <c r="N137" s="59"/>
      <c r="O137" s="24"/>
      <c r="P137" s="60" t="str">
        <f t="shared" si="0"/>
        <v/>
      </c>
      <c r="Q137" s="40"/>
      <c r="R137" s="40"/>
    </row>
    <row r="138" spans="1:18" s="41" customFormat="1" ht="17.25" customHeight="1" x14ac:dyDescent="0.25">
      <c r="A138" s="39"/>
      <c r="B138" s="24"/>
      <c r="C138" s="24"/>
      <c r="D138" s="24"/>
      <c r="E138" s="24"/>
      <c r="F138" s="24"/>
      <c r="G138" s="24"/>
      <c r="H138" s="24"/>
      <c r="I138" s="58"/>
      <c r="J138" s="40"/>
      <c r="K138" s="40"/>
      <c r="L138" s="40"/>
      <c r="M138" s="40"/>
      <c r="N138" s="59"/>
      <c r="O138" s="24"/>
      <c r="P138" s="60" t="str">
        <f t="shared" si="0"/>
        <v/>
      </c>
      <c r="Q138" s="40"/>
      <c r="R138" s="40"/>
    </row>
    <row r="139" spans="1:18" s="41" customFormat="1" ht="17.25" customHeight="1" x14ac:dyDescent="0.25">
      <c r="A139" s="39"/>
      <c r="B139" s="24"/>
      <c r="C139" s="24"/>
      <c r="D139" s="24"/>
      <c r="E139" s="24"/>
      <c r="F139" s="24"/>
      <c r="G139" s="24"/>
      <c r="H139" s="24"/>
      <c r="I139" s="58"/>
      <c r="J139" s="40"/>
      <c r="K139" s="40"/>
      <c r="L139" s="40"/>
      <c r="M139" s="40"/>
      <c r="N139" s="59"/>
      <c r="O139" s="24"/>
      <c r="P139" s="60" t="str">
        <f t="shared" si="0"/>
        <v/>
      </c>
      <c r="Q139" s="40"/>
      <c r="R139" s="40"/>
    </row>
    <row r="140" spans="1:18" s="41" customFormat="1" x14ac:dyDescent="0.25">
      <c r="A140" s="39"/>
      <c r="B140" s="24"/>
      <c r="C140" s="24"/>
      <c r="D140" s="24"/>
      <c r="E140" s="24"/>
      <c r="F140" s="24"/>
      <c r="G140" s="24"/>
      <c r="H140" s="24"/>
      <c r="I140" s="58"/>
      <c r="J140" s="40"/>
      <c r="K140" s="40"/>
      <c r="L140" s="40"/>
      <c r="M140" s="40"/>
      <c r="N140" s="59"/>
      <c r="O140" s="24"/>
      <c r="P140" s="60" t="str">
        <f t="shared" si="0"/>
        <v/>
      </c>
      <c r="Q140" s="40"/>
      <c r="R140" s="40"/>
    </row>
    <row r="141" spans="1:18" s="41" customFormat="1" x14ac:dyDescent="0.25">
      <c r="A141" s="39"/>
      <c r="B141" s="24"/>
      <c r="C141" s="24"/>
      <c r="D141" s="24"/>
      <c r="E141" s="24"/>
      <c r="F141" s="24"/>
      <c r="G141" s="24"/>
      <c r="H141" s="24"/>
      <c r="I141" s="58"/>
      <c r="J141" s="40"/>
      <c r="K141" s="40"/>
      <c r="L141" s="40"/>
      <c r="M141" s="40"/>
      <c r="N141" s="59"/>
      <c r="O141" s="24"/>
      <c r="P141" s="60" t="str">
        <f t="shared" si="0"/>
        <v/>
      </c>
      <c r="Q141" s="40"/>
      <c r="R141" s="40"/>
    </row>
    <row r="142" spans="1:18" s="41" customFormat="1" x14ac:dyDescent="0.25">
      <c r="A142" s="39"/>
      <c r="B142" s="24"/>
      <c r="C142" s="24"/>
      <c r="D142" s="24"/>
      <c r="E142" s="24"/>
      <c r="F142" s="24"/>
      <c r="G142" s="24"/>
      <c r="H142" s="24"/>
      <c r="I142" s="58"/>
      <c r="J142" s="40"/>
      <c r="K142" s="40"/>
      <c r="L142" s="40"/>
      <c r="M142" s="40"/>
      <c r="N142" s="59"/>
      <c r="O142" s="24"/>
      <c r="P142" s="60" t="str">
        <f t="shared" si="0"/>
        <v/>
      </c>
      <c r="Q142" s="40"/>
      <c r="R142" s="40"/>
    </row>
    <row r="143" spans="1:18" s="41" customFormat="1" ht="18" customHeight="1" x14ac:dyDescent="0.25">
      <c r="A143" s="40"/>
      <c r="B143" s="24"/>
      <c r="C143" s="24"/>
      <c r="D143" s="24"/>
      <c r="E143" s="24"/>
      <c r="F143" s="24"/>
      <c r="G143" s="24"/>
      <c r="H143" s="24"/>
      <c r="I143" s="58"/>
      <c r="J143" s="40"/>
      <c r="K143" s="40"/>
      <c r="L143" s="40"/>
      <c r="M143" s="40"/>
      <c r="N143" s="59"/>
      <c r="O143" s="24"/>
      <c r="P143" s="60" t="str">
        <f t="shared" si="0"/>
        <v/>
      </c>
      <c r="Q143" s="40"/>
      <c r="R143" s="40"/>
    </row>
    <row r="144" spans="1:18" s="41" customFormat="1" ht="18" customHeight="1" x14ac:dyDescent="0.25">
      <c r="A144" s="40"/>
      <c r="B144" s="24"/>
      <c r="C144" s="24"/>
      <c r="D144" s="24"/>
      <c r="E144" s="24"/>
      <c r="F144" s="24"/>
      <c r="G144" s="24"/>
      <c r="H144" s="24"/>
      <c r="I144" s="58"/>
      <c r="J144" s="40"/>
      <c r="K144" s="40"/>
      <c r="L144" s="40"/>
      <c r="M144" s="40"/>
      <c r="N144" s="59"/>
      <c r="O144" s="24"/>
      <c r="P144" s="60" t="str">
        <f t="shared" si="0"/>
        <v/>
      </c>
      <c r="Q144" s="40"/>
      <c r="R144" s="40"/>
    </row>
    <row r="145" spans="1:18" s="41" customFormat="1" ht="18" customHeight="1" x14ac:dyDescent="0.25">
      <c r="A145" s="40"/>
      <c r="B145" s="24"/>
      <c r="C145" s="24"/>
      <c r="D145" s="24"/>
      <c r="E145" s="24"/>
      <c r="F145" s="24"/>
      <c r="G145" s="24"/>
      <c r="H145" s="24"/>
      <c r="I145" s="58"/>
      <c r="J145" s="40"/>
      <c r="K145" s="40"/>
      <c r="L145" s="40"/>
      <c r="M145" s="40"/>
      <c r="N145" s="59"/>
      <c r="O145" s="24"/>
      <c r="P145" s="60" t="str">
        <f t="shared" si="0"/>
        <v/>
      </c>
      <c r="Q145" s="40"/>
      <c r="R145" s="40"/>
    </row>
    <row r="146" spans="1:18" s="41" customFormat="1" ht="18" customHeight="1" x14ac:dyDescent="0.25">
      <c r="A146" s="40"/>
      <c r="B146" s="24"/>
      <c r="C146" s="24"/>
      <c r="D146" s="24"/>
      <c r="E146" s="24"/>
      <c r="F146" s="24"/>
      <c r="G146" s="24"/>
      <c r="H146" s="24"/>
      <c r="I146" s="58"/>
      <c r="J146" s="40"/>
      <c r="K146" s="40"/>
      <c r="L146" s="40"/>
      <c r="M146" s="40"/>
      <c r="N146" s="59"/>
      <c r="O146" s="24"/>
      <c r="P146" s="60" t="str">
        <f t="shared" si="0"/>
        <v/>
      </c>
      <c r="Q146" s="40"/>
      <c r="R146" s="40"/>
    </row>
    <row r="147" spans="1:18" s="41" customFormat="1" ht="18" customHeight="1" x14ac:dyDescent="0.25">
      <c r="A147" s="40"/>
      <c r="B147" s="24"/>
      <c r="C147" s="24"/>
      <c r="D147" s="24"/>
      <c r="E147" s="24"/>
      <c r="F147" s="24"/>
      <c r="G147" s="24"/>
      <c r="H147" s="24"/>
      <c r="I147" s="58"/>
      <c r="J147" s="40"/>
      <c r="K147" s="40"/>
      <c r="L147" s="40"/>
      <c r="M147" s="40"/>
      <c r="N147" s="59"/>
      <c r="O147" s="24"/>
      <c r="P147" s="60" t="str">
        <f t="shared" si="0"/>
        <v/>
      </c>
      <c r="Q147" s="40"/>
      <c r="R147" s="40"/>
    </row>
    <row r="148" spans="1:18" s="41" customFormat="1" ht="18" customHeight="1" x14ac:dyDescent="0.25">
      <c r="A148" s="40"/>
      <c r="B148" s="24"/>
      <c r="C148" s="24"/>
      <c r="D148" s="24"/>
      <c r="E148" s="24"/>
      <c r="F148" s="24"/>
      <c r="G148" s="24"/>
      <c r="H148" s="24"/>
      <c r="I148" s="58"/>
      <c r="J148" s="40"/>
      <c r="K148" s="40"/>
      <c r="L148" s="40"/>
      <c r="M148" s="40"/>
      <c r="N148" s="59"/>
      <c r="O148" s="24"/>
      <c r="P148" s="60" t="str">
        <f t="shared" si="0"/>
        <v/>
      </c>
      <c r="Q148" s="40"/>
      <c r="R148" s="40"/>
    </row>
    <row r="149" spans="1:18" s="41" customFormat="1" ht="18" customHeight="1" x14ac:dyDescent="0.25">
      <c r="A149" s="40"/>
      <c r="B149" s="24"/>
      <c r="C149" s="24"/>
      <c r="D149" s="24"/>
      <c r="E149" s="24"/>
      <c r="F149" s="24"/>
      <c r="G149" s="24"/>
      <c r="H149" s="24"/>
      <c r="I149" s="58"/>
      <c r="J149" s="40"/>
      <c r="K149" s="40"/>
      <c r="L149" s="40"/>
      <c r="M149" s="40"/>
      <c r="N149" s="59"/>
      <c r="O149" s="24"/>
      <c r="P149" s="60" t="str">
        <f t="shared" si="0"/>
        <v/>
      </c>
      <c r="Q149" s="40"/>
      <c r="R149" s="40"/>
    </row>
    <row r="150" spans="1:18" s="41" customFormat="1" ht="18" customHeight="1" x14ac:dyDescent="0.25">
      <c r="A150" s="40"/>
      <c r="B150" s="24"/>
      <c r="C150" s="24"/>
      <c r="D150" s="24"/>
      <c r="E150" s="24"/>
      <c r="F150" s="24"/>
      <c r="G150" s="24"/>
      <c r="H150" s="24"/>
      <c r="I150" s="58"/>
      <c r="J150" s="40"/>
      <c r="K150" s="40"/>
      <c r="L150" s="40"/>
      <c r="M150" s="40"/>
      <c r="N150" s="59"/>
      <c r="O150" s="24"/>
      <c r="P150" s="60" t="str">
        <f t="shared" si="0"/>
        <v/>
      </c>
      <c r="Q150" s="40"/>
      <c r="R150" s="40"/>
    </row>
    <row r="151" spans="1:18" s="41" customFormat="1" ht="18" customHeight="1" x14ac:dyDescent="0.25">
      <c r="A151" s="40"/>
      <c r="B151" s="24"/>
      <c r="C151" s="24"/>
      <c r="D151" s="24"/>
      <c r="E151" s="27"/>
      <c r="F151" s="24"/>
      <c r="G151" s="24"/>
      <c r="H151" s="24"/>
      <c r="I151" s="58"/>
      <c r="J151" s="40"/>
      <c r="K151" s="40"/>
      <c r="L151" s="40"/>
      <c r="M151" s="40"/>
      <c r="N151" s="59"/>
      <c r="O151" s="24"/>
      <c r="P151" s="60" t="str">
        <f t="shared" si="0"/>
        <v/>
      </c>
      <c r="Q151" s="40"/>
      <c r="R151" s="40"/>
    </row>
    <row r="152" spans="1:18" s="41" customFormat="1" ht="18" customHeight="1" x14ac:dyDescent="0.25">
      <c r="A152" s="40"/>
      <c r="B152" s="24"/>
      <c r="C152" s="24"/>
      <c r="D152" s="24"/>
      <c r="E152" s="24"/>
      <c r="F152" s="24"/>
      <c r="G152" s="24"/>
      <c r="H152" s="24"/>
      <c r="I152" s="40"/>
      <c r="J152" s="40"/>
      <c r="K152" s="40"/>
      <c r="L152" s="40"/>
      <c r="M152" s="40"/>
      <c r="N152" s="59"/>
      <c r="O152" s="24"/>
      <c r="P152" s="60" t="str">
        <f t="shared" si="0"/>
        <v/>
      </c>
      <c r="Q152" s="40"/>
      <c r="R152" s="40"/>
    </row>
    <row r="153" spans="1:18" s="41" customFormat="1" ht="18" customHeight="1" x14ac:dyDescent="0.25">
      <c r="A153" s="40"/>
      <c r="B153" s="24"/>
      <c r="C153" s="24"/>
      <c r="D153" s="24"/>
      <c r="E153" s="24"/>
      <c r="F153" s="24"/>
      <c r="G153" s="24"/>
      <c r="H153" s="24"/>
      <c r="I153" s="40"/>
      <c r="J153" s="40"/>
      <c r="K153" s="40"/>
      <c r="L153" s="40"/>
      <c r="M153" s="40"/>
      <c r="N153" s="59"/>
      <c r="O153" s="24"/>
      <c r="P153" s="60" t="str">
        <f t="shared" si="0"/>
        <v/>
      </c>
      <c r="Q153" s="40"/>
      <c r="R153" s="40"/>
    </row>
    <row r="154" spans="1:18" s="41" customFormat="1" ht="18" customHeight="1" x14ac:dyDescent="0.25">
      <c r="A154" s="40"/>
      <c r="B154" s="24"/>
      <c r="C154" s="24"/>
      <c r="D154" s="24"/>
      <c r="E154" s="24"/>
      <c r="F154" s="24"/>
      <c r="G154" s="24"/>
      <c r="H154" s="24"/>
      <c r="I154" s="40"/>
      <c r="J154" s="40"/>
      <c r="K154" s="40"/>
      <c r="L154" s="40"/>
      <c r="M154" s="40"/>
      <c r="N154" s="59"/>
      <c r="O154" s="24"/>
      <c r="P154" s="60" t="str">
        <f t="shared" si="0"/>
        <v/>
      </c>
      <c r="Q154" s="40"/>
      <c r="R154" s="40"/>
    </row>
    <row r="155" spans="1:18" s="41" customFormat="1" ht="18" customHeight="1" x14ac:dyDescent="0.25">
      <c r="A155" s="40"/>
      <c r="B155" s="24"/>
      <c r="C155" s="24"/>
      <c r="D155" s="24"/>
      <c r="E155" s="24"/>
      <c r="F155" s="24"/>
      <c r="G155" s="24"/>
      <c r="H155" s="24"/>
      <c r="I155" s="40"/>
      <c r="J155" s="40"/>
      <c r="K155" s="40"/>
      <c r="L155" s="40"/>
      <c r="M155" s="40"/>
      <c r="N155" s="59"/>
      <c r="O155" s="24"/>
      <c r="P155" s="60" t="str">
        <f t="shared" si="0"/>
        <v/>
      </c>
      <c r="Q155" s="40"/>
      <c r="R155" s="40"/>
    </row>
    <row r="156" spans="1:18" s="41" customFormat="1" ht="18" customHeight="1" x14ac:dyDescent="0.25">
      <c r="A156" s="40"/>
      <c r="B156" s="24"/>
      <c r="C156" s="24"/>
      <c r="D156" s="24"/>
      <c r="E156" s="24"/>
      <c r="F156" s="24"/>
      <c r="G156" s="24"/>
      <c r="H156" s="24"/>
      <c r="I156" s="40"/>
      <c r="J156" s="40"/>
      <c r="K156" s="40"/>
      <c r="L156" s="40"/>
      <c r="M156" s="40"/>
      <c r="N156" s="59"/>
      <c r="O156" s="24"/>
      <c r="P156" s="60" t="str">
        <f t="shared" si="0"/>
        <v/>
      </c>
      <c r="Q156" s="40"/>
      <c r="R156" s="40"/>
    </row>
    <row r="157" spans="1:18" s="41" customFormat="1" ht="18" customHeight="1" x14ac:dyDescent="0.25">
      <c r="A157" s="40"/>
      <c r="B157" s="24"/>
      <c r="C157" s="24"/>
      <c r="D157" s="24"/>
      <c r="E157" s="24"/>
      <c r="F157" s="24"/>
      <c r="G157" s="24"/>
      <c r="H157" s="24"/>
      <c r="I157" s="40"/>
      <c r="J157" s="40"/>
      <c r="K157" s="40"/>
      <c r="L157" s="40"/>
      <c r="M157" s="40"/>
      <c r="N157" s="59"/>
      <c r="O157" s="24"/>
      <c r="P157" s="60" t="str">
        <f t="shared" si="0"/>
        <v/>
      </c>
      <c r="Q157" s="40"/>
      <c r="R157" s="40"/>
    </row>
    <row r="158" spans="1:18" s="41" customFormat="1" ht="18" customHeight="1" x14ac:dyDescent="0.25">
      <c r="A158" s="40"/>
      <c r="B158" s="24"/>
      <c r="C158" s="24"/>
      <c r="D158" s="24"/>
      <c r="E158" s="24"/>
      <c r="F158" s="24"/>
      <c r="G158" s="24"/>
      <c r="H158" s="24"/>
      <c r="I158" s="40"/>
      <c r="J158" s="40"/>
      <c r="K158" s="40"/>
      <c r="L158" s="40"/>
      <c r="M158" s="40"/>
      <c r="N158" s="59"/>
      <c r="O158" s="24"/>
      <c r="P158" s="60" t="str">
        <f t="shared" si="0"/>
        <v/>
      </c>
      <c r="Q158" s="40"/>
      <c r="R158" s="40"/>
    </row>
    <row r="159" spans="1:18" s="41" customFormat="1" ht="18" customHeight="1" x14ac:dyDescent="0.25">
      <c r="A159" s="40"/>
      <c r="B159" s="24"/>
      <c r="C159" s="24"/>
      <c r="D159" s="24"/>
      <c r="E159" s="24"/>
      <c r="F159" s="24"/>
      <c r="G159" s="24"/>
      <c r="H159" s="24"/>
      <c r="I159" s="40"/>
      <c r="J159" s="40"/>
      <c r="K159" s="40"/>
      <c r="L159" s="40"/>
      <c r="M159" s="40"/>
      <c r="N159" s="59"/>
      <c r="O159" s="24"/>
      <c r="P159" s="60" t="str">
        <f t="shared" si="0"/>
        <v/>
      </c>
      <c r="Q159" s="40"/>
      <c r="R159" s="40"/>
    </row>
    <row r="160" spans="1:18" s="41" customFormat="1" ht="18" customHeight="1" x14ac:dyDescent="0.25">
      <c r="A160" s="40"/>
      <c r="B160" s="24"/>
      <c r="C160" s="24"/>
      <c r="D160" s="24"/>
      <c r="E160" s="24"/>
      <c r="F160" s="24"/>
      <c r="G160" s="24"/>
      <c r="H160" s="24"/>
      <c r="I160" s="40"/>
      <c r="J160" s="40"/>
      <c r="K160" s="40"/>
      <c r="L160" s="40"/>
      <c r="M160" s="40"/>
      <c r="N160" s="59"/>
      <c r="O160" s="24"/>
      <c r="P160" s="60" t="str">
        <f t="shared" si="0"/>
        <v/>
      </c>
      <c r="Q160" s="40"/>
      <c r="R160" s="40"/>
    </row>
    <row r="161" spans="1:18" s="41" customFormat="1" x14ac:dyDescent="0.25">
      <c r="A161" s="24"/>
      <c r="B161" s="24"/>
      <c r="C161" s="24"/>
      <c r="D161" s="24"/>
      <c r="E161" s="24"/>
      <c r="F161" s="24"/>
      <c r="G161" s="24"/>
      <c r="H161" s="24"/>
      <c r="I161" s="40"/>
      <c r="J161" s="40"/>
      <c r="K161" s="40"/>
      <c r="L161" s="40"/>
      <c r="M161" s="40"/>
      <c r="N161" s="59"/>
      <c r="O161" s="24"/>
      <c r="P161" s="60" t="str">
        <f t="shared" si="0"/>
        <v/>
      </c>
      <c r="Q161" s="40"/>
      <c r="R161" s="40"/>
    </row>
    <row r="162" spans="1:18" s="41" customFormat="1" x14ac:dyDescent="0.25">
      <c r="A162" s="24"/>
      <c r="B162" s="24"/>
      <c r="C162" s="24"/>
      <c r="D162" s="24"/>
      <c r="E162" s="24"/>
      <c r="F162" s="24"/>
      <c r="G162" s="24"/>
      <c r="H162" s="24"/>
      <c r="I162" s="40"/>
      <c r="J162" s="40"/>
      <c r="K162" s="40"/>
      <c r="L162" s="40"/>
      <c r="M162" s="40"/>
      <c r="N162" s="59"/>
      <c r="O162" s="24"/>
      <c r="P162" s="60" t="str">
        <f t="shared" si="0"/>
        <v/>
      </c>
      <c r="Q162" s="40"/>
      <c r="R162" s="40"/>
    </row>
    <row r="163" spans="1:18" s="41" customFormat="1" x14ac:dyDescent="0.25">
      <c r="A163" s="24"/>
      <c r="B163" s="24"/>
      <c r="C163" s="24"/>
      <c r="D163" s="24"/>
      <c r="E163" s="24"/>
      <c r="F163" s="24"/>
      <c r="G163" s="24"/>
      <c r="H163" s="24"/>
      <c r="I163" s="40"/>
      <c r="J163" s="40"/>
      <c r="K163" s="40"/>
      <c r="L163" s="40"/>
      <c r="M163" s="40"/>
      <c r="N163" s="59"/>
      <c r="O163" s="24"/>
      <c r="P163" s="60" t="str">
        <f t="shared" si="0"/>
        <v/>
      </c>
      <c r="Q163" s="40"/>
      <c r="R163" s="40"/>
    </row>
    <row r="164" spans="1:18" s="41" customFormat="1" x14ac:dyDescent="0.25">
      <c r="I164" s="62"/>
      <c r="J164" s="62"/>
      <c r="K164" s="62"/>
      <c r="L164" s="62"/>
      <c r="M164" s="62"/>
      <c r="N164" s="63"/>
      <c r="P164" s="64"/>
      <c r="Q164" s="62"/>
      <c r="R164" s="62"/>
    </row>
  </sheetData>
  <autoFilter ref="A4:R4" xr:uid="{E38522E0-C1A0-4F0E-A4CC-8BD43AF85B36}"/>
  <mergeCells count="16">
    <mergeCell ref="R2:R4"/>
    <mergeCell ref="J3:K3"/>
    <mergeCell ref="L3:M3"/>
    <mergeCell ref="B1:Q1"/>
    <mergeCell ref="A2:A4"/>
    <mergeCell ref="B2:B4"/>
    <mergeCell ref="C2:C4"/>
    <mergeCell ref="D2:D4"/>
    <mergeCell ref="E2:E4"/>
    <mergeCell ref="G2:G4"/>
    <mergeCell ref="H2:H4"/>
    <mergeCell ref="I2:I4"/>
    <mergeCell ref="J2:M2"/>
    <mergeCell ref="O2:O4"/>
    <mergeCell ref="P2:P4"/>
    <mergeCell ref="Q2:Q4"/>
  </mergeCells>
  <pageMargins left="0.7" right="0.7" top="0.75" bottom="0.75" header="0.3" footer="0.3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195350-EDFE-4A6D-A2E3-CE335C91FAA6}">
  <dimension ref="A1:L17"/>
  <sheetViews>
    <sheetView workbookViewId="0">
      <selection activeCell="K11" sqref="K11"/>
    </sheetView>
  </sheetViews>
  <sheetFormatPr defaultRowHeight="15" x14ac:dyDescent="0.25"/>
  <cols>
    <col min="2" max="2" width="21.140625" customWidth="1"/>
    <col min="3" max="3" width="15.42578125" customWidth="1"/>
    <col min="5" max="6" width="19.85546875" customWidth="1"/>
    <col min="7" max="7" width="23.28515625" customWidth="1"/>
    <col min="8" max="9" width="21.85546875" customWidth="1"/>
    <col min="10" max="10" width="17.7109375" customWidth="1"/>
  </cols>
  <sheetData>
    <row r="1" spans="1:12" ht="90" customHeight="1" x14ac:dyDescent="0.25">
      <c r="C1" s="92" t="s">
        <v>72</v>
      </c>
      <c r="D1" s="92"/>
      <c r="E1" s="92"/>
      <c r="F1" s="92"/>
      <c r="G1" s="92"/>
      <c r="H1" s="92"/>
      <c r="I1" s="92"/>
      <c r="J1" s="92"/>
    </row>
    <row r="2" spans="1:12" x14ac:dyDescent="0.25">
      <c r="A2" s="93" t="s">
        <v>0</v>
      </c>
      <c r="B2" s="93" t="s">
        <v>64</v>
      </c>
      <c r="C2" s="93" t="s">
        <v>5</v>
      </c>
      <c r="D2" s="94" t="s">
        <v>66</v>
      </c>
      <c r="E2" s="94" t="s">
        <v>65</v>
      </c>
      <c r="F2" s="94" t="s">
        <v>67</v>
      </c>
      <c r="G2" s="67" t="s">
        <v>71</v>
      </c>
      <c r="H2" s="67" t="s">
        <v>69</v>
      </c>
      <c r="I2" s="67" t="s">
        <v>70</v>
      </c>
      <c r="J2" s="94" t="s">
        <v>68</v>
      </c>
    </row>
    <row r="3" spans="1:12" s="6" customFormat="1" x14ac:dyDescent="0.25">
      <c r="A3" s="93"/>
      <c r="B3" s="93"/>
      <c r="C3" s="93"/>
      <c r="D3" s="94"/>
      <c r="E3" s="94"/>
      <c r="F3" s="94"/>
      <c r="G3" s="67">
        <v>46034</v>
      </c>
      <c r="H3" s="67">
        <v>46055</v>
      </c>
      <c r="I3" s="67">
        <v>46091</v>
      </c>
      <c r="J3" s="94"/>
      <c r="L3"/>
    </row>
    <row r="4" spans="1:12" s="6" customFormat="1" ht="23.25" customHeight="1" x14ac:dyDescent="0.25">
      <c r="A4" s="68">
        <v>1</v>
      </c>
      <c r="B4" s="69" t="s">
        <v>50</v>
      </c>
      <c r="C4" s="70">
        <v>10206</v>
      </c>
      <c r="D4" s="70" t="s">
        <v>39</v>
      </c>
      <c r="E4" s="71">
        <v>4</v>
      </c>
      <c r="F4" s="72">
        <v>46092</v>
      </c>
      <c r="G4" s="7"/>
      <c r="H4" s="7"/>
      <c r="I4" s="7"/>
      <c r="J4" s="7"/>
      <c r="L4"/>
    </row>
    <row r="5" spans="1:12" s="6" customFormat="1" ht="23.25" customHeight="1" x14ac:dyDescent="0.25">
      <c r="A5" s="68">
        <v>2</v>
      </c>
      <c r="B5" s="69" t="s">
        <v>52</v>
      </c>
      <c r="C5" s="70">
        <v>11215</v>
      </c>
      <c r="D5" s="70" t="s">
        <v>40</v>
      </c>
      <c r="E5" s="71">
        <v>3</v>
      </c>
      <c r="F5" s="72">
        <v>46092</v>
      </c>
      <c r="G5" s="7"/>
      <c r="H5" s="7"/>
      <c r="I5" s="7"/>
      <c r="J5" s="7"/>
      <c r="L5"/>
    </row>
    <row r="6" spans="1:12" s="6" customFormat="1" ht="23.25" customHeight="1" x14ac:dyDescent="0.25">
      <c r="A6" s="68">
        <v>3</v>
      </c>
      <c r="B6" s="69" t="s">
        <v>53</v>
      </c>
      <c r="C6" s="70">
        <v>11390</v>
      </c>
      <c r="D6" s="70" t="s">
        <v>40</v>
      </c>
      <c r="E6" s="71">
        <v>3</v>
      </c>
      <c r="F6" s="72">
        <v>46092</v>
      </c>
      <c r="G6" s="7"/>
      <c r="H6" s="7"/>
      <c r="I6" s="7"/>
      <c r="J6" s="7"/>
    </row>
    <row r="7" spans="1:12" s="6" customFormat="1" ht="23.25" customHeight="1" x14ac:dyDescent="0.25">
      <c r="A7" s="68">
        <v>4</v>
      </c>
      <c r="B7" s="69" t="s">
        <v>55</v>
      </c>
      <c r="C7" s="70">
        <v>11550</v>
      </c>
      <c r="D7" s="70" t="s">
        <v>41</v>
      </c>
      <c r="E7" s="71">
        <v>1</v>
      </c>
      <c r="F7" s="72">
        <v>46092</v>
      </c>
      <c r="G7" s="7"/>
      <c r="H7" s="7"/>
      <c r="I7" s="7"/>
      <c r="J7" s="7"/>
    </row>
    <row r="8" spans="1:12" s="6" customFormat="1" ht="23.25" customHeight="1" x14ac:dyDescent="0.25">
      <c r="A8" s="68">
        <v>5</v>
      </c>
      <c r="B8" s="69" t="s">
        <v>56</v>
      </c>
      <c r="C8" s="70">
        <v>11589</v>
      </c>
      <c r="D8" s="70" t="s">
        <v>38</v>
      </c>
      <c r="E8" s="71">
        <v>3</v>
      </c>
      <c r="F8" s="72">
        <v>46092</v>
      </c>
      <c r="G8" s="7"/>
      <c r="H8" s="7"/>
      <c r="I8" s="7"/>
      <c r="J8" s="7"/>
    </row>
    <row r="9" spans="1:12" s="6" customFormat="1" ht="23.25" customHeight="1" x14ac:dyDescent="0.25">
      <c r="A9" s="68">
        <v>6</v>
      </c>
      <c r="B9" s="69" t="s">
        <v>57</v>
      </c>
      <c r="C9" s="70">
        <v>11590</v>
      </c>
      <c r="D9" s="70" t="s">
        <v>48</v>
      </c>
      <c r="E9" s="71">
        <v>2</v>
      </c>
      <c r="F9" s="72">
        <v>46092</v>
      </c>
      <c r="G9" s="7"/>
      <c r="H9" s="7"/>
      <c r="I9" s="7"/>
      <c r="J9" s="7"/>
    </row>
    <row r="10" spans="1:12" s="6" customFormat="1" ht="23.25" customHeight="1" x14ac:dyDescent="0.25">
      <c r="A10" s="68">
        <v>7</v>
      </c>
      <c r="B10" s="69" t="s">
        <v>63</v>
      </c>
      <c r="C10" s="70">
        <v>12409</v>
      </c>
      <c r="D10" s="70" t="s">
        <v>38</v>
      </c>
      <c r="E10" s="71">
        <v>1</v>
      </c>
      <c r="F10" s="72">
        <v>46092</v>
      </c>
      <c r="G10" s="7"/>
      <c r="H10" s="7"/>
      <c r="I10" s="7"/>
      <c r="J10" s="7"/>
    </row>
    <row r="11" spans="1:12" s="6" customFormat="1" ht="23.25" customHeight="1" x14ac:dyDescent="0.25">
      <c r="A11" s="71">
        <v>8</v>
      </c>
      <c r="B11" s="69" t="s">
        <v>51</v>
      </c>
      <c r="C11" s="69">
        <v>10652</v>
      </c>
      <c r="D11" s="70" t="s">
        <v>40</v>
      </c>
      <c r="E11" s="71">
        <v>3</v>
      </c>
      <c r="F11" s="72">
        <v>46092</v>
      </c>
      <c r="G11" s="7"/>
      <c r="H11" s="7"/>
      <c r="I11" s="7"/>
      <c r="J11" s="7"/>
    </row>
    <row r="12" spans="1:12" s="6" customFormat="1" ht="23.25" customHeight="1" x14ac:dyDescent="0.25">
      <c r="A12" s="68">
        <v>9</v>
      </c>
      <c r="B12" s="69" t="s">
        <v>54</v>
      </c>
      <c r="C12" s="70">
        <v>11444</v>
      </c>
      <c r="D12" s="70" t="s">
        <v>38</v>
      </c>
      <c r="E12" s="71">
        <v>3</v>
      </c>
      <c r="F12" s="72">
        <v>46092</v>
      </c>
      <c r="G12" s="7"/>
      <c r="H12" s="7"/>
      <c r="I12" s="7"/>
      <c r="J12" s="7"/>
    </row>
    <row r="13" spans="1:12" s="6" customFormat="1" ht="23.25" customHeight="1" x14ac:dyDescent="0.25">
      <c r="A13" s="68">
        <v>10</v>
      </c>
      <c r="B13" s="69" t="s">
        <v>58</v>
      </c>
      <c r="C13" s="70">
        <v>11812</v>
      </c>
      <c r="D13" s="70" t="s">
        <v>40</v>
      </c>
      <c r="E13" s="71">
        <v>2</v>
      </c>
      <c r="F13" s="72">
        <v>46092</v>
      </c>
      <c r="G13" s="7"/>
      <c r="H13" s="7"/>
      <c r="I13" s="7"/>
      <c r="J13" s="7"/>
    </row>
    <row r="14" spans="1:12" s="6" customFormat="1" ht="23.25" customHeight="1" x14ac:dyDescent="0.25">
      <c r="A14" s="68">
        <v>11</v>
      </c>
      <c r="B14" s="69" t="s">
        <v>59</v>
      </c>
      <c r="C14" s="70">
        <v>11852</v>
      </c>
      <c r="D14" s="70" t="s">
        <v>39</v>
      </c>
      <c r="E14" s="71">
        <v>1</v>
      </c>
      <c r="F14" s="72">
        <v>46092</v>
      </c>
      <c r="G14" s="7"/>
      <c r="H14" s="7"/>
      <c r="I14" s="7"/>
      <c r="J14" s="7"/>
    </row>
    <row r="15" spans="1:12" s="6" customFormat="1" ht="23.25" customHeight="1" x14ac:dyDescent="0.25">
      <c r="A15" s="68">
        <v>12</v>
      </c>
      <c r="B15" s="69" t="s">
        <v>60</v>
      </c>
      <c r="C15" s="70">
        <v>12206</v>
      </c>
      <c r="D15" s="70" t="s">
        <v>39</v>
      </c>
      <c r="E15" s="71">
        <v>2</v>
      </c>
      <c r="F15" s="72">
        <v>46092</v>
      </c>
      <c r="G15" s="7"/>
      <c r="H15" s="7"/>
      <c r="I15" s="7"/>
      <c r="J15" s="7"/>
    </row>
    <row r="16" spans="1:12" s="6" customFormat="1" ht="23.25" customHeight="1" x14ac:dyDescent="0.25">
      <c r="A16" s="68">
        <v>13</v>
      </c>
      <c r="B16" s="69" t="s">
        <v>61</v>
      </c>
      <c r="C16" s="70">
        <v>12244</v>
      </c>
      <c r="D16" s="70" t="s">
        <v>46</v>
      </c>
      <c r="E16" s="71">
        <v>3</v>
      </c>
      <c r="F16" s="72">
        <v>46092</v>
      </c>
      <c r="G16" s="7"/>
      <c r="H16" s="7"/>
      <c r="I16" s="7"/>
      <c r="J16" s="7"/>
    </row>
    <row r="17" spans="1:10" s="6" customFormat="1" ht="23.25" customHeight="1" x14ac:dyDescent="0.25">
      <c r="A17" s="68">
        <v>14</v>
      </c>
      <c r="B17" s="69" t="s">
        <v>62</v>
      </c>
      <c r="C17" s="70">
        <v>12290</v>
      </c>
      <c r="D17" s="70" t="s">
        <v>38</v>
      </c>
      <c r="E17" s="71">
        <v>1</v>
      </c>
      <c r="F17" s="72">
        <v>46092</v>
      </c>
      <c r="G17" s="7"/>
      <c r="H17" s="7"/>
      <c r="I17" s="7"/>
      <c r="J17" s="7"/>
    </row>
  </sheetData>
  <mergeCells count="8">
    <mergeCell ref="C1:J1"/>
    <mergeCell ref="A2:A3"/>
    <mergeCell ref="B2:B3"/>
    <mergeCell ref="C2:C3"/>
    <mergeCell ref="D2:D3"/>
    <mergeCell ref="E2:E3"/>
    <mergeCell ref="F2:F3"/>
    <mergeCell ref="J2:J3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78757C-009C-4450-934D-F5951AA9AC3F}">
  <dimension ref="A1:M14"/>
  <sheetViews>
    <sheetView topLeftCell="G1" zoomScale="130" zoomScaleNormal="130" workbookViewId="0">
      <selection activeCell="Q11" sqref="Q11"/>
    </sheetView>
  </sheetViews>
  <sheetFormatPr defaultColWidth="9.140625" defaultRowHeight="15" x14ac:dyDescent="0.25"/>
  <cols>
    <col min="1" max="1" width="45.5703125" style="1" customWidth="1"/>
    <col min="2" max="16384" width="9.140625" style="1"/>
  </cols>
  <sheetData>
    <row r="1" spans="1:13" s="6" customFormat="1" x14ac:dyDescent="0.25">
      <c r="A1" s="6" t="s">
        <v>37</v>
      </c>
    </row>
    <row r="2" spans="1:13" x14ac:dyDescent="0.25">
      <c r="A2" s="7"/>
      <c r="B2" s="7" t="s">
        <v>1</v>
      </c>
      <c r="C2" s="7" t="s">
        <v>2</v>
      </c>
      <c r="D2" s="7" t="s">
        <v>3</v>
      </c>
      <c r="E2" s="7" t="s">
        <v>4</v>
      </c>
      <c r="F2" s="7" t="s">
        <v>29</v>
      </c>
      <c r="G2" s="7" t="s">
        <v>30</v>
      </c>
      <c r="H2" s="7" t="s">
        <v>31</v>
      </c>
      <c r="I2" s="7" t="s">
        <v>32</v>
      </c>
      <c r="J2" s="7" t="s">
        <v>33</v>
      </c>
      <c r="K2" s="7" t="s">
        <v>34</v>
      </c>
      <c r="L2" s="7" t="s">
        <v>35</v>
      </c>
      <c r="M2" s="7" t="s">
        <v>36</v>
      </c>
    </row>
    <row r="3" spans="1:13" x14ac:dyDescent="0.25">
      <c r="A3" s="16" t="s">
        <v>24</v>
      </c>
      <c r="B3" s="18">
        <v>0</v>
      </c>
      <c r="C3" s="18">
        <v>0</v>
      </c>
      <c r="D3" s="18">
        <v>1</v>
      </c>
      <c r="E3" s="18">
        <v>8</v>
      </c>
      <c r="F3" s="18">
        <v>4</v>
      </c>
      <c r="G3" s="18">
        <v>2</v>
      </c>
      <c r="H3" s="18">
        <v>0</v>
      </c>
      <c r="I3" s="18">
        <v>0</v>
      </c>
      <c r="J3" s="18">
        <v>7</v>
      </c>
      <c r="K3" s="18">
        <v>0</v>
      </c>
      <c r="L3" s="18">
        <v>2</v>
      </c>
      <c r="M3" s="18">
        <v>0</v>
      </c>
    </row>
    <row r="4" spans="1:13" x14ac:dyDescent="0.25">
      <c r="A4" s="16" t="s">
        <v>20</v>
      </c>
      <c r="B4" s="18">
        <v>3</v>
      </c>
      <c r="C4" s="18">
        <v>7</v>
      </c>
      <c r="D4" s="18">
        <v>1</v>
      </c>
      <c r="E4" s="18">
        <v>8</v>
      </c>
      <c r="F4" s="18">
        <v>6</v>
      </c>
      <c r="G4" s="18">
        <v>1</v>
      </c>
      <c r="H4" s="18">
        <v>13</v>
      </c>
      <c r="I4" s="18">
        <v>3</v>
      </c>
      <c r="J4" s="18">
        <v>2</v>
      </c>
      <c r="K4" s="18">
        <v>3</v>
      </c>
      <c r="L4" s="18">
        <v>4</v>
      </c>
      <c r="M4" s="18">
        <v>0</v>
      </c>
    </row>
    <row r="5" spans="1:13" x14ac:dyDescent="0.25">
      <c r="A5" s="16" t="s">
        <v>21</v>
      </c>
      <c r="B5" s="18">
        <v>1</v>
      </c>
      <c r="C5" s="18">
        <v>1</v>
      </c>
      <c r="D5" s="18">
        <v>2</v>
      </c>
      <c r="E5" s="18">
        <v>1</v>
      </c>
      <c r="F5" s="18">
        <v>0</v>
      </c>
      <c r="G5" s="18">
        <v>3</v>
      </c>
      <c r="H5" s="18">
        <v>2</v>
      </c>
      <c r="I5" s="18">
        <v>2</v>
      </c>
      <c r="J5" s="18">
        <v>1</v>
      </c>
      <c r="K5" s="18">
        <v>0</v>
      </c>
      <c r="L5" s="18">
        <v>1</v>
      </c>
      <c r="M5" s="18">
        <v>1</v>
      </c>
    </row>
    <row r="6" spans="1:13" ht="18" customHeight="1" x14ac:dyDescent="0.25">
      <c r="A6" s="16" t="s">
        <v>22</v>
      </c>
      <c r="B6" s="18">
        <v>0</v>
      </c>
      <c r="C6" s="18">
        <v>0</v>
      </c>
      <c r="D6" s="18">
        <v>0</v>
      </c>
      <c r="E6" s="18">
        <v>0</v>
      </c>
      <c r="F6" s="18">
        <v>0</v>
      </c>
      <c r="G6" s="18">
        <v>0</v>
      </c>
      <c r="H6" s="18">
        <v>0</v>
      </c>
      <c r="I6" s="18">
        <v>0</v>
      </c>
      <c r="J6" s="18">
        <v>0</v>
      </c>
      <c r="K6" s="18">
        <v>0</v>
      </c>
      <c r="L6" s="18">
        <v>0</v>
      </c>
      <c r="M6" s="18">
        <v>0</v>
      </c>
    </row>
    <row r="7" spans="1:13" x14ac:dyDescent="0.25">
      <c r="A7" s="16" t="s">
        <v>23</v>
      </c>
      <c r="B7" s="18">
        <v>3</v>
      </c>
      <c r="C7" s="18">
        <v>4</v>
      </c>
      <c r="D7" s="18">
        <v>14</v>
      </c>
      <c r="E7" s="18">
        <v>7</v>
      </c>
      <c r="F7" s="18">
        <v>6</v>
      </c>
      <c r="G7" s="18">
        <v>7</v>
      </c>
      <c r="H7" s="18">
        <v>10</v>
      </c>
      <c r="I7" s="18">
        <v>6</v>
      </c>
      <c r="J7" s="18">
        <v>8</v>
      </c>
      <c r="K7" s="18">
        <v>18</v>
      </c>
      <c r="L7" s="18">
        <v>6</v>
      </c>
      <c r="M7" s="18">
        <v>17</v>
      </c>
    </row>
    <row r="8" spans="1:13" ht="18.75" x14ac:dyDescent="0.25">
      <c r="A8" s="17" t="s">
        <v>25</v>
      </c>
      <c r="B8" s="18">
        <v>0</v>
      </c>
      <c r="C8" s="18">
        <v>0</v>
      </c>
      <c r="D8" s="18">
        <v>0</v>
      </c>
      <c r="E8" s="18">
        <v>1</v>
      </c>
      <c r="F8" s="19">
        <v>0</v>
      </c>
      <c r="G8" s="19">
        <v>0</v>
      </c>
      <c r="H8" s="19">
        <v>0</v>
      </c>
      <c r="I8" s="19">
        <v>0</v>
      </c>
      <c r="J8" s="19">
        <v>0</v>
      </c>
      <c r="K8" s="19">
        <v>0</v>
      </c>
      <c r="L8" s="19">
        <v>0</v>
      </c>
      <c r="M8" s="19">
        <v>0</v>
      </c>
    </row>
    <row r="9" spans="1:13" ht="15.75" x14ac:dyDescent="0.25">
      <c r="A9" s="20" t="s">
        <v>28</v>
      </c>
      <c r="B9" s="20">
        <f>SUM(B3:B8)</f>
        <v>7</v>
      </c>
      <c r="C9" s="20">
        <f t="shared" ref="C9:M9" si="0">SUM(C3:C8)</f>
        <v>12</v>
      </c>
      <c r="D9" s="20">
        <f t="shared" si="0"/>
        <v>18</v>
      </c>
      <c r="E9" s="20">
        <f t="shared" si="0"/>
        <v>25</v>
      </c>
      <c r="F9" s="20">
        <f t="shared" si="0"/>
        <v>16</v>
      </c>
      <c r="G9" s="20">
        <f t="shared" si="0"/>
        <v>13</v>
      </c>
      <c r="H9" s="20">
        <f t="shared" si="0"/>
        <v>25</v>
      </c>
      <c r="I9" s="20">
        <f t="shared" si="0"/>
        <v>11</v>
      </c>
      <c r="J9" s="20">
        <f t="shared" si="0"/>
        <v>18</v>
      </c>
      <c r="K9" s="20">
        <f t="shared" si="0"/>
        <v>21</v>
      </c>
      <c r="L9" s="20">
        <f t="shared" si="0"/>
        <v>13</v>
      </c>
      <c r="M9" s="20">
        <f t="shared" si="0"/>
        <v>18</v>
      </c>
    </row>
    <row r="10" spans="1:13" ht="29.25" customHeight="1" x14ac:dyDescent="0.25"/>
    <row r="11" spans="1:13" ht="29.25" customHeight="1" x14ac:dyDescent="0.25"/>
    <row r="12" spans="1:13" ht="29.25" customHeight="1" x14ac:dyDescent="0.25"/>
    <row r="13" spans="1:13" ht="29.25" customHeight="1" x14ac:dyDescent="0.25"/>
    <row r="14" spans="1:13" ht="27" customHeight="1" x14ac:dyDescent="0.25"/>
  </sheetData>
  <phoneticPr fontId="6" type="noConversion"/>
  <pageMargins left="0.7" right="0.7" top="0.75" bottom="0.75" header="0.3" footer="0.3"/>
  <pageSetup paperSize="9" orientation="portrait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CHI TIẾT 2026</vt:lpstr>
      <vt:lpstr>NV CẦN GIÁM SÁT26</vt:lpstr>
      <vt:lpstr>KẾ HOẠCH GD 2026</vt:lpstr>
      <vt:lpstr>TỔNG 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12240 Tuan</dc:creator>
  <cp:lastModifiedBy>VDM/SUONG PHAM THI THU</cp:lastModifiedBy>
  <dcterms:created xsi:type="dcterms:W3CDTF">2015-06-05T18:17:20Z</dcterms:created>
  <dcterms:modified xsi:type="dcterms:W3CDTF">2026-04-08T10:31:38Z</dcterms:modified>
</cp:coreProperties>
</file>