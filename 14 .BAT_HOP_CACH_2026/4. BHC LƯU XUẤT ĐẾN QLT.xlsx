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vdm-fsvr\Cokhi-機工\CONG VIEC CHUNG 2024\14 .BÂT HỢP CÁCH 2024\"/>
    </mc:Choice>
  </mc:AlternateContent>
  <xr:revisionPtr revIDLastSave="0" documentId="13_ncr:1_{96802620-81FC-4CC3-BDF3-959ACAED0037}" xr6:coauthVersionLast="47" xr6:coauthVersionMax="47" xr10:uidLastSave="{00000000-0000-0000-0000-000000000000}"/>
  <bookViews>
    <workbookView xWindow="-120" yWindow="-120" windowWidth="24240" windowHeight="13140" xr2:uid="{00000000-000D-0000-FFFF-FFFF00000000}"/>
  </bookViews>
  <sheets>
    <sheet name="THBC" sheetId="2" r:id="rId1"/>
    <sheet name="CHI TIẾT" sheetId="5" r:id="rId2"/>
    <sheet name="NNĐS CL"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4" i="2" l="1"/>
  <c r="P3" i="2"/>
  <c r="O4" i="2"/>
  <c r="O3" i="2"/>
  <c r="D4" i="2"/>
  <c r="E4" i="2"/>
  <c r="F4" i="2"/>
  <c r="G4" i="2"/>
  <c r="H4" i="2"/>
  <c r="I4" i="2"/>
  <c r="J4" i="2"/>
  <c r="K4" i="2"/>
  <c r="L4" i="2"/>
  <c r="M4" i="2"/>
  <c r="N4" i="2"/>
  <c r="C4" i="2"/>
  <c r="D3" i="2"/>
  <c r="E3" i="2"/>
  <c r="F3" i="2"/>
  <c r="G3" i="2"/>
  <c r="H3" i="2"/>
  <c r="I3" i="2"/>
  <c r="J3" i="2"/>
  <c r="K3" i="2"/>
  <c r="L3" i="2"/>
  <c r="M3" i="2"/>
  <c r="N3" i="2"/>
  <c r="C3" i="2"/>
  <c r="G10" i="4" l="1"/>
  <c r="C25" i="2" l="1"/>
  <c r="D25" i="2"/>
  <c r="E25" i="2"/>
  <c r="F25" i="2"/>
  <c r="G25" i="2"/>
  <c r="H25" i="2"/>
  <c r="I25" i="2"/>
  <c r="J25" i="2"/>
  <c r="K25" i="2"/>
  <c r="L25" i="2"/>
  <c r="M25" i="2"/>
  <c r="B25" i="2"/>
  <c r="C14" i="2"/>
  <c r="D14" i="2"/>
  <c r="E14" i="2"/>
  <c r="F14" i="2"/>
  <c r="G14" i="2"/>
  <c r="H14" i="2"/>
  <c r="I14" i="2"/>
  <c r="J14" i="2"/>
  <c r="K14" i="2"/>
  <c r="L14" i="2"/>
  <c r="M14" i="2"/>
  <c r="B14" i="2"/>
  <c r="N26" i="2"/>
  <c r="N15" i="2"/>
  <c r="N25" i="2" l="1"/>
  <c r="N24" i="2"/>
  <c r="N23" i="2"/>
  <c r="N22" i="2"/>
  <c r="N21" i="2"/>
  <c r="N20" i="2"/>
  <c r="N19" i="2"/>
  <c r="N14" i="2"/>
  <c r="N13" i="2"/>
  <c r="N12" i="2"/>
  <c r="N11" i="2"/>
  <c r="N10" i="2"/>
  <c r="N9" i="2"/>
  <c r="N8" i="2"/>
</calcChain>
</file>

<file path=xl/sharedStrings.xml><?xml version="1.0" encoding="utf-8"?>
<sst xmlns="http://schemas.openxmlformats.org/spreadsheetml/2006/main" count="124" uniqueCount="92">
  <si>
    <t>BHC CÔNG ĐOẠN</t>
  </si>
  <si>
    <t>Nhóm</t>
  </si>
  <si>
    <t>T1</t>
  </si>
  <si>
    <t>T2</t>
  </si>
  <si>
    <t>T3</t>
  </si>
  <si>
    <t>T4</t>
  </si>
  <si>
    <t>T5</t>
  </si>
  <si>
    <t>T6</t>
  </si>
  <si>
    <t>T7</t>
  </si>
  <si>
    <t>T8</t>
  </si>
  <si>
    <t>T9</t>
  </si>
  <si>
    <t>T10</t>
  </si>
  <si>
    <t>T11</t>
  </si>
  <si>
    <t>T12</t>
  </si>
  <si>
    <t>TỔNG</t>
  </si>
  <si>
    <t>NGOẠI QUAN &amp; HÌNH CHIẾU</t>
  </si>
  <si>
    <t>KT KHOẢNG CÁCH</t>
  </si>
  <si>
    <t>KT BD Đ/KÍNH</t>
  </si>
  <si>
    <t>DS HÌNH HỌC</t>
  </si>
  <si>
    <t>ĐỘ CỨNG</t>
  </si>
  <si>
    <t>BIỂU TỰ CHỦ</t>
  </si>
  <si>
    <t>TT</t>
  </si>
  <si>
    <t>MỤC TIÊU</t>
  </si>
  <si>
    <t>STT</t>
  </si>
  <si>
    <t>REP</t>
  </si>
  <si>
    <t>SL YC</t>
  </si>
  <si>
    <t>SL NG</t>
  </si>
  <si>
    <t>MSNV</t>
  </si>
  <si>
    <t>CĐ</t>
  </si>
  <si>
    <t>LỖI P/SINH</t>
  </si>
  <si>
    <t>NGUYÊN NHÂN</t>
  </si>
  <si>
    <t>ĐỐI SÁCH</t>
  </si>
  <si>
    <t>H/CHIẾU</t>
  </si>
  <si>
    <t>N/QUAN</t>
  </si>
  <si>
    <t>KT 
K/CÁCH</t>
  </si>
  <si>
    <t>KT
B/DÀY
D/KÍNH</t>
  </si>
  <si>
    <t>DS 
H/ DẠNG</t>
  </si>
  <si>
    <t xml:space="preserve"> Đ/CỨNG</t>
  </si>
  <si>
    <t>BIỂU
T/CHỦ</t>
  </si>
  <si>
    <t>1月</t>
  </si>
  <si>
    <t>2月</t>
  </si>
  <si>
    <t>3月</t>
  </si>
  <si>
    <t>4月</t>
  </si>
  <si>
    <t>5月</t>
  </si>
  <si>
    <t>6月</t>
  </si>
  <si>
    <t>7月</t>
  </si>
  <si>
    <t>8月</t>
  </si>
  <si>
    <t>9月</t>
  </si>
  <si>
    <t>10月</t>
  </si>
  <si>
    <t>11月</t>
  </si>
  <si>
    <t>12月</t>
  </si>
  <si>
    <t>ĐÁNH GIÁ</t>
  </si>
  <si>
    <t xml:space="preserve">Độ cứng </t>
  </si>
  <si>
    <t>PP KT</t>
  </si>
  <si>
    <t>PP GC</t>
  </si>
  <si>
    <t>Gá đặt, lấy tâm</t>
  </si>
  <si>
    <t>Vẽ hình</t>
  </si>
  <si>
    <t>Ko KT</t>
  </si>
  <si>
    <t>Ko theo S chuẩn</t>
  </si>
  <si>
    <t>Nhần lẫn</t>
  </si>
  <si>
    <t>Rỉ sét</t>
  </si>
  <si>
    <t>Mẻ CT</t>
  </si>
  <si>
    <t>Ko có đồ gá CD</t>
  </si>
  <si>
    <t>Hạng mục NG</t>
  </si>
  <si>
    <t>BHCCĐ</t>
  </si>
  <si>
    <t>BHCKT</t>
  </si>
  <si>
    <t>Total</t>
  </si>
  <si>
    <t>Ngoại quan, hình chiếu</t>
  </si>
  <si>
    <t>Ngoại quan &amp; hình chiếu</t>
  </si>
  <si>
    <t>KT khoảng cách</t>
  </si>
  <si>
    <t>KT bd đ/kính</t>
  </si>
  <si>
    <t>DS hình học</t>
  </si>
  <si>
    <t>Độ cứng</t>
  </si>
  <si>
    <t>Lưu xuất QLT</t>
  </si>
  <si>
    <t>KT tự chủ</t>
  </si>
  <si>
    <t>Hạng mục</t>
  </si>
  <si>
    <t>NN</t>
  </si>
  <si>
    <t>ĐS</t>
  </si>
  <si>
    <t>PP GC (127 kiện)</t>
  </si>
  <si>
    <t>1. Nhắc nhở hàng ngày để nâng cao ý thức của NVGC.
- QC tăng cường kiểm tra xác suất những kích thước đã gia công tại các công đoạn
=&gt; Thống kê để tái giáo dục.
2. Đối với những bản vẽ phức tạp yêu cầu QLT giáo dục phương pháp đọc bản vẽ, gia công, đo đạc trước khi giao bản vẽ.</t>
  </si>
  <si>
    <t>1. Nhân viên chủ quan, gia công theo kinh nghiệm.
2. Không tuân thủ việc gia công theo sno. chuẩn.
3. Số lượng bản vẽ Sno chuẩn còn ít=&gt; Phương pháp gia công bản vẽ chưa được chuẩn hóa.
4. Gia công những bản vẽ khó, bề rộng dung sai nhỏ như:  khuôn thành hình, mũi đột ...</t>
  </si>
  <si>
    <r>
      <t xml:space="preserve">1. Ý thức ngoại quan và kiểm tra lại kích thước sau khi gia công đối với những bản vẽ có bề rộng dung sai </t>
    </r>
    <r>
      <rPr>
        <sz val="11"/>
        <color theme="1"/>
        <rFont val="Calibri"/>
        <family val="2"/>
      </rPr>
      <t xml:space="preserve">≥0.1 của nhân viên gia công còn thấp.
2. Khả năng phân tích và đọc bản vẽ đối với những bản vẽ phức tạp của nhân viên gia công còn chưa cao.
</t>
    </r>
  </si>
  <si>
    <t>1. Nhắc nhở hằng ngày việc tuân thủ việc báo cáo, liên lạc, bàn bạc với QLT.
2. Nâng cao ý thức chấp hành gia công theo Sno. chuẩn để phòng tránh phát sinh NG.
3. Xúc tiến thiết định Sno. chuẩn, chuẩn hóa phương pháp gia công và thời gian chuẩn tại các công đoạn.
4. Tháng 3 sẽ đi công tác TKM, VNM để học hỏi kinh nghiệm để tăng năng lực gia công những bản vẽ phức tạp.</t>
  </si>
  <si>
    <t>BHC CĐ TỔ  NĂM 2024</t>
  </si>
  <si>
    <t>THÁNG PHÁT SINH</t>
  </si>
  <si>
    <t>Mã số yêu cầu</t>
  </si>
  <si>
    <t>NỘI DUNG PHÁT SINH</t>
  </si>
  <si>
    <t>CA F</t>
  </si>
  <si>
    <t>CA G</t>
  </si>
  <si>
    <t>MT 2024</t>
  </si>
  <si>
    <t>G</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</si>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</sst>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name val="ＭＳ Ｐゴシック"/>
      <family val="3"/>
      <charset val="128"/>
    </font>
    <font>
      <sz val="10"/>
      <name val="Arial"/>
      <family val="2"/>
    </font>
    <font>
      <b/>
      <sz val="11"/>
      <color theme="1"/>
      <name val="Calibri"/>
      <family val="2"/>
      <scheme val="minor"/>
    </font>
    <font>
      <sz val="11"/>
      <color theme="1"/>
      <name val="Arial"/>
      <family val="2"/>
    </font>
    <font>
      <b/>
      <sz val="11"/>
      <color rgb="FF0000FF"/>
      <name val="Arial"/>
      <family val="2"/>
    </font>
    <font>
      <b/>
      <sz val="11"/>
      <color rgb="FFFF0000"/>
      <name val="Arial"/>
      <family val="2"/>
    </font>
    <font>
      <sz val="11"/>
      <color rgb="FFFF0000"/>
      <name val="Calibri"/>
      <family val="2"/>
      <scheme val="minor"/>
    </font>
    <font>
      <sz val="11"/>
      <name val="Calibri"/>
      <family val="2"/>
      <scheme val="minor"/>
    </font>
    <font>
      <sz val="11"/>
      <color theme="1"/>
      <name val="Calibri"/>
      <family val="2"/>
    </font>
    <font>
      <sz val="18"/>
      <color theme="1"/>
      <name val="Times New Roman"/>
      <family val="1"/>
    </font>
    <font>
      <sz val="11"/>
      <color theme="1"/>
      <name val="Times New Roman"/>
      <family val="1"/>
    </font>
    <font>
      <sz val="8"/>
      <color theme="1"/>
      <name val="Times New Roman"/>
      <family val="1"/>
    </font>
    <font>
      <sz val="10"/>
      <color theme="1"/>
      <name val="Calibri"/>
      <family val="2"/>
      <scheme val="minor"/>
    </font>
    <font>
      <sz val="10"/>
      <color theme="1"/>
      <name val="Times New Roman"/>
      <family val="1"/>
    </font>
    <font>
      <sz val="10"/>
      <color theme="1" tint="4.9989318521683403E-2"/>
      <name val="Times New Roman"/>
      <family val="1"/>
    </font>
    <font>
      <sz val="10"/>
      <color theme="1"/>
      <name val="Calibri"/>
      <family val="2"/>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98DF4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1" fillId="0" borderId="0"/>
  </cellStyleXfs>
  <cellXfs count="117">
    <xf numFmtId="0" fontId="0" fillId="0" borderId="0" xfId="0"/>
    <xf numFmtId="0" fontId="2" fillId="2" borderId="1" xfId="1"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center"/>
    </xf>
    <xf numFmtId="0" fontId="4" fillId="0" borderId="0" xfId="0" applyFont="1"/>
    <xf numFmtId="0" fontId="4" fillId="3" borderId="0" xfId="0" applyFont="1" applyFill="1"/>
    <xf numFmtId="0" fontId="5" fillId="0" borderId="1" xfId="0" applyFont="1" applyBorder="1" applyAlignment="1">
      <alignment horizontal="center" vertical="center"/>
    </xf>
    <xf numFmtId="0" fontId="5" fillId="0" borderId="1" xfId="0" applyFont="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xf>
    <xf numFmtId="0" fontId="4" fillId="3" borderId="1" xfId="0" applyFont="1" applyFill="1" applyBorder="1"/>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5" fillId="3" borderId="1" xfId="0" applyFont="1" applyFill="1" applyBorder="1"/>
    <xf numFmtId="0" fontId="4" fillId="0" borderId="0" xfId="0" applyFont="1" applyAlignment="1">
      <alignment horizontal="center"/>
    </xf>
    <xf numFmtId="0" fontId="0" fillId="0" borderId="8" xfId="0" applyBorder="1"/>
    <xf numFmtId="0" fontId="0" fillId="0" borderId="9" xfId="0" applyBorder="1"/>
    <xf numFmtId="0" fontId="0" fillId="0" borderId="8" xfId="0" applyFont="1" applyBorder="1" applyAlignment="1">
      <alignment horizontal="left" vertical="center"/>
    </xf>
    <xf numFmtId="0" fontId="0" fillId="0" borderId="8" xfId="0" applyFont="1" applyFill="1" applyBorder="1" applyAlignment="1">
      <alignment horizontal="left" vertical="center"/>
    </xf>
    <xf numFmtId="0" fontId="0" fillId="0" borderId="10" xfId="0" applyFont="1" applyFill="1" applyBorder="1" applyAlignment="1">
      <alignment horizontal="center" vertical="center"/>
    </xf>
    <xf numFmtId="0" fontId="8" fillId="0" borderId="1" xfId="0" applyFont="1" applyBorder="1"/>
    <xf numFmtId="0" fontId="0" fillId="0" borderId="6" xfId="0" applyBorder="1"/>
    <xf numFmtId="0" fontId="0" fillId="0" borderId="7" xfId="0" applyBorder="1"/>
    <xf numFmtId="0" fontId="8" fillId="0" borderId="6" xfId="0" applyFont="1" applyBorder="1" applyAlignment="1">
      <alignment horizontal="center"/>
    </xf>
    <xf numFmtId="0" fontId="8" fillId="0" borderId="13" xfId="0" applyFont="1" applyBorder="1" applyAlignment="1">
      <alignment horizontal="center" vertical="center"/>
    </xf>
    <xf numFmtId="0" fontId="8" fillId="0" borderId="8" xfId="0" applyFont="1" applyBorder="1" applyAlignment="1">
      <alignment horizontal="left"/>
    </xf>
    <xf numFmtId="0" fontId="8" fillId="0" borderId="8" xfId="0" applyFont="1" applyFill="1" applyBorder="1" applyAlignment="1">
      <alignment horizontal="left"/>
    </xf>
    <xf numFmtId="0" fontId="0" fillId="0" borderId="8" xfId="0" applyBorder="1" applyAlignment="1">
      <alignment horizontal="left"/>
    </xf>
    <xf numFmtId="0" fontId="7" fillId="0" borderId="10" xfId="0" applyFont="1" applyFill="1" applyBorder="1" applyAlignment="1">
      <alignment horizontal="left"/>
    </xf>
    <xf numFmtId="0" fontId="7" fillId="0" borderId="14" xfId="0" applyFont="1" applyFill="1" applyBorder="1"/>
    <xf numFmtId="0" fontId="3" fillId="0" borderId="11" xfId="0" applyFont="1" applyBorder="1"/>
    <xf numFmtId="0" fontId="0" fillId="0" borderId="1" xfId="0" quotePrefix="1" applyBorder="1" applyAlignment="1">
      <alignment horizontal="left" vertical="center" wrapText="1"/>
    </xf>
    <xf numFmtId="0" fontId="0" fillId="0" borderId="8" xfId="0" applyFont="1" applyBorder="1" applyAlignment="1">
      <alignment horizontal="center" vertical="center"/>
    </xf>
    <xf numFmtId="0" fontId="0" fillId="0" borderId="9" xfId="0" quotePrefix="1" applyBorder="1" applyAlignment="1">
      <alignment horizontal="left" vertical="center" wrapText="1"/>
    </xf>
    <xf numFmtId="0" fontId="0" fillId="0" borderId="10" xfId="0" applyBorder="1" applyAlignment="1">
      <alignment horizontal="center" vertical="center"/>
    </xf>
    <xf numFmtId="0" fontId="0" fillId="0" borderId="14" xfId="0" quotePrefix="1" applyBorder="1" applyAlignment="1">
      <alignment horizontal="left" vertical="center" wrapText="1"/>
    </xf>
    <xf numFmtId="0" fontId="0" fillId="0" borderId="11" xfId="0" quotePrefix="1" applyBorder="1" applyAlignment="1">
      <alignment horizontal="left" vertical="center" wrapText="1"/>
    </xf>
    <xf numFmtId="0" fontId="3" fillId="5" borderId="6" xfId="0" applyFont="1" applyFill="1" applyBorder="1" applyAlignment="1">
      <alignment horizontal="center" vertical="center"/>
    </xf>
    <xf numFmtId="0" fontId="3" fillId="5" borderId="13" xfId="0" applyFont="1" applyFill="1" applyBorder="1" applyAlignment="1">
      <alignment horizontal="center" vertical="center"/>
    </xf>
    <xf numFmtId="0" fontId="3" fillId="5" borderId="7" xfId="0" applyFont="1" applyFill="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wrapText="1"/>
    </xf>
    <xf numFmtId="0" fontId="4" fillId="2" borderId="1" xfId="0" applyFont="1" applyFill="1" applyBorder="1" applyAlignment="1">
      <alignment horizont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Border="1" applyAlignment="1">
      <alignment horizontal="center" vertic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0" fillId="0" borderId="1" xfId="0" applyBorder="1" applyAlignment="1">
      <alignment horizontal="center" vertical="center" wrapText="1"/>
    </xf>
    <xf numFmtId="0" fontId="0" fillId="0" borderId="14" xfId="0" applyBorder="1" applyAlignment="1">
      <alignment horizontal="center" vertical="center" wrapText="1"/>
    </xf>
    <xf numFmtId="0" fontId="3" fillId="0" borderId="7" xfId="0" applyFont="1" applyBorder="1" applyAlignment="1">
      <alignment horizontal="center" vertical="center"/>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0" fillId="0" borderId="12" xfId="0" applyBorder="1" applyAlignment="1">
      <alignment horizontal="center" vertical="center"/>
    </xf>
    <xf numFmtId="0" fontId="0" fillId="0" borderId="0" xfId="0" applyBorder="1" applyAlignment="1">
      <alignment horizontal="center" vertical="center"/>
    </xf>
    <xf numFmtId="0" fontId="10" fillId="4" borderId="15" xfId="0" applyFont="1" applyFill="1" applyBorder="1" applyAlignment="1">
      <alignment horizontal="center"/>
    </xf>
    <xf numFmtId="0" fontId="0" fillId="0" borderId="16" xfId="0" applyBorder="1" applyAlignment="1">
      <alignment horizontal="center" wrapText="1"/>
    </xf>
    <xf numFmtId="0" fontId="11" fillId="0" borderId="16" xfId="0" applyFont="1" applyBorder="1" applyAlignment="1">
      <alignment horizontal="center" vertical="center"/>
    </xf>
    <xf numFmtId="0" fontId="11" fillId="0" borderId="17" xfId="0" applyFont="1" applyBorder="1" applyAlignment="1">
      <alignment horizontal="center" vertical="center"/>
    </xf>
    <xf numFmtId="0" fontId="11" fillId="0" borderId="1" xfId="0" applyFont="1" applyBorder="1" applyAlignment="1">
      <alignment horizontal="center" vertical="center"/>
    </xf>
    <xf numFmtId="0" fontId="10"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0" fillId="0" borderId="1" xfId="0" applyBorder="1"/>
    <xf numFmtId="0" fontId="0" fillId="0" borderId="18" xfId="0" applyBorder="1" applyAlignment="1">
      <alignment horizontal="center" wrapText="1"/>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0" fillId="0" borderId="1" xfId="0" applyBorder="1" applyAlignment="1">
      <alignment horizontal="center" vertical="center"/>
    </xf>
    <xf numFmtId="0" fontId="0" fillId="0" borderId="16" xfId="0" applyBorder="1" applyAlignment="1">
      <alignment vertical="center"/>
    </xf>
    <xf numFmtId="0" fontId="0" fillId="0" borderId="1" xfId="0" applyBorder="1" applyAlignment="1">
      <alignment horizontal="left" vertical="center"/>
    </xf>
    <xf numFmtId="0" fontId="13" fillId="0" borderId="2" xfId="0" applyFont="1" applyBorder="1" applyAlignment="1">
      <alignment horizontal="center" vertical="center"/>
    </xf>
    <xf numFmtId="0" fontId="13" fillId="0" borderId="1" xfId="0" applyFon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0" borderId="20" xfId="0" applyBorder="1" applyAlignment="1">
      <alignment vertical="center"/>
    </xf>
    <xf numFmtId="0" fontId="0" fillId="0" borderId="18" xfId="0" applyBorder="1" applyAlignment="1">
      <alignment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4" fillId="0" borderId="1" xfId="0" applyFont="1" applyBorder="1" applyAlignment="1">
      <alignment horizontal="center" vertical="top" wrapText="1"/>
    </xf>
    <xf numFmtId="0" fontId="15" fillId="0" borderId="18"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xf>
    <xf numFmtId="0" fontId="0" fillId="0" borderId="1" xfId="0" applyBorder="1" applyAlignment="1">
      <alignment wrapText="1"/>
    </xf>
    <xf numFmtId="0" fontId="0" fillId="0" borderId="1" xfId="0" applyBorder="1" applyAlignment="1">
      <alignment horizontal="left" wrapText="1"/>
    </xf>
    <xf numFmtId="0" fontId="15" fillId="0" borderId="18" xfId="0" applyFont="1" applyBorder="1" applyAlignment="1">
      <alignment horizontal="center" vertical="center" wrapText="1"/>
    </xf>
    <xf numFmtId="0" fontId="11" fillId="0" borderId="1" xfId="0" applyFont="1" applyBorder="1" applyAlignment="1">
      <alignment horizontal="left" vertical="center" wrapText="1"/>
    </xf>
    <xf numFmtId="0" fontId="0" fillId="0" borderId="1" xfId="0" applyBorder="1" applyAlignment="1">
      <alignment horizontal="center" vertical="top" wrapText="1"/>
    </xf>
    <xf numFmtId="0" fontId="0" fillId="0" borderId="1" xfId="0" applyBorder="1" applyAlignment="1">
      <alignment vertical="center" wrapText="1"/>
    </xf>
    <xf numFmtId="0" fontId="0" fillId="0" borderId="1" xfId="0" applyBorder="1" applyAlignment="1">
      <alignment horizontal="center"/>
    </xf>
    <xf numFmtId="0" fontId="0" fillId="0" borderId="21" xfId="0" applyBorder="1" applyAlignment="1">
      <alignment vertical="center"/>
    </xf>
    <xf numFmtId="0" fontId="0" fillId="0" borderId="22" xfId="0" applyBorder="1" applyAlignment="1">
      <alignment vertical="center"/>
    </xf>
    <xf numFmtId="0" fontId="14" fillId="0" borderId="16" xfId="0" applyFont="1" applyBorder="1" applyAlignment="1">
      <alignment horizontal="center" vertical="center" wrapText="1"/>
    </xf>
    <xf numFmtId="0" fontId="14" fillId="0" borderId="16" xfId="0" applyFont="1" applyBorder="1" applyAlignment="1">
      <alignment horizontal="center" vertical="center"/>
    </xf>
    <xf numFmtId="0" fontId="0" fillId="0" borderId="16" xfId="0" applyBorder="1" applyAlignment="1">
      <alignment horizontal="center" vertical="center"/>
    </xf>
    <xf numFmtId="14" fontId="0" fillId="0" borderId="16" xfId="0" applyNumberFormat="1" applyBorder="1" applyAlignment="1">
      <alignment horizontal="center" vertical="center"/>
    </xf>
    <xf numFmtId="0" fontId="0" fillId="0" borderId="16" xfId="0" applyBorder="1" applyAlignment="1">
      <alignment horizontal="center"/>
    </xf>
    <xf numFmtId="0" fontId="0" fillId="0" borderId="16" xfId="0" applyBorder="1" applyAlignment="1">
      <alignment horizontal="left" wrapText="1"/>
    </xf>
    <xf numFmtId="0" fontId="0" fillId="0" borderId="16" xfId="0" applyBorder="1" applyAlignment="1">
      <alignment horizontal="left" vertical="top" wrapText="1"/>
    </xf>
    <xf numFmtId="0" fontId="14" fillId="0" borderId="18" xfId="0" applyFont="1" applyBorder="1" applyAlignment="1">
      <alignment horizontal="center" vertical="center" wrapText="1"/>
    </xf>
    <xf numFmtId="0" fontId="14" fillId="0" borderId="18" xfId="0" applyFont="1" applyBorder="1" applyAlignment="1">
      <alignment horizontal="center" vertical="center"/>
    </xf>
    <xf numFmtId="0" fontId="0" fillId="0" borderId="18" xfId="0" applyBorder="1" applyAlignment="1">
      <alignment horizontal="center" vertical="center"/>
    </xf>
    <xf numFmtId="14" fontId="0" fillId="0" borderId="18" xfId="0" applyNumberFormat="1" applyBorder="1" applyAlignment="1">
      <alignment horizontal="center" vertical="center"/>
    </xf>
    <xf numFmtId="0" fontId="0" fillId="0" borderId="18" xfId="0" applyBorder="1" applyAlignment="1">
      <alignment horizontal="center"/>
    </xf>
    <xf numFmtId="0" fontId="0" fillId="0" borderId="18" xfId="0" applyBorder="1" applyAlignment="1">
      <alignment horizontal="left" wrapText="1"/>
    </xf>
    <xf numFmtId="0" fontId="0" fillId="0" borderId="18" xfId="0" applyBorder="1" applyAlignment="1">
      <alignment horizontal="left" vertical="top" wrapText="1"/>
    </xf>
    <xf numFmtId="0" fontId="14" fillId="0" borderId="1" xfId="0" applyFont="1" applyBorder="1" applyAlignment="1">
      <alignment horizontal="left" vertical="center"/>
    </xf>
    <xf numFmtId="0" fontId="14" fillId="0" borderId="18" xfId="0" applyFont="1" applyBorder="1" applyAlignment="1">
      <alignment horizontal="center" vertical="center"/>
    </xf>
    <xf numFmtId="0" fontId="0" fillId="0" borderId="1" xfId="0" applyBorder="1" applyAlignment="1">
      <alignment horizontal="center" wrapText="1"/>
    </xf>
    <xf numFmtId="0" fontId="16" fillId="0" borderId="1" xfId="0" applyFont="1" applyBorder="1" applyAlignment="1">
      <alignment horizontal="center" vertical="center"/>
    </xf>
    <xf numFmtId="0" fontId="0" fillId="0" borderId="1" xfId="0" applyBorder="1" applyAlignment="1">
      <alignment vertical="center"/>
    </xf>
    <xf numFmtId="0" fontId="0" fillId="0" borderId="23" xfId="0" applyBorder="1" applyAlignment="1">
      <alignment vertical="center"/>
    </xf>
    <xf numFmtId="0" fontId="0" fillId="0" borderId="0" xfId="0" applyAlignment="1">
      <alignment wrapText="1"/>
    </xf>
  </cellXfs>
  <cellStyles count="2">
    <cellStyle name="Normal" xfId="0" builtinId="0"/>
    <cellStyle name="標準_Sheet1" xfId="1" xr:uid="{48CFE2EF-8FDC-4705-BF8E-746F7766BE75}"/>
  </cellStyles>
  <dxfs count="0"/>
  <tableStyles count="0" defaultTableStyle="TableStyleMedium2" defaultPivotStyle="PivotStyleLight16"/>
  <colors>
    <mruColors>
      <color rgb="FF98DF41"/>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800"/>
              <a:t>CA G</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3.4626294755410715E-2"/>
          <c:y val="0.1427083798349324"/>
          <c:w val="0.95233238618375327"/>
          <c:h val="0.65521580635753873"/>
        </c:manualLayout>
      </c:layout>
      <c:barChart>
        <c:barDir val="col"/>
        <c:grouping val="stacked"/>
        <c:varyColors val="0"/>
        <c:ser>
          <c:idx val="0"/>
          <c:order val="0"/>
          <c:tx>
            <c:strRef>
              <c:f>THBC!$A$8</c:f>
              <c:strCache>
                <c:ptCount val="1"/>
                <c:pt idx="0">
                  <c:v>NGOẠI QUAN &amp; HÌNH CHIẾU</c:v>
                </c:pt>
              </c:strCache>
            </c:strRef>
          </c:tx>
          <c:spPr>
            <a:pattFill prst="lgGrid">
              <a:fgClr>
                <a:schemeClr val="accent4">
                  <a:lumMod val="40000"/>
                  <a:lumOff val="60000"/>
                </a:schemeClr>
              </a:fgClr>
              <a:bgClr>
                <a:schemeClr val="bg1"/>
              </a:bgClr>
            </a:pattFill>
            <a:ln>
              <a:solidFill>
                <a:schemeClr val="accent4">
                  <a:lumMod val="60000"/>
                  <a:lumOff val="40000"/>
                </a:schemeClr>
              </a:solidFill>
            </a:ln>
            <a:effectLst/>
          </c:spPr>
          <c:invertIfNegative val="0"/>
          <c:cat>
            <c:strRef>
              <c:f>THBC!$B$7:$M$7</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THBC!$B$8:$M$8</c:f>
              <c:numCache>
                <c:formatCode>General</c:formatCode>
                <c:ptCount val="12"/>
              </c:numCache>
            </c:numRef>
          </c:val>
          <c:extLst>
            <c:ext xmlns:c16="http://schemas.microsoft.com/office/drawing/2014/chart" uri="{C3380CC4-5D6E-409C-BE32-E72D297353CC}">
              <c16:uniqueId val="{00000000-2B40-4B26-873D-CFAC5889696D}"/>
            </c:ext>
          </c:extLst>
        </c:ser>
        <c:ser>
          <c:idx val="1"/>
          <c:order val="1"/>
          <c:tx>
            <c:strRef>
              <c:f>THBC!$A$9</c:f>
              <c:strCache>
                <c:ptCount val="1"/>
                <c:pt idx="0">
                  <c:v>KT KHOẢNG CÁCH</c:v>
                </c:pt>
              </c:strCache>
            </c:strRef>
          </c:tx>
          <c:spPr>
            <a:pattFill prst="sphere">
              <a:fgClr>
                <a:srgbClr val="FF0000"/>
              </a:fgClr>
              <a:bgClr>
                <a:schemeClr val="bg1"/>
              </a:bgClr>
            </a:pattFill>
            <a:ln>
              <a:solidFill>
                <a:srgbClr val="FF0000"/>
              </a:solidFill>
            </a:ln>
            <a:effectLst/>
          </c:spPr>
          <c:invertIfNegative val="0"/>
          <c:cat>
            <c:strRef>
              <c:f>THBC!$B$7:$M$7</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THBC!$B$9:$M$9</c:f>
              <c:numCache>
                <c:formatCode>General</c:formatCode>
                <c:ptCount val="12"/>
              </c:numCache>
            </c:numRef>
          </c:val>
          <c:extLst>
            <c:ext xmlns:c16="http://schemas.microsoft.com/office/drawing/2014/chart" uri="{C3380CC4-5D6E-409C-BE32-E72D297353CC}">
              <c16:uniqueId val="{00000001-2B40-4B26-873D-CFAC5889696D}"/>
            </c:ext>
          </c:extLst>
        </c:ser>
        <c:ser>
          <c:idx val="2"/>
          <c:order val="2"/>
          <c:tx>
            <c:strRef>
              <c:f>THBC!$A$10</c:f>
              <c:strCache>
                <c:ptCount val="1"/>
                <c:pt idx="0">
                  <c:v>KT BD Đ/KÍNH</c:v>
                </c:pt>
              </c:strCache>
            </c:strRef>
          </c:tx>
          <c:spPr>
            <a:pattFill prst="divot">
              <a:fgClr>
                <a:srgbClr val="0070C0"/>
              </a:fgClr>
              <a:bgClr>
                <a:schemeClr val="bg1"/>
              </a:bgClr>
            </a:pattFill>
            <a:ln>
              <a:solidFill>
                <a:srgbClr val="0070C0"/>
              </a:solidFill>
            </a:ln>
            <a:effectLst/>
          </c:spPr>
          <c:invertIfNegative val="0"/>
          <c:cat>
            <c:strRef>
              <c:f>THBC!$B$7:$M$7</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THBC!$B$10:$M$10</c:f>
              <c:numCache>
                <c:formatCode>General</c:formatCode>
                <c:ptCount val="12"/>
              </c:numCache>
            </c:numRef>
          </c:val>
          <c:extLst>
            <c:ext xmlns:c16="http://schemas.microsoft.com/office/drawing/2014/chart" uri="{C3380CC4-5D6E-409C-BE32-E72D297353CC}">
              <c16:uniqueId val="{00000002-2B40-4B26-873D-CFAC5889696D}"/>
            </c:ext>
          </c:extLst>
        </c:ser>
        <c:ser>
          <c:idx val="3"/>
          <c:order val="3"/>
          <c:tx>
            <c:strRef>
              <c:f>THBC!$A$11</c:f>
              <c:strCache>
                <c:ptCount val="1"/>
                <c:pt idx="0">
                  <c:v>DS HÌNH HỌC</c:v>
                </c:pt>
              </c:strCache>
            </c:strRef>
          </c:tx>
          <c:spPr>
            <a:pattFill prst="dkVert">
              <a:fgClr>
                <a:srgbClr val="00B0F0"/>
              </a:fgClr>
              <a:bgClr>
                <a:schemeClr val="bg1"/>
              </a:bgClr>
            </a:pattFill>
            <a:ln>
              <a:solidFill>
                <a:srgbClr val="00B0F0"/>
              </a:solidFill>
            </a:ln>
            <a:effectLst/>
          </c:spPr>
          <c:invertIfNegative val="0"/>
          <c:cat>
            <c:strRef>
              <c:f>THBC!$B$7:$M$7</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THBC!$B$11:$M$11</c:f>
              <c:numCache>
                <c:formatCode>General</c:formatCode>
                <c:ptCount val="12"/>
              </c:numCache>
            </c:numRef>
          </c:val>
          <c:extLst>
            <c:ext xmlns:c16="http://schemas.microsoft.com/office/drawing/2014/chart" uri="{C3380CC4-5D6E-409C-BE32-E72D297353CC}">
              <c16:uniqueId val="{00000003-2B40-4B26-873D-CFAC5889696D}"/>
            </c:ext>
          </c:extLst>
        </c:ser>
        <c:ser>
          <c:idx val="4"/>
          <c:order val="4"/>
          <c:tx>
            <c:strRef>
              <c:f>THBC!$A$12</c:f>
              <c:strCache>
                <c:ptCount val="1"/>
                <c:pt idx="0">
                  <c:v>ĐỘ CỨNG</c:v>
                </c:pt>
              </c:strCache>
            </c:strRef>
          </c:tx>
          <c:spPr>
            <a:solidFill>
              <a:schemeClr val="accent5"/>
            </a:solidFill>
            <a:ln>
              <a:noFill/>
            </a:ln>
            <a:effectLst/>
          </c:spPr>
          <c:invertIfNegative val="0"/>
          <c:cat>
            <c:strRef>
              <c:f>THBC!$B$7:$M$7</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THBC!$B$12:$M$12</c:f>
              <c:numCache>
                <c:formatCode>General</c:formatCode>
                <c:ptCount val="12"/>
              </c:numCache>
            </c:numRef>
          </c:val>
          <c:extLst>
            <c:ext xmlns:c16="http://schemas.microsoft.com/office/drawing/2014/chart" uri="{C3380CC4-5D6E-409C-BE32-E72D297353CC}">
              <c16:uniqueId val="{00000004-2B40-4B26-873D-CFAC5889696D}"/>
            </c:ext>
          </c:extLst>
        </c:ser>
        <c:ser>
          <c:idx val="5"/>
          <c:order val="5"/>
          <c:tx>
            <c:strRef>
              <c:f>THBC!$A$13</c:f>
              <c:strCache>
                <c:ptCount val="1"/>
                <c:pt idx="0">
                  <c:v>BIỂU TỰ CHỦ</c:v>
                </c:pt>
              </c:strCache>
            </c:strRef>
          </c:tx>
          <c:spPr>
            <a:solidFill>
              <a:schemeClr val="accent6"/>
            </a:solidFill>
            <a:ln>
              <a:noFill/>
            </a:ln>
            <a:effectLst/>
          </c:spPr>
          <c:invertIfNegative val="0"/>
          <c:cat>
            <c:strRef>
              <c:f>THBC!$B$7:$M$7</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THBC!$B$13:$M$13</c:f>
              <c:numCache>
                <c:formatCode>General</c:formatCode>
                <c:ptCount val="12"/>
              </c:numCache>
            </c:numRef>
          </c:val>
          <c:extLst>
            <c:ext xmlns:c16="http://schemas.microsoft.com/office/drawing/2014/chart" uri="{C3380CC4-5D6E-409C-BE32-E72D297353CC}">
              <c16:uniqueId val="{00000005-2B40-4B26-873D-CFAC5889696D}"/>
            </c:ext>
          </c:extLst>
        </c:ser>
        <c:dLbls>
          <c:showLegendKey val="0"/>
          <c:showVal val="0"/>
          <c:showCatName val="0"/>
          <c:showSerName val="0"/>
          <c:showPercent val="0"/>
          <c:showBubbleSize val="0"/>
        </c:dLbls>
        <c:gapWidth val="150"/>
        <c:overlap val="100"/>
        <c:axId val="852419280"/>
        <c:axId val="852421904"/>
      </c:barChart>
      <c:lineChart>
        <c:grouping val="stacked"/>
        <c:varyColors val="0"/>
        <c:ser>
          <c:idx val="6"/>
          <c:order val="6"/>
          <c:tx>
            <c:strRef>
              <c:f>THBC!$A$15</c:f>
              <c:strCache>
                <c:ptCount val="1"/>
                <c:pt idx="0">
                  <c:v>MỤC TIÊU</c:v>
                </c:pt>
              </c:strCache>
            </c:strRef>
          </c:tx>
          <c:spPr>
            <a:ln w="6350" cap="rnd">
              <a:solidFill>
                <a:srgbClr val="FF0000"/>
              </a:solidFill>
              <a:round/>
            </a:ln>
            <a:effectLst/>
          </c:spPr>
          <c:marker>
            <c:symbol val="triangle"/>
            <c:size val="5"/>
            <c:spPr>
              <a:solidFill>
                <a:srgbClr val="FF0000"/>
              </a:solidFill>
              <a:ln w="9525">
                <a:solidFill>
                  <a:srgbClr val="FF0000"/>
                </a:solidFill>
              </a:ln>
              <a:effectLst/>
            </c:spPr>
          </c:marker>
          <c:cat>
            <c:strRef>
              <c:f>THBC!$B$7:$M$7</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THBC!$B$15:$M$15</c:f>
              <c:numCache>
                <c:formatCode>General</c:formatCode>
                <c:ptCount val="12"/>
                <c:pt idx="0">
                  <c:v>5</c:v>
                </c:pt>
                <c:pt idx="1">
                  <c:v>4</c:v>
                </c:pt>
                <c:pt idx="2">
                  <c:v>6</c:v>
                </c:pt>
                <c:pt idx="3">
                  <c:v>5</c:v>
                </c:pt>
                <c:pt idx="4">
                  <c:v>4</c:v>
                </c:pt>
                <c:pt idx="5">
                  <c:v>5</c:v>
                </c:pt>
                <c:pt idx="6">
                  <c:v>4</c:v>
                </c:pt>
                <c:pt idx="7">
                  <c:v>3</c:v>
                </c:pt>
                <c:pt idx="8">
                  <c:v>4</c:v>
                </c:pt>
                <c:pt idx="9">
                  <c:v>5</c:v>
                </c:pt>
                <c:pt idx="10">
                  <c:v>4</c:v>
                </c:pt>
                <c:pt idx="11">
                  <c:v>5</c:v>
                </c:pt>
              </c:numCache>
            </c:numRef>
          </c:val>
          <c:smooth val="0"/>
          <c:extLst>
            <c:ext xmlns:c16="http://schemas.microsoft.com/office/drawing/2014/chart" uri="{C3380CC4-5D6E-409C-BE32-E72D297353CC}">
              <c16:uniqueId val="{00000006-2B40-4B26-873D-CFAC5889696D}"/>
            </c:ext>
          </c:extLst>
        </c:ser>
        <c:dLbls>
          <c:showLegendKey val="0"/>
          <c:showVal val="0"/>
          <c:showCatName val="0"/>
          <c:showSerName val="0"/>
          <c:showPercent val="0"/>
          <c:showBubbleSize val="0"/>
        </c:dLbls>
        <c:marker val="1"/>
        <c:smooth val="0"/>
        <c:axId val="852419280"/>
        <c:axId val="852421904"/>
      </c:lineChart>
      <c:catAx>
        <c:axId val="85241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52421904"/>
        <c:crosses val="autoZero"/>
        <c:auto val="1"/>
        <c:lblAlgn val="ctr"/>
        <c:lblOffset val="100"/>
        <c:noMultiLvlLbl val="0"/>
      </c:catAx>
      <c:valAx>
        <c:axId val="852421904"/>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52419280"/>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8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CA F</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stacked"/>
        <c:varyColors val="0"/>
        <c:ser>
          <c:idx val="0"/>
          <c:order val="0"/>
          <c:tx>
            <c:strRef>
              <c:f>THBC!$A$19</c:f>
              <c:strCache>
                <c:ptCount val="1"/>
                <c:pt idx="0">
                  <c:v>NGOẠI QUAN &amp; HÌNH CHIẾU</c:v>
                </c:pt>
              </c:strCache>
            </c:strRef>
          </c:tx>
          <c:spPr>
            <a:pattFill prst="lgGrid">
              <a:fgClr>
                <a:schemeClr val="accent4">
                  <a:lumMod val="40000"/>
                  <a:lumOff val="60000"/>
                </a:schemeClr>
              </a:fgClr>
              <a:bgClr>
                <a:schemeClr val="bg1"/>
              </a:bgClr>
            </a:pattFill>
            <a:ln>
              <a:solidFill>
                <a:schemeClr val="accent4">
                  <a:lumMod val="60000"/>
                  <a:lumOff val="40000"/>
                </a:schemeClr>
              </a:solidFill>
            </a:ln>
            <a:effectLst/>
          </c:spPr>
          <c:invertIfNegative val="0"/>
          <c:cat>
            <c:strRef>
              <c:f>THBC!$B$18:$M$18</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THBC!$B$19:$M$19</c:f>
              <c:numCache>
                <c:formatCode>General</c:formatCode>
                <c:ptCount val="12"/>
              </c:numCache>
            </c:numRef>
          </c:val>
          <c:extLst>
            <c:ext xmlns:c16="http://schemas.microsoft.com/office/drawing/2014/chart" uri="{C3380CC4-5D6E-409C-BE32-E72D297353CC}">
              <c16:uniqueId val="{00000000-2DFC-4832-9F23-136328A4FDC1}"/>
            </c:ext>
          </c:extLst>
        </c:ser>
        <c:ser>
          <c:idx val="1"/>
          <c:order val="1"/>
          <c:tx>
            <c:strRef>
              <c:f>THBC!$A$20</c:f>
              <c:strCache>
                <c:ptCount val="1"/>
                <c:pt idx="0">
                  <c:v>KT KHOẢNG CÁCH</c:v>
                </c:pt>
              </c:strCache>
            </c:strRef>
          </c:tx>
          <c:spPr>
            <a:pattFill prst="sphere">
              <a:fgClr>
                <a:srgbClr val="FF0000"/>
              </a:fgClr>
              <a:bgClr>
                <a:schemeClr val="bg1"/>
              </a:bgClr>
            </a:pattFill>
            <a:ln>
              <a:solidFill>
                <a:srgbClr val="FF0000"/>
              </a:solidFill>
            </a:ln>
            <a:effectLst/>
          </c:spPr>
          <c:invertIfNegative val="0"/>
          <c:cat>
            <c:strRef>
              <c:f>THBC!$B$18:$M$18</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THBC!$B$20:$M$20</c:f>
              <c:numCache>
                <c:formatCode>General</c:formatCode>
                <c:ptCount val="12"/>
              </c:numCache>
            </c:numRef>
          </c:val>
          <c:extLst>
            <c:ext xmlns:c16="http://schemas.microsoft.com/office/drawing/2014/chart" uri="{C3380CC4-5D6E-409C-BE32-E72D297353CC}">
              <c16:uniqueId val="{00000001-2DFC-4832-9F23-136328A4FDC1}"/>
            </c:ext>
          </c:extLst>
        </c:ser>
        <c:ser>
          <c:idx val="2"/>
          <c:order val="2"/>
          <c:tx>
            <c:strRef>
              <c:f>THBC!$A$21</c:f>
              <c:strCache>
                <c:ptCount val="1"/>
                <c:pt idx="0">
                  <c:v>KT BD Đ/KÍNH</c:v>
                </c:pt>
              </c:strCache>
            </c:strRef>
          </c:tx>
          <c:spPr>
            <a:pattFill prst="divot">
              <a:fgClr>
                <a:srgbClr val="0070C0"/>
              </a:fgClr>
              <a:bgClr>
                <a:schemeClr val="bg1"/>
              </a:bgClr>
            </a:pattFill>
            <a:ln>
              <a:solidFill>
                <a:srgbClr val="0070C0"/>
              </a:solidFill>
            </a:ln>
            <a:effectLst/>
          </c:spPr>
          <c:invertIfNegative val="0"/>
          <c:cat>
            <c:strRef>
              <c:f>THBC!$B$18:$M$18</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THBC!$B$21:$M$21</c:f>
              <c:numCache>
                <c:formatCode>General</c:formatCode>
                <c:ptCount val="12"/>
              </c:numCache>
            </c:numRef>
          </c:val>
          <c:extLst>
            <c:ext xmlns:c16="http://schemas.microsoft.com/office/drawing/2014/chart" uri="{C3380CC4-5D6E-409C-BE32-E72D297353CC}">
              <c16:uniqueId val="{00000002-2DFC-4832-9F23-136328A4FDC1}"/>
            </c:ext>
          </c:extLst>
        </c:ser>
        <c:ser>
          <c:idx val="3"/>
          <c:order val="3"/>
          <c:tx>
            <c:strRef>
              <c:f>THBC!$A$22</c:f>
              <c:strCache>
                <c:ptCount val="1"/>
                <c:pt idx="0">
                  <c:v>DS HÌNH HỌC</c:v>
                </c:pt>
              </c:strCache>
            </c:strRef>
          </c:tx>
          <c:spPr>
            <a:pattFill prst="dkVert">
              <a:fgClr>
                <a:srgbClr val="00B0F0"/>
              </a:fgClr>
              <a:bgClr>
                <a:schemeClr val="bg1"/>
              </a:bgClr>
            </a:pattFill>
            <a:ln>
              <a:solidFill>
                <a:srgbClr val="00B0F0"/>
              </a:solidFill>
            </a:ln>
            <a:effectLst/>
          </c:spPr>
          <c:invertIfNegative val="0"/>
          <c:cat>
            <c:strRef>
              <c:f>THBC!$B$18:$M$18</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THBC!$B$22:$M$22</c:f>
              <c:numCache>
                <c:formatCode>General</c:formatCode>
                <c:ptCount val="12"/>
              </c:numCache>
            </c:numRef>
          </c:val>
          <c:extLst>
            <c:ext xmlns:c16="http://schemas.microsoft.com/office/drawing/2014/chart" uri="{C3380CC4-5D6E-409C-BE32-E72D297353CC}">
              <c16:uniqueId val="{00000003-2DFC-4832-9F23-136328A4FDC1}"/>
            </c:ext>
          </c:extLst>
        </c:ser>
        <c:ser>
          <c:idx val="4"/>
          <c:order val="4"/>
          <c:tx>
            <c:strRef>
              <c:f>THBC!$A$23</c:f>
              <c:strCache>
                <c:ptCount val="1"/>
                <c:pt idx="0">
                  <c:v>ĐỘ CỨNG</c:v>
                </c:pt>
              </c:strCache>
            </c:strRef>
          </c:tx>
          <c:spPr>
            <a:solidFill>
              <a:schemeClr val="accent5"/>
            </a:solidFill>
            <a:ln>
              <a:noFill/>
            </a:ln>
            <a:effectLst/>
          </c:spPr>
          <c:invertIfNegative val="0"/>
          <c:cat>
            <c:strRef>
              <c:f>THBC!$B$18:$M$18</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THBC!$B$23:$M$23</c:f>
              <c:numCache>
                <c:formatCode>General</c:formatCode>
                <c:ptCount val="12"/>
              </c:numCache>
            </c:numRef>
          </c:val>
          <c:extLst>
            <c:ext xmlns:c16="http://schemas.microsoft.com/office/drawing/2014/chart" uri="{C3380CC4-5D6E-409C-BE32-E72D297353CC}">
              <c16:uniqueId val="{00000004-2DFC-4832-9F23-136328A4FDC1}"/>
            </c:ext>
          </c:extLst>
        </c:ser>
        <c:ser>
          <c:idx val="5"/>
          <c:order val="5"/>
          <c:tx>
            <c:strRef>
              <c:f>THBC!$A$24</c:f>
              <c:strCache>
                <c:ptCount val="1"/>
                <c:pt idx="0">
                  <c:v>BIỂU TỰ CHỦ</c:v>
                </c:pt>
              </c:strCache>
            </c:strRef>
          </c:tx>
          <c:spPr>
            <a:solidFill>
              <a:schemeClr val="accent6"/>
            </a:solidFill>
            <a:ln>
              <a:noFill/>
            </a:ln>
            <a:effectLst/>
          </c:spPr>
          <c:invertIfNegative val="0"/>
          <c:cat>
            <c:strRef>
              <c:f>THBC!$B$18:$M$18</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THBC!$B$24:$M$24</c:f>
              <c:numCache>
                <c:formatCode>General</c:formatCode>
                <c:ptCount val="12"/>
              </c:numCache>
            </c:numRef>
          </c:val>
          <c:extLst>
            <c:ext xmlns:c16="http://schemas.microsoft.com/office/drawing/2014/chart" uri="{C3380CC4-5D6E-409C-BE32-E72D297353CC}">
              <c16:uniqueId val="{00000005-2DFC-4832-9F23-136328A4FDC1}"/>
            </c:ext>
          </c:extLst>
        </c:ser>
        <c:dLbls>
          <c:showLegendKey val="0"/>
          <c:showVal val="0"/>
          <c:showCatName val="0"/>
          <c:showSerName val="0"/>
          <c:showPercent val="0"/>
          <c:showBubbleSize val="0"/>
        </c:dLbls>
        <c:gapWidth val="150"/>
        <c:overlap val="100"/>
        <c:axId val="744616008"/>
        <c:axId val="744614040"/>
      </c:barChart>
      <c:lineChart>
        <c:grouping val="stacked"/>
        <c:varyColors val="0"/>
        <c:ser>
          <c:idx val="6"/>
          <c:order val="6"/>
          <c:tx>
            <c:strRef>
              <c:f>THBC!$A$26</c:f>
              <c:strCache>
                <c:ptCount val="1"/>
                <c:pt idx="0">
                  <c:v>MỤC TIÊU</c:v>
                </c:pt>
              </c:strCache>
            </c:strRef>
          </c:tx>
          <c:spPr>
            <a:ln w="6350" cap="rnd">
              <a:solidFill>
                <a:srgbClr val="FF0000"/>
              </a:solidFill>
              <a:round/>
            </a:ln>
            <a:effectLst/>
          </c:spPr>
          <c:marker>
            <c:symbol val="triangle"/>
            <c:size val="5"/>
            <c:spPr>
              <a:solidFill>
                <a:srgbClr val="FF0000"/>
              </a:solidFill>
              <a:ln w="9525">
                <a:solidFill>
                  <a:srgbClr val="FF0000"/>
                </a:solidFill>
              </a:ln>
              <a:effectLst/>
            </c:spPr>
          </c:marker>
          <c:cat>
            <c:strRef>
              <c:f>THBC!$B$18:$M$18</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THBC!$B$26:$M$26</c:f>
              <c:numCache>
                <c:formatCode>General</c:formatCode>
                <c:ptCount val="12"/>
                <c:pt idx="0">
                  <c:v>5</c:v>
                </c:pt>
                <c:pt idx="1">
                  <c:v>5</c:v>
                </c:pt>
                <c:pt idx="2">
                  <c:v>6</c:v>
                </c:pt>
                <c:pt idx="3">
                  <c:v>5</c:v>
                </c:pt>
                <c:pt idx="4">
                  <c:v>5</c:v>
                </c:pt>
                <c:pt idx="5">
                  <c:v>5</c:v>
                </c:pt>
                <c:pt idx="6">
                  <c:v>4</c:v>
                </c:pt>
                <c:pt idx="7">
                  <c:v>3</c:v>
                </c:pt>
                <c:pt idx="8">
                  <c:v>4</c:v>
                </c:pt>
                <c:pt idx="9">
                  <c:v>5</c:v>
                </c:pt>
                <c:pt idx="10">
                  <c:v>5</c:v>
                </c:pt>
                <c:pt idx="11">
                  <c:v>5</c:v>
                </c:pt>
              </c:numCache>
            </c:numRef>
          </c:val>
          <c:smooth val="0"/>
          <c:extLst>
            <c:ext xmlns:c16="http://schemas.microsoft.com/office/drawing/2014/chart" uri="{C3380CC4-5D6E-409C-BE32-E72D297353CC}">
              <c16:uniqueId val="{00000006-2DFC-4832-9F23-136328A4FDC1}"/>
            </c:ext>
          </c:extLst>
        </c:ser>
        <c:dLbls>
          <c:showLegendKey val="0"/>
          <c:showVal val="0"/>
          <c:showCatName val="0"/>
          <c:showSerName val="0"/>
          <c:showPercent val="0"/>
          <c:showBubbleSize val="0"/>
        </c:dLbls>
        <c:marker val="1"/>
        <c:smooth val="0"/>
        <c:axId val="744616008"/>
        <c:axId val="744614040"/>
      </c:lineChart>
      <c:catAx>
        <c:axId val="744616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44614040"/>
        <c:crosses val="autoZero"/>
        <c:auto val="1"/>
        <c:lblAlgn val="ctr"/>
        <c:lblOffset val="100"/>
        <c:noMultiLvlLbl val="0"/>
      </c:catAx>
      <c:valAx>
        <c:axId val="744614040"/>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44616008"/>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17610</xdr:colOff>
      <xdr:row>1</xdr:row>
      <xdr:rowOff>15426</xdr:rowOff>
    </xdr:from>
    <xdr:to>
      <xdr:col>29</xdr:col>
      <xdr:colOff>174492</xdr:colOff>
      <xdr:row>12</xdr:row>
      <xdr:rowOff>5499</xdr:rowOff>
    </xdr:to>
    <xdr:graphicFrame macro="">
      <xdr:nvGraphicFramePr>
        <xdr:cNvPr id="2" name="Chart 4">
          <a:extLst>
            <a:ext uri="{FF2B5EF4-FFF2-40B4-BE49-F238E27FC236}">
              <a16:creationId xmlns:a16="http://schemas.microsoft.com/office/drawing/2014/main" id="{CA773CB3-9D8E-4D04-9F16-13F6CC8F2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17609</xdr:colOff>
      <xdr:row>12</xdr:row>
      <xdr:rowOff>86591</xdr:rowOff>
    </xdr:from>
    <xdr:to>
      <xdr:col>29</xdr:col>
      <xdr:colOff>173182</xdr:colOff>
      <xdr:row>26</xdr:row>
      <xdr:rowOff>91176</xdr:rowOff>
    </xdr:to>
    <xdr:graphicFrame macro="">
      <xdr:nvGraphicFramePr>
        <xdr:cNvPr id="3" name="Chart 5">
          <a:extLst>
            <a:ext uri="{FF2B5EF4-FFF2-40B4-BE49-F238E27FC236}">
              <a16:creationId xmlns:a16="http://schemas.microsoft.com/office/drawing/2014/main" id="{E96ADB15-D6F2-4A1E-A59B-786F402F0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9CAC3-8F9A-463D-9445-F35D43DAC4AE}">
  <dimension ref="A1:P39"/>
  <sheetViews>
    <sheetView tabSelected="1" zoomScale="70" zoomScaleNormal="70" workbookViewId="0">
      <selection activeCell="O4" sqref="O4"/>
    </sheetView>
  </sheetViews>
  <sheetFormatPr defaultRowHeight="14.25" x14ac:dyDescent="0.2"/>
  <cols>
    <col min="1" max="1" width="38" style="5" bestFit="1" customWidth="1"/>
    <col min="2" max="13" width="9.140625" style="5"/>
    <col min="14" max="14" width="10.7109375" style="5" bestFit="1" customWidth="1"/>
    <col min="15" max="16384" width="9.140625" style="5"/>
  </cols>
  <sheetData>
    <row r="1" spans="1:16" ht="21" customHeight="1" x14ac:dyDescent="0.2">
      <c r="A1" s="45" t="s">
        <v>0</v>
      </c>
      <c r="B1" s="46"/>
      <c r="C1" s="46"/>
      <c r="D1" s="46"/>
      <c r="E1" s="46"/>
      <c r="F1" s="46"/>
      <c r="G1" s="46"/>
      <c r="H1" s="46"/>
      <c r="I1" s="46"/>
      <c r="J1" s="46"/>
      <c r="K1" s="46"/>
      <c r="L1" s="46"/>
      <c r="M1" s="46"/>
      <c r="N1" s="46"/>
      <c r="O1" s="46"/>
      <c r="P1" s="46"/>
    </row>
    <row r="2" spans="1:16" x14ac:dyDescent="0.2">
      <c r="A2" s="2" t="s">
        <v>1</v>
      </c>
      <c r="B2" s="1">
        <v>2023</v>
      </c>
      <c r="C2" s="1" t="s">
        <v>39</v>
      </c>
      <c r="D2" s="1" t="s">
        <v>40</v>
      </c>
      <c r="E2" s="1" t="s">
        <v>41</v>
      </c>
      <c r="F2" s="1" t="s">
        <v>42</v>
      </c>
      <c r="G2" s="1" t="s">
        <v>43</v>
      </c>
      <c r="H2" s="1" t="s">
        <v>44</v>
      </c>
      <c r="I2" s="1" t="s">
        <v>45</v>
      </c>
      <c r="J2" s="1" t="s">
        <v>46</v>
      </c>
      <c r="K2" s="1" t="s">
        <v>47</v>
      </c>
      <c r="L2" s="1" t="s">
        <v>48</v>
      </c>
      <c r="M2" s="1" t="s">
        <v>49</v>
      </c>
      <c r="N2" s="1" t="s">
        <v>50</v>
      </c>
      <c r="O2" s="1" t="s">
        <v>14</v>
      </c>
      <c r="P2" s="1" t="s">
        <v>89</v>
      </c>
    </row>
    <row r="3" spans="1:16" x14ac:dyDescent="0.2">
      <c r="A3" s="2" t="s">
        <v>90</v>
      </c>
      <c r="B3" s="44"/>
      <c r="C3" s="2">
        <f>B14</f>
        <v>0</v>
      </c>
      <c r="D3" s="41">
        <f t="shared" ref="D3:O3" si="0">C14</f>
        <v>0</v>
      </c>
      <c r="E3" s="41">
        <f t="shared" si="0"/>
        <v>0</v>
      </c>
      <c r="F3" s="41">
        <f t="shared" si="0"/>
        <v>0</v>
      </c>
      <c r="G3" s="41">
        <f t="shared" si="0"/>
        <v>0</v>
      </c>
      <c r="H3" s="41">
        <f t="shared" si="0"/>
        <v>0</v>
      </c>
      <c r="I3" s="41">
        <f t="shared" si="0"/>
        <v>0</v>
      </c>
      <c r="J3" s="41">
        <f t="shared" si="0"/>
        <v>0</v>
      </c>
      <c r="K3" s="41">
        <f t="shared" si="0"/>
        <v>0</v>
      </c>
      <c r="L3" s="41">
        <f t="shared" si="0"/>
        <v>0</v>
      </c>
      <c r="M3" s="41">
        <f t="shared" si="0"/>
        <v>0</v>
      </c>
      <c r="N3" s="41">
        <f t="shared" si="0"/>
        <v>0</v>
      </c>
      <c r="O3" s="41">
        <f>SUM(C3:M3)</f>
        <v>0</v>
      </c>
      <c r="P3" s="3">
        <f>N15</f>
        <v>54</v>
      </c>
    </row>
    <row r="4" spans="1:16" x14ac:dyDescent="0.2">
      <c r="A4" s="2" t="s">
        <v>91</v>
      </c>
      <c r="B4" s="44"/>
      <c r="C4" s="2">
        <f>B25</f>
        <v>0</v>
      </c>
      <c r="D4" s="41">
        <f t="shared" ref="D4:N4" si="1">C25</f>
        <v>0</v>
      </c>
      <c r="E4" s="41">
        <f t="shared" si="1"/>
        <v>0</v>
      </c>
      <c r="F4" s="41">
        <f t="shared" si="1"/>
        <v>0</v>
      </c>
      <c r="G4" s="41">
        <f t="shared" si="1"/>
        <v>0</v>
      </c>
      <c r="H4" s="41">
        <f t="shared" si="1"/>
        <v>0</v>
      </c>
      <c r="I4" s="41">
        <f t="shared" si="1"/>
        <v>0</v>
      </c>
      <c r="J4" s="41">
        <f t="shared" si="1"/>
        <v>0</v>
      </c>
      <c r="K4" s="41">
        <f t="shared" si="1"/>
        <v>0</v>
      </c>
      <c r="L4" s="41">
        <f t="shared" si="1"/>
        <v>0</v>
      </c>
      <c r="M4" s="41">
        <f t="shared" si="1"/>
        <v>0</v>
      </c>
      <c r="N4" s="41">
        <f t="shared" si="1"/>
        <v>0</v>
      </c>
      <c r="O4" s="41">
        <f>SUM(C4:M4)</f>
        <v>0</v>
      </c>
      <c r="P4" s="3">
        <f>N26</f>
        <v>57</v>
      </c>
    </row>
    <row r="5" spans="1:16" x14ac:dyDescent="0.2">
      <c r="A5" s="6"/>
      <c r="B5" s="6"/>
      <c r="C5" s="6"/>
      <c r="D5" s="6"/>
      <c r="E5" s="6"/>
      <c r="F5" s="6"/>
      <c r="G5" s="6"/>
      <c r="H5" s="6"/>
      <c r="I5" s="6"/>
      <c r="J5" s="6"/>
      <c r="K5" s="6"/>
      <c r="L5" s="6"/>
      <c r="M5" s="6"/>
      <c r="N5" s="6"/>
    </row>
    <row r="6" spans="1:16" x14ac:dyDescent="0.2">
      <c r="A6" s="47" t="s">
        <v>88</v>
      </c>
      <c r="B6" s="48"/>
      <c r="C6" s="48"/>
      <c r="D6" s="48"/>
      <c r="E6" s="48"/>
      <c r="F6" s="48"/>
      <c r="G6" s="48"/>
      <c r="H6" s="48"/>
      <c r="I6" s="48"/>
      <c r="J6" s="48"/>
      <c r="K6" s="48"/>
      <c r="L6" s="48"/>
      <c r="M6" s="48"/>
      <c r="N6" s="49"/>
    </row>
    <row r="7" spans="1:16" x14ac:dyDescent="0.2">
      <c r="A7" s="3"/>
      <c r="B7" s="4" t="s">
        <v>2</v>
      </c>
      <c r="C7" s="4" t="s">
        <v>3</v>
      </c>
      <c r="D7" s="4" t="s">
        <v>4</v>
      </c>
      <c r="E7" s="4" t="s">
        <v>5</v>
      </c>
      <c r="F7" s="4" t="s">
        <v>6</v>
      </c>
      <c r="G7" s="4" t="s">
        <v>7</v>
      </c>
      <c r="H7" s="4" t="s">
        <v>8</v>
      </c>
      <c r="I7" s="4" t="s">
        <v>9</v>
      </c>
      <c r="J7" s="4" t="s">
        <v>10</v>
      </c>
      <c r="K7" s="4" t="s">
        <v>11</v>
      </c>
      <c r="L7" s="4" t="s">
        <v>12</v>
      </c>
      <c r="M7" s="4" t="s">
        <v>13</v>
      </c>
      <c r="N7" s="4" t="s">
        <v>14</v>
      </c>
    </row>
    <row r="8" spans="1:16" x14ac:dyDescent="0.2">
      <c r="A8" s="3" t="s">
        <v>15</v>
      </c>
      <c r="B8" s="2"/>
      <c r="C8" s="2"/>
      <c r="D8" s="2"/>
      <c r="E8" s="2"/>
      <c r="F8" s="2"/>
      <c r="G8" s="4"/>
      <c r="H8" s="4"/>
      <c r="I8" s="4"/>
      <c r="J8" s="4"/>
      <c r="K8" s="4"/>
      <c r="L8" s="4"/>
      <c r="M8" s="4"/>
      <c r="N8" s="4">
        <f t="shared" ref="N8:N13" si="2">SUM(B8:L8)</f>
        <v>0</v>
      </c>
    </row>
    <row r="9" spans="1:16" x14ac:dyDescent="0.2">
      <c r="A9" s="3" t="s">
        <v>16</v>
      </c>
      <c r="B9" s="2"/>
      <c r="C9" s="2"/>
      <c r="D9" s="2"/>
      <c r="E9" s="2"/>
      <c r="F9" s="2"/>
      <c r="G9" s="4"/>
      <c r="H9" s="4"/>
      <c r="I9" s="4"/>
      <c r="J9" s="4"/>
      <c r="K9" s="4"/>
      <c r="L9" s="4"/>
      <c r="M9" s="4"/>
      <c r="N9" s="4">
        <f t="shared" si="2"/>
        <v>0</v>
      </c>
    </row>
    <row r="10" spans="1:16" x14ac:dyDescent="0.2">
      <c r="A10" s="3" t="s">
        <v>17</v>
      </c>
      <c r="B10" s="2"/>
      <c r="C10" s="2"/>
      <c r="D10" s="2"/>
      <c r="E10" s="2"/>
      <c r="F10" s="2"/>
      <c r="G10" s="4"/>
      <c r="H10" s="4"/>
      <c r="I10" s="4"/>
      <c r="J10" s="4"/>
      <c r="K10" s="4"/>
      <c r="L10" s="4"/>
      <c r="M10" s="4"/>
      <c r="N10" s="4">
        <f t="shared" si="2"/>
        <v>0</v>
      </c>
    </row>
    <row r="11" spans="1:16" x14ac:dyDescent="0.2">
      <c r="A11" s="3" t="s">
        <v>18</v>
      </c>
      <c r="B11" s="2"/>
      <c r="C11" s="2"/>
      <c r="D11" s="2"/>
      <c r="E11" s="2"/>
      <c r="F11" s="2"/>
      <c r="G11" s="4"/>
      <c r="H11" s="4"/>
      <c r="I11" s="4"/>
      <c r="J11" s="4"/>
      <c r="K11" s="4"/>
      <c r="L11" s="4"/>
      <c r="M11" s="4"/>
      <c r="N11" s="4">
        <f t="shared" si="2"/>
        <v>0</v>
      </c>
    </row>
    <row r="12" spans="1:16" x14ac:dyDescent="0.2">
      <c r="A12" s="3" t="s">
        <v>19</v>
      </c>
      <c r="B12" s="2"/>
      <c r="C12" s="2"/>
      <c r="D12" s="2"/>
      <c r="E12" s="2"/>
      <c r="F12" s="2"/>
      <c r="G12" s="4"/>
      <c r="H12" s="4"/>
      <c r="I12" s="4"/>
      <c r="J12" s="4"/>
      <c r="K12" s="4"/>
      <c r="L12" s="4"/>
      <c r="M12" s="4"/>
      <c r="N12" s="4">
        <f t="shared" si="2"/>
        <v>0</v>
      </c>
    </row>
    <row r="13" spans="1:16" x14ac:dyDescent="0.2">
      <c r="A13" s="3" t="s">
        <v>20</v>
      </c>
      <c r="B13" s="2"/>
      <c r="C13" s="2"/>
      <c r="D13" s="2"/>
      <c r="E13" s="2"/>
      <c r="F13" s="2"/>
      <c r="G13" s="4"/>
      <c r="H13" s="4"/>
      <c r="I13" s="4"/>
      <c r="J13" s="4"/>
      <c r="K13" s="4"/>
      <c r="L13" s="4"/>
      <c r="M13" s="4"/>
      <c r="N13" s="4">
        <f t="shared" si="2"/>
        <v>0</v>
      </c>
    </row>
    <row r="14" spans="1:16" ht="15" x14ac:dyDescent="0.25">
      <c r="A14" s="3" t="s">
        <v>21</v>
      </c>
      <c r="B14" s="7">
        <f>SUM(B8:B13)</f>
        <v>0</v>
      </c>
      <c r="C14" s="7">
        <f t="shared" ref="C14:M14" si="3">SUM(C8:C13)</f>
        <v>0</v>
      </c>
      <c r="D14" s="7">
        <f t="shared" si="3"/>
        <v>0</v>
      </c>
      <c r="E14" s="7">
        <f t="shared" si="3"/>
        <v>0</v>
      </c>
      <c r="F14" s="7">
        <f t="shared" si="3"/>
        <v>0</v>
      </c>
      <c r="G14" s="7">
        <f t="shared" si="3"/>
        <v>0</v>
      </c>
      <c r="H14" s="7">
        <f t="shared" si="3"/>
        <v>0</v>
      </c>
      <c r="I14" s="7">
        <f t="shared" si="3"/>
        <v>0</v>
      </c>
      <c r="J14" s="7">
        <f t="shared" si="3"/>
        <v>0</v>
      </c>
      <c r="K14" s="7">
        <f t="shared" si="3"/>
        <v>0</v>
      </c>
      <c r="L14" s="7">
        <f t="shared" si="3"/>
        <v>0</v>
      </c>
      <c r="M14" s="7">
        <f t="shared" si="3"/>
        <v>0</v>
      </c>
      <c r="N14" s="8">
        <f>SUM(B14:L14)</f>
        <v>0</v>
      </c>
    </row>
    <row r="15" spans="1:16" ht="15" x14ac:dyDescent="0.25">
      <c r="A15" s="3" t="s">
        <v>22</v>
      </c>
      <c r="B15" s="9">
        <v>5</v>
      </c>
      <c r="C15" s="9">
        <v>4</v>
      </c>
      <c r="D15" s="9">
        <v>6</v>
      </c>
      <c r="E15" s="9">
        <v>5</v>
      </c>
      <c r="F15" s="9">
        <v>4</v>
      </c>
      <c r="G15" s="9">
        <v>5</v>
      </c>
      <c r="H15" s="9">
        <v>4</v>
      </c>
      <c r="I15" s="9">
        <v>3</v>
      </c>
      <c r="J15" s="9">
        <v>4</v>
      </c>
      <c r="K15" s="9">
        <v>5</v>
      </c>
      <c r="L15" s="9">
        <v>4</v>
      </c>
      <c r="M15" s="9">
        <v>5</v>
      </c>
      <c r="N15" s="10">
        <f>SUM(B15:M15)</f>
        <v>54</v>
      </c>
    </row>
    <row r="16" spans="1:16" ht="15" x14ac:dyDescent="0.25">
      <c r="A16" s="11" t="s">
        <v>51</v>
      </c>
      <c r="B16" s="12"/>
      <c r="C16" s="13"/>
      <c r="D16" s="12"/>
      <c r="E16" s="13"/>
      <c r="F16" s="13"/>
      <c r="G16" s="12"/>
      <c r="H16" s="13"/>
      <c r="I16" s="13"/>
      <c r="J16" s="13"/>
      <c r="K16" s="13"/>
      <c r="L16" s="14"/>
      <c r="M16" s="14"/>
      <c r="N16" s="14"/>
    </row>
    <row r="17" spans="1:14" x14ac:dyDescent="0.2">
      <c r="A17" s="43" t="s">
        <v>87</v>
      </c>
      <c r="B17" s="43"/>
      <c r="C17" s="43"/>
      <c r="D17" s="43"/>
      <c r="E17" s="43"/>
      <c r="F17" s="43"/>
      <c r="G17" s="43"/>
      <c r="H17" s="43"/>
      <c r="I17" s="43"/>
      <c r="J17" s="43"/>
      <c r="K17" s="43"/>
      <c r="L17" s="43"/>
      <c r="M17" s="43"/>
      <c r="N17" s="43"/>
    </row>
    <row r="18" spans="1:14" x14ac:dyDescent="0.2">
      <c r="A18" s="3"/>
      <c r="B18" s="4" t="s">
        <v>2</v>
      </c>
      <c r="C18" s="4" t="s">
        <v>3</v>
      </c>
      <c r="D18" s="4" t="s">
        <v>4</v>
      </c>
      <c r="E18" s="4" t="s">
        <v>5</v>
      </c>
      <c r="F18" s="4" t="s">
        <v>6</v>
      </c>
      <c r="G18" s="4" t="s">
        <v>7</v>
      </c>
      <c r="H18" s="4" t="s">
        <v>8</v>
      </c>
      <c r="I18" s="4" t="s">
        <v>9</v>
      </c>
      <c r="J18" s="4" t="s">
        <v>10</v>
      </c>
      <c r="K18" s="4" t="s">
        <v>11</v>
      </c>
      <c r="L18" s="4" t="s">
        <v>12</v>
      </c>
      <c r="M18" s="4" t="s">
        <v>13</v>
      </c>
      <c r="N18" s="4" t="s">
        <v>14</v>
      </c>
    </row>
    <row r="19" spans="1:14" x14ac:dyDescent="0.2">
      <c r="A19" s="3" t="s">
        <v>15</v>
      </c>
      <c r="B19" s="2"/>
      <c r="C19" s="2"/>
      <c r="D19" s="2"/>
      <c r="E19" s="2"/>
      <c r="F19" s="2"/>
      <c r="G19" s="4"/>
      <c r="H19" s="4"/>
      <c r="I19" s="4"/>
      <c r="J19" s="4"/>
      <c r="K19" s="4"/>
      <c r="L19" s="4"/>
      <c r="M19" s="4"/>
      <c r="N19" s="4">
        <f t="shared" ref="N19:N24" si="4">SUM(B19:L19)</f>
        <v>0</v>
      </c>
    </row>
    <row r="20" spans="1:14" x14ac:dyDescent="0.2">
      <c r="A20" s="3" t="s">
        <v>16</v>
      </c>
      <c r="B20" s="2"/>
      <c r="C20" s="2"/>
      <c r="D20" s="2"/>
      <c r="E20" s="2"/>
      <c r="F20" s="2"/>
      <c r="G20" s="4"/>
      <c r="H20" s="4"/>
      <c r="I20" s="4"/>
      <c r="J20" s="4"/>
      <c r="K20" s="4"/>
      <c r="L20" s="4"/>
      <c r="M20" s="4"/>
      <c r="N20" s="4">
        <f t="shared" si="4"/>
        <v>0</v>
      </c>
    </row>
    <row r="21" spans="1:14" x14ac:dyDescent="0.2">
      <c r="A21" s="3" t="s">
        <v>17</v>
      </c>
      <c r="B21" s="2"/>
      <c r="C21" s="2"/>
      <c r="D21" s="2"/>
      <c r="E21" s="2"/>
      <c r="F21" s="2"/>
      <c r="G21" s="2"/>
      <c r="H21" s="4"/>
      <c r="I21" s="4"/>
      <c r="J21" s="4"/>
      <c r="K21" s="4"/>
      <c r="L21" s="4"/>
      <c r="M21" s="4"/>
      <c r="N21" s="4">
        <f t="shared" si="4"/>
        <v>0</v>
      </c>
    </row>
    <row r="22" spans="1:14" x14ac:dyDescent="0.2">
      <c r="A22" s="3" t="s">
        <v>18</v>
      </c>
      <c r="B22" s="2"/>
      <c r="C22" s="2"/>
      <c r="D22" s="2"/>
      <c r="E22" s="2"/>
      <c r="F22" s="2"/>
      <c r="G22" s="4"/>
      <c r="H22" s="4"/>
      <c r="I22" s="4"/>
      <c r="J22" s="4"/>
      <c r="K22" s="4"/>
      <c r="L22" s="4"/>
      <c r="M22" s="4"/>
      <c r="N22" s="4">
        <f t="shared" si="4"/>
        <v>0</v>
      </c>
    </row>
    <row r="23" spans="1:14" x14ac:dyDescent="0.2">
      <c r="A23" s="3" t="s">
        <v>19</v>
      </c>
      <c r="B23" s="2"/>
      <c r="C23" s="2"/>
      <c r="D23" s="2"/>
      <c r="E23" s="2"/>
      <c r="F23" s="2"/>
      <c r="G23" s="4"/>
      <c r="H23" s="4"/>
      <c r="I23" s="4"/>
      <c r="J23" s="4"/>
      <c r="K23" s="4"/>
      <c r="L23" s="4"/>
      <c r="M23" s="4"/>
      <c r="N23" s="4">
        <f t="shared" si="4"/>
        <v>0</v>
      </c>
    </row>
    <row r="24" spans="1:14" x14ac:dyDescent="0.2">
      <c r="A24" s="3" t="s">
        <v>20</v>
      </c>
      <c r="B24" s="2"/>
      <c r="C24" s="2"/>
      <c r="D24" s="2"/>
      <c r="E24" s="2"/>
      <c r="F24" s="2"/>
      <c r="G24" s="4"/>
      <c r="H24" s="4"/>
      <c r="I24" s="4"/>
      <c r="J24" s="4"/>
      <c r="K24" s="4"/>
      <c r="L24" s="4"/>
      <c r="M24" s="4"/>
      <c r="N24" s="4">
        <f t="shared" si="4"/>
        <v>0</v>
      </c>
    </row>
    <row r="25" spans="1:14" ht="15" x14ac:dyDescent="0.25">
      <c r="A25" s="3" t="s">
        <v>21</v>
      </c>
      <c r="B25" s="7">
        <f>SUM(B19:B24)</f>
        <v>0</v>
      </c>
      <c r="C25" s="7">
        <f t="shared" ref="C25:M25" si="5">SUM(C19:C24)</f>
        <v>0</v>
      </c>
      <c r="D25" s="7">
        <f t="shared" si="5"/>
        <v>0</v>
      </c>
      <c r="E25" s="7">
        <f t="shared" si="5"/>
        <v>0</v>
      </c>
      <c r="F25" s="7">
        <f t="shared" si="5"/>
        <v>0</v>
      </c>
      <c r="G25" s="7">
        <f t="shared" si="5"/>
        <v>0</v>
      </c>
      <c r="H25" s="7">
        <f t="shared" si="5"/>
        <v>0</v>
      </c>
      <c r="I25" s="7">
        <f t="shared" si="5"/>
        <v>0</v>
      </c>
      <c r="J25" s="7">
        <f t="shared" si="5"/>
        <v>0</v>
      </c>
      <c r="K25" s="7">
        <f t="shared" si="5"/>
        <v>0</v>
      </c>
      <c r="L25" s="7">
        <f t="shared" si="5"/>
        <v>0</v>
      </c>
      <c r="M25" s="7">
        <f t="shared" si="5"/>
        <v>0</v>
      </c>
      <c r="N25" s="8">
        <f>SUM(B25:L25)</f>
        <v>0</v>
      </c>
    </row>
    <row r="26" spans="1:14" ht="15" x14ac:dyDescent="0.25">
      <c r="A26" s="3" t="s">
        <v>22</v>
      </c>
      <c r="B26" s="9">
        <v>5</v>
      </c>
      <c r="C26" s="9">
        <v>5</v>
      </c>
      <c r="D26" s="9">
        <v>6</v>
      </c>
      <c r="E26" s="9">
        <v>5</v>
      </c>
      <c r="F26" s="9">
        <v>5</v>
      </c>
      <c r="G26" s="9">
        <v>5</v>
      </c>
      <c r="H26" s="9">
        <v>4</v>
      </c>
      <c r="I26" s="9">
        <v>3</v>
      </c>
      <c r="J26" s="9">
        <v>4</v>
      </c>
      <c r="K26" s="9">
        <v>5</v>
      </c>
      <c r="L26" s="9">
        <v>5</v>
      </c>
      <c r="M26" s="9">
        <v>5</v>
      </c>
      <c r="N26" s="10">
        <f>SUM(B26:M26)</f>
        <v>57</v>
      </c>
    </row>
    <row r="27" spans="1:14" ht="15" x14ac:dyDescent="0.2">
      <c r="A27" s="11" t="s">
        <v>51</v>
      </c>
      <c r="B27" s="13"/>
      <c r="C27" s="13"/>
      <c r="D27" s="12"/>
      <c r="E27" s="13"/>
      <c r="F27" s="13"/>
      <c r="G27" s="13"/>
      <c r="H27" s="12"/>
      <c r="I27" s="13"/>
      <c r="J27" s="12"/>
      <c r="K27" s="12"/>
      <c r="L27" s="11"/>
      <c r="M27" s="11"/>
      <c r="N27" s="11"/>
    </row>
    <row r="39" spans="14:14" x14ac:dyDescent="0.2">
      <c r="N39" s="15"/>
    </row>
  </sheetData>
  <mergeCells count="4">
    <mergeCell ref="A17:N17"/>
    <mergeCell ref="B3:B4"/>
    <mergeCell ref="A1:P1"/>
    <mergeCell ref="A6:N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EC5E4-1DEE-423C-A2D6-E2EFE8A9FD73}">
  <dimension ref="A1:R78"/>
  <sheetViews>
    <sheetView workbookViewId="0">
      <selection activeCell="G16" sqref="G16"/>
    </sheetView>
  </sheetViews>
  <sheetFormatPr defaultRowHeight="15" x14ac:dyDescent="0.25"/>
  <cols>
    <col min="1" max="2" width="7.42578125" customWidth="1"/>
    <col min="3" max="3" width="14.5703125" customWidth="1"/>
    <col min="4" max="6" width="5.85546875" customWidth="1"/>
    <col min="7" max="7" width="57.140625" customWidth="1"/>
    <col min="8" max="8" width="6.140625" style="116" customWidth="1"/>
    <col min="9" max="16" width="6.140625" customWidth="1"/>
    <col min="17" max="17" width="42.42578125" customWidth="1"/>
    <col min="18" max="18" width="51.7109375" style="116" customWidth="1"/>
  </cols>
  <sheetData>
    <row r="1" spans="1:18" ht="23.25" x14ac:dyDescent="0.35">
      <c r="A1" s="57" t="s">
        <v>83</v>
      </c>
      <c r="B1" s="57"/>
      <c r="C1" s="57"/>
      <c r="D1" s="57"/>
      <c r="E1" s="57"/>
      <c r="F1" s="57"/>
      <c r="G1" s="57"/>
      <c r="H1" s="57"/>
      <c r="I1" s="57"/>
      <c r="J1" s="57"/>
      <c r="K1" s="57"/>
      <c r="L1" s="57"/>
      <c r="M1" s="57"/>
      <c r="N1" s="57"/>
      <c r="O1" s="57"/>
      <c r="P1" s="57"/>
      <c r="Q1" s="57"/>
      <c r="R1" s="57"/>
    </row>
    <row r="2" spans="1:18" ht="23.25" x14ac:dyDescent="0.35">
      <c r="A2" s="58" t="s">
        <v>84</v>
      </c>
      <c r="B2" s="59" t="s">
        <v>23</v>
      </c>
      <c r="C2" s="59" t="s">
        <v>85</v>
      </c>
      <c r="D2" s="59" t="s">
        <v>24</v>
      </c>
      <c r="E2" s="59" t="s">
        <v>25</v>
      </c>
      <c r="F2" s="59" t="s">
        <v>26</v>
      </c>
      <c r="G2" s="60" t="s">
        <v>86</v>
      </c>
      <c r="H2" s="60" t="s">
        <v>27</v>
      </c>
      <c r="I2" s="61" t="s">
        <v>28</v>
      </c>
      <c r="J2" s="62" t="s">
        <v>29</v>
      </c>
      <c r="K2" s="63"/>
      <c r="L2" s="63"/>
      <c r="M2" s="63"/>
      <c r="N2" s="63"/>
      <c r="O2" s="63"/>
      <c r="P2" s="64"/>
      <c r="Q2" s="65"/>
      <c r="R2" s="65"/>
    </row>
    <row r="3" spans="1:18" ht="45" x14ac:dyDescent="0.25">
      <c r="A3" s="66"/>
      <c r="B3" s="67"/>
      <c r="C3" s="67"/>
      <c r="D3" s="67"/>
      <c r="E3" s="67"/>
      <c r="F3" s="67"/>
      <c r="G3" s="68"/>
      <c r="H3" s="68"/>
      <c r="I3" s="61"/>
      <c r="J3" s="69" t="s">
        <v>32</v>
      </c>
      <c r="K3" s="69" t="s">
        <v>33</v>
      </c>
      <c r="L3" s="70" t="s">
        <v>34</v>
      </c>
      <c r="M3" s="70" t="s">
        <v>35</v>
      </c>
      <c r="N3" s="70" t="s">
        <v>36</v>
      </c>
      <c r="O3" s="69" t="s">
        <v>37</v>
      </c>
      <c r="P3" s="71" t="s">
        <v>38</v>
      </c>
      <c r="Q3" s="72" t="s">
        <v>30</v>
      </c>
      <c r="R3" s="70" t="s">
        <v>31</v>
      </c>
    </row>
    <row r="4" spans="1:18" x14ac:dyDescent="0.25">
      <c r="A4" s="73"/>
      <c r="B4" s="72"/>
      <c r="C4" s="74"/>
      <c r="D4" s="72"/>
      <c r="E4" s="72"/>
      <c r="F4" s="72"/>
      <c r="G4" s="75"/>
      <c r="H4" s="76"/>
      <c r="I4" s="72"/>
      <c r="J4" s="72"/>
      <c r="K4" s="72"/>
      <c r="L4" s="72"/>
      <c r="M4" s="77"/>
      <c r="N4" s="72"/>
      <c r="O4" s="72"/>
      <c r="P4" s="72"/>
      <c r="Q4" s="42"/>
      <c r="R4" s="78"/>
    </row>
    <row r="5" spans="1:18" x14ac:dyDescent="0.25">
      <c r="A5" s="79"/>
      <c r="B5" s="72"/>
      <c r="C5" s="74"/>
      <c r="D5" s="72"/>
      <c r="E5" s="72"/>
      <c r="F5" s="72"/>
      <c r="G5" s="75"/>
      <c r="H5" s="76"/>
      <c r="I5" s="72"/>
      <c r="J5" s="72"/>
      <c r="K5" s="72"/>
      <c r="L5" s="72"/>
      <c r="M5" s="77"/>
      <c r="N5" s="72"/>
      <c r="O5" s="72"/>
      <c r="P5" s="72"/>
      <c r="Q5" s="42"/>
      <c r="R5" s="74"/>
    </row>
    <row r="6" spans="1:18" x14ac:dyDescent="0.25">
      <c r="A6" s="80"/>
      <c r="B6" s="72"/>
      <c r="C6" s="81"/>
      <c r="D6" s="82"/>
      <c r="E6" s="82"/>
      <c r="F6" s="82"/>
      <c r="G6" s="83"/>
      <c r="H6" s="84"/>
      <c r="I6" s="81"/>
      <c r="J6" s="72"/>
      <c r="K6" s="72"/>
      <c r="L6" s="72"/>
      <c r="M6" s="77"/>
      <c r="N6" s="72"/>
      <c r="O6" s="72"/>
      <c r="P6" s="65"/>
      <c r="Q6" s="42"/>
      <c r="R6" s="85"/>
    </row>
    <row r="7" spans="1:18" x14ac:dyDescent="0.25">
      <c r="A7" s="73"/>
      <c r="B7" s="72"/>
      <c r="C7" s="74"/>
      <c r="D7" s="72"/>
      <c r="E7" s="72"/>
      <c r="F7" s="72"/>
      <c r="G7" s="75"/>
      <c r="H7" s="76"/>
      <c r="I7" s="72"/>
      <c r="J7" s="72"/>
      <c r="K7" s="72"/>
      <c r="L7" s="72"/>
      <c r="M7" s="77"/>
      <c r="N7" s="72"/>
      <c r="O7" s="72"/>
      <c r="P7" s="72"/>
      <c r="Q7" s="42"/>
      <c r="R7" s="78"/>
    </row>
    <row r="8" spans="1:18" x14ac:dyDescent="0.25">
      <c r="A8" s="79"/>
      <c r="B8" s="72"/>
      <c r="C8" s="74"/>
      <c r="D8" s="72"/>
      <c r="E8" s="72"/>
      <c r="F8" s="72"/>
      <c r="G8" s="75"/>
      <c r="H8" s="76"/>
      <c r="I8" s="72"/>
      <c r="J8" s="72"/>
      <c r="K8" s="72"/>
      <c r="L8" s="72"/>
      <c r="M8" s="77"/>
      <c r="N8" s="72"/>
      <c r="O8" s="72"/>
      <c r="P8" s="72"/>
      <c r="Q8" s="42"/>
      <c r="R8" s="74"/>
    </row>
    <row r="9" spans="1:18" x14ac:dyDescent="0.25">
      <c r="A9" s="79"/>
      <c r="B9" s="72"/>
      <c r="C9" s="86"/>
      <c r="D9" s="81"/>
      <c r="E9" s="81"/>
      <c r="F9" s="81"/>
      <c r="G9" s="65"/>
      <c r="H9" s="65"/>
      <c r="I9" s="81"/>
      <c r="J9" s="72"/>
      <c r="K9" s="72"/>
      <c r="L9" s="72"/>
      <c r="M9" s="77"/>
      <c r="N9" s="72"/>
      <c r="O9" s="72"/>
      <c r="P9" s="65"/>
      <c r="Q9" s="87"/>
      <c r="R9" s="88"/>
    </row>
    <row r="10" spans="1:18" x14ac:dyDescent="0.25">
      <c r="A10" s="79"/>
      <c r="B10" s="72"/>
      <c r="C10" s="86"/>
      <c r="D10" s="65"/>
      <c r="E10" s="65"/>
      <c r="F10" s="65"/>
      <c r="G10" s="65"/>
      <c r="H10" s="89"/>
      <c r="I10" s="90"/>
      <c r="J10" s="91"/>
      <c r="K10" s="91"/>
      <c r="L10" s="72"/>
      <c r="M10" s="77"/>
      <c r="N10" s="72"/>
      <c r="O10" s="72"/>
      <c r="P10" s="65"/>
      <c r="Q10" s="92"/>
      <c r="R10" s="78"/>
    </row>
    <row r="11" spans="1:18" x14ac:dyDescent="0.25">
      <c r="A11" s="79"/>
      <c r="B11" s="72"/>
      <c r="C11" s="86"/>
      <c r="D11" s="65"/>
      <c r="E11" s="65"/>
      <c r="F11" s="65"/>
      <c r="G11" s="65"/>
      <c r="H11" s="87"/>
      <c r="I11" s="65"/>
      <c r="J11" s="65"/>
      <c r="K11" s="65"/>
      <c r="L11" s="65"/>
      <c r="M11" s="65"/>
      <c r="N11" s="65"/>
      <c r="O11" s="65"/>
      <c r="P11" s="65"/>
      <c r="Q11" s="87"/>
      <c r="R11" s="88"/>
    </row>
    <row r="12" spans="1:18" x14ac:dyDescent="0.25">
      <c r="A12" s="79"/>
      <c r="B12" s="72"/>
      <c r="C12" s="86"/>
      <c r="D12" s="65"/>
      <c r="E12" s="65"/>
      <c r="F12" s="65"/>
      <c r="G12" s="65"/>
      <c r="H12" s="87"/>
      <c r="I12" s="65"/>
      <c r="J12" s="65"/>
      <c r="K12" s="65"/>
      <c r="L12" s="65"/>
      <c r="M12" s="65"/>
      <c r="N12" s="65"/>
      <c r="O12" s="93"/>
      <c r="P12" s="65"/>
      <c r="Q12" s="87"/>
      <c r="R12" s="88"/>
    </row>
    <row r="13" spans="1:18" x14ac:dyDescent="0.25">
      <c r="A13" s="80"/>
      <c r="B13" s="72"/>
      <c r="C13" s="86"/>
      <c r="D13" s="65"/>
      <c r="E13" s="65"/>
      <c r="F13" s="65"/>
      <c r="G13" s="65"/>
      <c r="H13" s="87"/>
      <c r="I13" s="65"/>
      <c r="J13" s="65"/>
      <c r="K13" s="65"/>
      <c r="L13" s="65"/>
      <c r="M13" s="65"/>
      <c r="N13" s="65"/>
      <c r="O13" s="93"/>
      <c r="P13" s="65"/>
      <c r="Q13" s="65"/>
      <c r="R13" s="87"/>
    </row>
    <row r="14" spans="1:18" x14ac:dyDescent="0.25">
      <c r="A14" s="94"/>
      <c r="B14" s="72"/>
      <c r="C14" s="72"/>
      <c r="D14" s="72"/>
      <c r="E14" s="72"/>
      <c r="F14" s="72"/>
      <c r="G14" s="72"/>
      <c r="H14" s="42"/>
      <c r="I14" s="72"/>
      <c r="J14" s="72"/>
      <c r="K14" s="72"/>
      <c r="L14" s="72"/>
      <c r="M14" s="72"/>
      <c r="N14" s="72"/>
      <c r="O14" s="72"/>
      <c r="P14" s="72"/>
      <c r="Q14" s="42"/>
      <c r="R14" s="42"/>
    </row>
    <row r="15" spans="1:18" x14ac:dyDescent="0.25">
      <c r="A15" s="95"/>
      <c r="B15" s="72"/>
      <c r="C15" s="72"/>
      <c r="D15" s="72"/>
      <c r="E15" s="72"/>
      <c r="F15" s="72"/>
      <c r="G15" s="72"/>
      <c r="H15" s="42"/>
      <c r="I15" s="72"/>
      <c r="J15" s="72"/>
      <c r="K15" s="72"/>
      <c r="L15" s="72"/>
      <c r="M15" s="72"/>
      <c r="N15" s="72"/>
      <c r="O15" s="72"/>
      <c r="P15" s="72"/>
      <c r="Q15" s="42"/>
      <c r="R15" s="42"/>
    </row>
    <row r="16" spans="1:18" x14ac:dyDescent="0.25">
      <c r="A16" s="95"/>
      <c r="B16" s="72"/>
      <c r="C16" s="72"/>
      <c r="D16" s="72"/>
      <c r="E16" s="72"/>
      <c r="F16" s="72"/>
      <c r="G16" s="72"/>
      <c r="H16" s="42"/>
      <c r="I16" s="72"/>
      <c r="J16" s="72"/>
      <c r="K16" s="72"/>
      <c r="L16" s="72"/>
      <c r="M16" s="72"/>
      <c r="N16" s="72"/>
      <c r="O16" s="72"/>
      <c r="P16" s="72"/>
      <c r="Q16" s="42"/>
      <c r="R16" s="42"/>
    </row>
    <row r="17" spans="1:18" x14ac:dyDescent="0.25">
      <c r="A17" s="95"/>
      <c r="B17" s="72"/>
      <c r="C17" s="59"/>
      <c r="D17" s="59"/>
      <c r="E17" s="59"/>
      <c r="F17" s="59"/>
      <c r="G17" s="96"/>
      <c r="H17" s="97"/>
      <c r="I17" s="59"/>
      <c r="J17" s="98"/>
      <c r="K17" s="98"/>
      <c r="L17" s="98"/>
      <c r="M17" s="99"/>
      <c r="N17" s="98"/>
      <c r="O17" s="98"/>
      <c r="P17" s="100"/>
      <c r="Q17" s="101"/>
      <c r="R17" s="102"/>
    </row>
    <row r="18" spans="1:18" x14ac:dyDescent="0.25">
      <c r="A18" s="95"/>
      <c r="B18" s="65"/>
      <c r="C18" s="67"/>
      <c r="D18" s="67"/>
      <c r="E18" s="67"/>
      <c r="F18" s="67"/>
      <c r="G18" s="103"/>
      <c r="H18" s="104"/>
      <c r="I18" s="67"/>
      <c r="J18" s="105"/>
      <c r="K18" s="105"/>
      <c r="L18" s="105"/>
      <c r="M18" s="106"/>
      <c r="N18" s="105"/>
      <c r="O18" s="105"/>
      <c r="P18" s="107"/>
      <c r="Q18" s="108"/>
      <c r="R18" s="109"/>
    </row>
    <row r="19" spans="1:18" x14ac:dyDescent="0.25">
      <c r="A19" s="95"/>
      <c r="B19" s="72"/>
      <c r="C19" s="82"/>
      <c r="D19" s="82"/>
      <c r="E19" s="82"/>
      <c r="F19" s="82"/>
      <c r="G19" s="110"/>
      <c r="H19" s="111"/>
      <c r="I19" s="81"/>
      <c r="J19" s="72"/>
      <c r="K19" s="72"/>
      <c r="L19" s="72"/>
      <c r="M19" s="77"/>
      <c r="N19" s="72"/>
      <c r="O19" s="72"/>
      <c r="P19" s="65"/>
      <c r="Q19" s="112"/>
      <c r="R19" s="91"/>
    </row>
    <row r="20" spans="1:18" x14ac:dyDescent="0.25">
      <c r="A20" s="95"/>
      <c r="B20" s="72"/>
      <c r="C20" s="93"/>
      <c r="D20" s="82"/>
      <c r="E20" s="82"/>
      <c r="F20" s="82"/>
      <c r="G20" s="110"/>
      <c r="H20" s="111"/>
      <c r="I20" s="81"/>
      <c r="J20" s="72"/>
      <c r="K20" s="72"/>
      <c r="L20" s="72"/>
      <c r="M20" s="77"/>
      <c r="N20" s="72"/>
      <c r="O20" s="72"/>
      <c r="P20" s="65"/>
      <c r="Q20" s="112"/>
      <c r="R20" s="91"/>
    </row>
    <row r="21" spans="1:18" ht="57" customHeight="1" x14ac:dyDescent="0.25">
      <c r="A21" s="73"/>
      <c r="B21" s="93"/>
      <c r="C21" s="65"/>
      <c r="D21" s="65"/>
      <c r="E21" s="65"/>
      <c r="F21" s="65"/>
      <c r="G21" s="65"/>
      <c r="H21" s="87"/>
      <c r="I21" s="65"/>
      <c r="J21" s="65"/>
      <c r="K21" s="65"/>
      <c r="L21" s="65"/>
      <c r="M21" s="72"/>
      <c r="N21" s="65"/>
      <c r="O21" s="65"/>
      <c r="P21" s="65"/>
      <c r="Q21" s="87"/>
      <c r="R21" s="87"/>
    </row>
    <row r="22" spans="1:18" ht="50.25" customHeight="1" x14ac:dyDescent="0.25">
      <c r="A22" s="79"/>
      <c r="B22" s="93"/>
      <c r="C22" s="65"/>
      <c r="D22" s="65"/>
      <c r="E22" s="65"/>
      <c r="F22" s="65"/>
      <c r="G22" s="65"/>
      <c r="H22" s="87"/>
      <c r="I22" s="65"/>
      <c r="J22" s="65"/>
      <c r="K22" s="65"/>
      <c r="L22" s="72"/>
      <c r="M22" s="65"/>
      <c r="N22" s="65"/>
      <c r="O22" s="65"/>
      <c r="P22" s="65"/>
      <c r="Q22" s="87"/>
      <c r="R22" s="87"/>
    </row>
    <row r="23" spans="1:18" x14ac:dyDescent="0.25">
      <c r="A23" s="79"/>
      <c r="B23" s="93"/>
      <c r="C23" s="82"/>
      <c r="D23" s="82"/>
      <c r="E23" s="82"/>
      <c r="F23" s="82"/>
      <c r="G23" s="110"/>
      <c r="H23" s="111"/>
      <c r="I23" s="81"/>
      <c r="J23" s="72"/>
      <c r="K23" s="72"/>
      <c r="L23" s="72"/>
      <c r="M23" s="77"/>
      <c r="N23" s="72"/>
      <c r="O23" s="72"/>
      <c r="P23" s="65"/>
      <c r="Q23" s="72"/>
      <c r="R23" s="112"/>
    </row>
    <row r="24" spans="1:18" x14ac:dyDescent="0.25">
      <c r="A24" s="79"/>
      <c r="B24" s="93"/>
      <c r="C24" s="72"/>
      <c r="D24" s="72"/>
      <c r="E24" s="72"/>
      <c r="F24" s="72"/>
      <c r="G24" s="113"/>
      <c r="H24" s="113"/>
      <c r="I24" s="74"/>
      <c r="J24" s="72"/>
      <c r="K24" s="72"/>
      <c r="L24" s="72"/>
      <c r="M24" s="77"/>
      <c r="N24" s="72"/>
      <c r="O24" s="72"/>
      <c r="P24" s="65"/>
      <c r="Q24" s="42"/>
      <c r="R24" s="112"/>
    </row>
    <row r="25" spans="1:18" x14ac:dyDescent="0.25">
      <c r="A25" s="79"/>
      <c r="B25" s="93"/>
      <c r="C25" s="72"/>
      <c r="D25" s="72"/>
      <c r="E25" s="72"/>
      <c r="F25" s="72"/>
      <c r="G25" s="76"/>
      <c r="H25" s="76"/>
      <c r="I25" s="74"/>
      <c r="J25" s="72"/>
      <c r="K25" s="72"/>
      <c r="L25" s="72"/>
      <c r="M25" s="77"/>
      <c r="N25" s="72"/>
      <c r="O25" s="72"/>
      <c r="P25" s="65"/>
      <c r="Q25" s="65"/>
      <c r="R25" s="87"/>
    </row>
    <row r="26" spans="1:18" x14ac:dyDescent="0.25">
      <c r="A26" s="79"/>
      <c r="B26" s="93"/>
      <c r="C26" s="72"/>
      <c r="D26" s="72"/>
      <c r="E26" s="72"/>
      <c r="F26" s="72"/>
      <c r="G26" s="76"/>
      <c r="H26" s="76"/>
      <c r="I26" s="74"/>
      <c r="J26" s="72"/>
      <c r="K26" s="72"/>
      <c r="L26" s="72"/>
      <c r="M26" s="77"/>
      <c r="N26" s="72"/>
      <c r="O26" s="72"/>
      <c r="P26" s="65"/>
      <c r="Q26" s="72"/>
      <c r="R26" s="65"/>
    </row>
    <row r="27" spans="1:18" x14ac:dyDescent="0.25">
      <c r="A27" s="79"/>
      <c r="B27" s="65"/>
      <c r="C27" s="65"/>
      <c r="D27" s="65"/>
      <c r="E27" s="65"/>
      <c r="F27" s="65"/>
      <c r="G27" s="65"/>
      <c r="H27" s="87"/>
      <c r="I27" s="65"/>
      <c r="J27" s="65"/>
      <c r="K27" s="65"/>
      <c r="L27" s="65"/>
      <c r="M27" s="65"/>
      <c r="N27" s="65"/>
      <c r="O27" s="65"/>
      <c r="P27" s="65"/>
      <c r="Q27" s="65"/>
      <c r="R27" s="87"/>
    </row>
    <row r="28" spans="1:18" x14ac:dyDescent="0.25">
      <c r="A28" s="79"/>
      <c r="B28" s="65"/>
      <c r="C28" s="65"/>
      <c r="D28" s="65"/>
      <c r="E28" s="65"/>
      <c r="F28" s="65"/>
      <c r="G28" s="65"/>
      <c r="H28" s="87"/>
      <c r="I28" s="65"/>
      <c r="J28" s="65"/>
      <c r="K28" s="65"/>
      <c r="L28" s="65"/>
      <c r="M28" s="65"/>
      <c r="N28" s="65"/>
      <c r="O28" s="65"/>
      <c r="P28" s="65"/>
      <c r="Q28" s="65"/>
      <c r="R28" s="87"/>
    </row>
    <row r="29" spans="1:18" x14ac:dyDescent="0.25">
      <c r="A29" s="80"/>
      <c r="B29" s="65"/>
      <c r="C29" s="65"/>
      <c r="D29" s="65"/>
      <c r="E29" s="65"/>
      <c r="F29" s="65"/>
      <c r="G29" s="65"/>
      <c r="H29" s="87"/>
      <c r="I29" s="65"/>
      <c r="J29" s="65"/>
      <c r="K29" s="65"/>
      <c r="L29" s="65"/>
      <c r="M29" s="65"/>
      <c r="N29" s="65"/>
      <c r="O29" s="65"/>
      <c r="P29" s="65"/>
      <c r="Q29" s="65"/>
      <c r="R29" s="87"/>
    </row>
    <row r="30" spans="1:18" x14ac:dyDescent="0.25">
      <c r="A30" s="73"/>
      <c r="B30" s="72"/>
      <c r="C30" s="72"/>
      <c r="D30" s="72"/>
      <c r="E30" s="72"/>
      <c r="F30" s="72"/>
      <c r="G30" s="72"/>
      <c r="H30" s="42"/>
      <c r="I30" s="72"/>
      <c r="J30" s="72"/>
      <c r="K30" s="72"/>
      <c r="L30" s="72"/>
      <c r="M30" s="72"/>
      <c r="N30" s="72"/>
      <c r="O30" s="72"/>
      <c r="P30" s="72"/>
      <c r="Q30" s="72"/>
      <c r="R30" s="42"/>
    </row>
    <row r="31" spans="1:18" x14ac:dyDescent="0.25">
      <c r="A31" s="79"/>
      <c r="B31" s="72"/>
      <c r="C31" s="72"/>
      <c r="D31" s="72"/>
      <c r="E31" s="72"/>
      <c r="F31" s="72"/>
      <c r="G31" s="72"/>
      <c r="H31" s="42"/>
      <c r="I31" s="72"/>
      <c r="J31" s="72"/>
      <c r="K31" s="72"/>
      <c r="L31" s="72"/>
      <c r="M31" s="72"/>
      <c r="N31" s="72"/>
      <c r="O31" s="72"/>
      <c r="P31" s="72"/>
      <c r="Q31" s="72"/>
      <c r="R31" s="42"/>
    </row>
    <row r="32" spans="1:18" x14ac:dyDescent="0.25">
      <c r="A32" s="79"/>
      <c r="B32" s="72"/>
      <c r="C32" s="72"/>
      <c r="D32" s="72"/>
      <c r="E32" s="72"/>
      <c r="F32" s="72"/>
      <c r="G32" s="72"/>
      <c r="H32" s="42"/>
      <c r="I32" s="72"/>
      <c r="J32" s="72"/>
      <c r="K32" s="72"/>
      <c r="L32" s="72"/>
      <c r="M32" s="72"/>
      <c r="N32" s="72"/>
      <c r="O32" s="72"/>
      <c r="P32" s="72"/>
      <c r="Q32" s="72"/>
      <c r="R32" s="42"/>
    </row>
    <row r="33" spans="1:18" ht="55.5" customHeight="1" x14ac:dyDescent="0.25">
      <c r="A33" s="79"/>
      <c r="B33" s="72"/>
      <c r="C33" s="72"/>
      <c r="D33" s="72"/>
      <c r="E33" s="72"/>
      <c r="F33" s="72"/>
      <c r="G33" s="114"/>
      <c r="H33" s="42"/>
      <c r="I33" s="72"/>
      <c r="J33" s="72"/>
      <c r="K33" s="72"/>
      <c r="L33" s="72"/>
      <c r="M33" s="72"/>
      <c r="N33" s="72"/>
      <c r="O33" s="72"/>
      <c r="P33" s="72"/>
      <c r="Q33" s="42"/>
      <c r="R33" s="42"/>
    </row>
    <row r="34" spans="1:18" x14ac:dyDescent="0.25">
      <c r="A34" s="79"/>
      <c r="B34" s="72"/>
      <c r="C34" s="65"/>
      <c r="D34" s="72"/>
      <c r="E34" s="72"/>
      <c r="F34" s="72"/>
      <c r="G34" s="65"/>
      <c r="H34" s="42"/>
      <c r="I34" s="72"/>
      <c r="J34" s="72"/>
      <c r="K34" s="72"/>
      <c r="L34" s="72"/>
      <c r="M34" s="72"/>
      <c r="N34" s="72"/>
      <c r="O34" s="72"/>
      <c r="P34" s="72"/>
      <c r="Q34" s="72"/>
      <c r="R34" s="42"/>
    </row>
    <row r="35" spans="1:18" x14ac:dyDescent="0.25">
      <c r="A35" s="80"/>
      <c r="B35" s="72"/>
      <c r="C35" s="65"/>
      <c r="D35" s="72"/>
      <c r="E35" s="72"/>
      <c r="F35" s="72"/>
      <c r="G35" s="65"/>
      <c r="H35" s="42"/>
      <c r="I35" s="72"/>
      <c r="J35" s="72"/>
      <c r="K35" s="72"/>
      <c r="L35" s="72"/>
      <c r="M35" s="72"/>
      <c r="N35" s="72"/>
      <c r="O35" s="72"/>
      <c r="P35" s="72"/>
      <c r="Q35" s="42"/>
      <c r="R35" s="42"/>
    </row>
    <row r="36" spans="1:18" x14ac:dyDescent="0.25">
      <c r="A36" s="73"/>
      <c r="B36" s="72"/>
      <c r="C36" s="72"/>
      <c r="D36" s="72"/>
      <c r="E36" s="72"/>
      <c r="F36" s="72"/>
      <c r="G36" s="72"/>
      <c r="H36" s="42"/>
      <c r="I36" s="72"/>
      <c r="J36" s="72"/>
      <c r="K36" s="72"/>
      <c r="L36" s="72"/>
      <c r="M36" s="72"/>
      <c r="N36" s="72"/>
      <c r="O36" s="72"/>
      <c r="P36" s="72"/>
      <c r="Q36" s="72"/>
      <c r="R36" s="42"/>
    </row>
    <row r="37" spans="1:18" x14ac:dyDescent="0.25">
      <c r="A37" s="79"/>
      <c r="B37" s="72"/>
      <c r="C37" s="72"/>
      <c r="D37" s="72"/>
      <c r="E37" s="72"/>
      <c r="F37" s="72"/>
      <c r="G37" s="72"/>
      <c r="H37" s="42"/>
      <c r="I37" s="72"/>
      <c r="J37" s="72"/>
      <c r="K37" s="72"/>
      <c r="L37" s="72"/>
      <c r="M37" s="72"/>
      <c r="N37" s="72"/>
      <c r="O37" s="72"/>
      <c r="P37" s="72"/>
      <c r="Q37" s="42"/>
      <c r="R37" s="42"/>
    </row>
    <row r="38" spans="1:18" x14ac:dyDescent="0.25">
      <c r="A38" s="79"/>
      <c r="B38" s="72"/>
      <c r="C38" s="65"/>
      <c r="D38" s="72"/>
      <c r="E38" s="72"/>
      <c r="F38" s="72"/>
      <c r="G38" s="72"/>
      <c r="H38" s="42"/>
      <c r="I38" s="72"/>
      <c r="J38" s="72"/>
      <c r="K38" s="72"/>
      <c r="L38" s="72"/>
      <c r="M38" s="72"/>
      <c r="N38" s="72"/>
      <c r="O38" s="72"/>
      <c r="P38" s="72"/>
      <c r="Q38" s="42"/>
      <c r="R38" s="42"/>
    </row>
    <row r="39" spans="1:18" x14ac:dyDescent="0.25">
      <c r="A39" s="79"/>
      <c r="B39" s="72"/>
      <c r="C39" s="65"/>
      <c r="D39" s="72"/>
      <c r="E39" s="72"/>
      <c r="F39" s="72"/>
      <c r="G39" s="65"/>
      <c r="H39" s="42"/>
      <c r="I39" s="72"/>
      <c r="J39" s="72"/>
      <c r="K39" s="72"/>
      <c r="L39" s="72"/>
      <c r="M39" s="72"/>
      <c r="N39" s="72"/>
      <c r="O39" s="72"/>
      <c r="P39" s="72"/>
      <c r="Q39" s="42"/>
      <c r="R39" s="42"/>
    </row>
    <row r="40" spans="1:18" x14ac:dyDescent="0.25">
      <c r="A40" s="80"/>
      <c r="B40" s="72"/>
      <c r="C40" s="72"/>
      <c r="D40" s="72"/>
      <c r="E40" s="72"/>
      <c r="F40" s="72"/>
      <c r="G40" s="72"/>
      <c r="H40" s="42"/>
      <c r="I40" s="72"/>
      <c r="J40" s="72"/>
      <c r="K40" s="72"/>
      <c r="L40" s="72"/>
      <c r="M40" s="72"/>
      <c r="N40" s="72"/>
      <c r="O40" s="72"/>
      <c r="P40" s="72"/>
      <c r="Q40" s="72"/>
      <c r="R40" s="42"/>
    </row>
    <row r="41" spans="1:18" x14ac:dyDescent="0.25">
      <c r="A41" s="94"/>
      <c r="B41" s="72"/>
      <c r="C41" s="72"/>
      <c r="D41" s="72"/>
      <c r="E41" s="72"/>
      <c r="F41" s="72"/>
      <c r="G41" s="72"/>
      <c r="H41" s="42"/>
      <c r="I41" s="72"/>
      <c r="J41" s="72"/>
      <c r="K41" s="72"/>
      <c r="L41" s="72"/>
      <c r="M41" s="72"/>
      <c r="N41" s="72"/>
      <c r="O41" s="72"/>
      <c r="P41" s="72"/>
      <c r="Q41" s="72"/>
      <c r="R41" s="42"/>
    </row>
    <row r="42" spans="1:18" x14ac:dyDescent="0.25">
      <c r="A42" s="95"/>
      <c r="B42" s="72"/>
      <c r="C42" s="72"/>
      <c r="D42" s="72"/>
      <c r="E42" s="72"/>
      <c r="F42" s="72"/>
      <c r="G42" s="72"/>
      <c r="H42" s="42"/>
      <c r="I42" s="72"/>
      <c r="J42" s="72"/>
      <c r="K42" s="72"/>
      <c r="L42" s="72"/>
      <c r="M42" s="72"/>
      <c r="N42" s="72"/>
      <c r="O42" s="72"/>
      <c r="P42" s="72"/>
      <c r="Q42" s="72"/>
      <c r="R42" s="42"/>
    </row>
    <row r="43" spans="1:18" x14ac:dyDescent="0.25">
      <c r="A43" s="95"/>
      <c r="B43" s="72"/>
      <c r="C43" s="72"/>
      <c r="D43" s="72"/>
      <c r="E43" s="72"/>
      <c r="F43" s="72"/>
      <c r="G43" s="72"/>
      <c r="H43" s="42"/>
      <c r="I43" s="72"/>
      <c r="J43" s="72"/>
      <c r="K43" s="72"/>
      <c r="L43" s="72"/>
      <c r="M43" s="72"/>
      <c r="N43" s="72"/>
      <c r="O43" s="72"/>
      <c r="P43" s="72"/>
      <c r="Q43" s="72"/>
      <c r="R43" s="42"/>
    </row>
    <row r="44" spans="1:18" x14ac:dyDescent="0.25">
      <c r="A44" s="95"/>
      <c r="B44" s="72"/>
      <c r="C44" s="72"/>
      <c r="D44" s="72"/>
      <c r="E44" s="72"/>
      <c r="F44" s="72"/>
      <c r="G44" s="72"/>
      <c r="H44" s="42"/>
      <c r="I44" s="72"/>
      <c r="J44" s="72"/>
      <c r="K44" s="72"/>
      <c r="L44" s="72"/>
      <c r="M44" s="72"/>
      <c r="N44" s="72"/>
      <c r="O44" s="72"/>
      <c r="P44" s="72"/>
      <c r="Q44" s="72"/>
      <c r="R44" s="42"/>
    </row>
    <row r="45" spans="1:18" ht="35.25" customHeight="1" x14ac:dyDescent="0.25">
      <c r="A45" s="95"/>
      <c r="B45" s="72"/>
      <c r="C45" s="93"/>
      <c r="D45" s="93"/>
      <c r="E45" s="93"/>
      <c r="F45" s="93"/>
      <c r="G45" s="93"/>
      <c r="H45" s="93"/>
      <c r="I45" s="93"/>
      <c r="J45" s="93"/>
      <c r="K45" s="93"/>
      <c r="L45" s="93"/>
      <c r="M45" s="93"/>
      <c r="N45" s="93"/>
      <c r="O45" s="93"/>
      <c r="P45" s="65"/>
      <c r="Q45" s="72"/>
      <c r="R45" s="42"/>
    </row>
    <row r="46" spans="1:18" x14ac:dyDescent="0.25">
      <c r="A46" s="95"/>
      <c r="B46" s="72"/>
      <c r="C46" s="65"/>
      <c r="D46" s="65"/>
      <c r="E46" s="65"/>
      <c r="F46" s="65"/>
      <c r="G46" s="65"/>
      <c r="H46" s="65"/>
      <c r="I46" s="65"/>
      <c r="J46" s="72"/>
      <c r="K46" s="65"/>
      <c r="L46" s="65"/>
      <c r="M46" s="65"/>
      <c r="N46" s="65"/>
      <c r="O46" s="65"/>
      <c r="P46" s="65"/>
      <c r="Q46" s="87"/>
      <c r="R46" s="87"/>
    </row>
    <row r="47" spans="1:18" x14ac:dyDescent="0.25">
      <c r="A47" s="115"/>
      <c r="B47" s="72"/>
      <c r="C47" s="65"/>
      <c r="D47" s="65"/>
      <c r="E47" s="65"/>
      <c r="F47" s="65"/>
      <c r="G47" s="65"/>
      <c r="H47" s="65"/>
      <c r="I47" s="65"/>
      <c r="J47" s="72"/>
      <c r="K47" s="65"/>
      <c r="L47" s="65"/>
      <c r="M47" s="65"/>
      <c r="N47" s="65"/>
      <c r="O47" s="65"/>
      <c r="P47" s="65"/>
      <c r="Q47" s="87"/>
      <c r="R47" s="87"/>
    </row>
    <row r="48" spans="1:18" x14ac:dyDescent="0.25">
      <c r="A48" s="73"/>
      <c r="B48" s="72"/>
      <c r="C48" s="72"/>
      <c r="D48" s="72"/>
      <c r="E48" s="72"/>
      <c r="F48" s="72"/>
      <c r="G48" s="72"/>
      <c r="H48" s="42"/>
      <c r="I48" s="72"/>
      <c r="J48" s="72"/>
      <c r="K48" s="72"/>
      <c r="L48" s="72"/>
      <c r="M48" s="72"/>
      <c r="N48" s="72"/>
      <c r="O48" s="72"/>
      <c r="P48" s="72"/>
      <c r="Q48" s="72"/>
      <c r="R48" s="42"/>
    </row>
    <row r="49" spans="1:18" x14ac:dyDescent="0.25">
      <c r="A49" s="79"/>
      <c r="B49" s="72"/>
      <c r="C49" s="72"/>
      <c r="D49" s="72"/>
      <c r="E49" s="72"/>
      <c r="F49" s="72"/>
      <c r="G49" s="72"/>
      <c r="H49" s="42"/>
      <c r="I49" s="72"/>
      <c r="J49" s="72"/>
      <c r="K49" s="72"/>
      <c r="L49" s="72"/>
      <c r="M49" s="72"/>
      <c r="N49" s="72"/>
      <c r="O49" s="72"/>
      <c r="P49" s="72"/>
      <c r="Q49" s="72"/>
      <c r="R49" s="42"/>
    </row>
    <row r="50" spans="1:18" x14ac:dyDescent="0.25">
      <c r="A50" s="79"/>
      <c r="B50" s="72"/>
      <c r="C50" s="72"/>
      <c r="D50" s="72"/>
      <c r="E50" s="72"/>
      <c r="F50" s="72"/>
      <c r="G50" s="72"/>
      <c r="H50" s="42"/>
      <c r="I50" s="72"/>
      <c r="J50" s="72"/>
      <c r="K50" s="72"/>
      <c r="L50" s="72"/>
      <c r="M50" s="72"/>
      <c r="N50" s="72"/>
      <c r="O50" s="72"/>
      <c r="P50" s="72"/>
      <c r="Q50" s="72"/>
      <c r="R50" s="42"/>
    </row>
    <row r="51" spans="1:18" x14ac:dyDescent="0.25">
      <c r="A51" s="79"/>
      <c r="B51" s="72"/>
      <c r="C51" s="72"/>
      <c r="D51" s="72"/>
      <c r="E51" s="72"/>
      <c r="F51" s="72"/>
      <c r="G51" s="72"/>
      <c r="H51" s="42"/>
      <c r="I51" s="72"/>
      <c r="J51" s="72"/>
      <c r="K51" s="72"/>
      <c r="L51" s="72"/>
      <c r="M51" s="72"/>
      <c r="N51" s="72"/>
      <c r="O51" s="72"/>
      <c r="P51" s="72"/>
      <c r="Q51" s="72"/>
      <c r="R51" s="42"/>
    </row>
    <row r="52" spans="1:18" x14ac:dyDescent="0.25">
      <c r="A52" s="79"/>
      <c r="B52" s="65"/>
      <c r="C52" s="65"/>
      <c r="D52" s="65"/>
      <c r="E52" s="65"/>
      <c r="F52" s="65"/>
      <c r="G52" s="65"/>
      <c r="H52" s="65"/>
      <c r="I52" s="72"/>
      <c r="J52" s="72"/>
      <c r="K52" s="72"/>
      <c r="L52" s="72"/>
      <c r="M52" s="72"/>
      <c r="N52" s="72"/>
      <c r="O52" s="72"/>
      <c r="P52" s="72"/>
      <c r="Q52" s="42"/>
      <c r="R52" s="42"/>
    </row>
    <row r="53" spans="1:18" x14ac:dyDescent="0.25">
      <c r="A53" s="80"/>
      <c r="B53" s="65"/>
      <c r="C53" s="65"/>
      <c r="D53" s="65"/>
      <c r="E53" s="65"/>
      <c r="F53" s="65"/>
      <c r="G53" s="65"/>
      <c r="H53" s="65"/>
      <c r="I53" s="72"/>
      <c r="J53" s="72"/>
      <c r="K53" s="72"/>
      <c r="L53" s="72"/>
      <c r="M53" s="72"/>
      <c r="N53" s="72"/>
      <c r="O53" s="72"/>
      <c r="P53" s="72"/>
      <c r="Q53" s="42"/>
      <c r="R53" s="42"/>
    </row>
    <row r="54" spans="1:18" x14ac:dyDescent="0.25">
      <c r="A54" s="73"/>
      <c r="B54" s="72"/>
      <c r="C54" s="72"/>
      <c r="D54" s="72"/>
      <c r="E54" s="72"/>
      <c r="F54" s="72"/>
      <c r="G54" s="72"/>
      <c r="H54" s="42"/>
      <c r="I54" s="72"/>
      <c r="J54" s="72"/>
      <c r="K54" s="72"/>
      <c r="L54" s="72"/>
      <c r="M54" s="72"/>
      <c r="N54" s="72"/>
      <c r="O54" s="72"/>
      <c r="P54" s="72"/>
      <c r="Q54" s="72"/>
      <c r="R54" s="42"/>
    </row>
    <row r="55" spans="1:18" x14ac:dyDescent="0.25">
      <c r="A55" s="79"/>
      <c r="B55" s="72"/>
      <c r="C55" s="72"/>
      <c r="D55" s="72"/>
      <c r="E55" s="72"/>
      <c r="F55" s="72"/>
      <c r="G55" s="72"/>
      <c r="H55" s="42"/>
      <c r="I55" s="72"/>
      <c r="J55" s="72"/>
      <c r="K55" s="72"/>
      <c r="L55" s="72"/>
      <c r="M55" s="72"/>
      <c r="N55" s="72"/>
      <c r="O55" s="72"/>
      <c r="P55" s="72"/>
      <c r="Q55" s="72"/>
      <c r="R55" s="42"/>
    </row>
    <row r="56" spans="1:18" x14ac:dyDescent="0.25">
      <c r="A56" s="79"/>
      <c r="B56" s="72"/>
      <c r="C56" s="72"/>
      <c r="D56" s="72"/>
      <c r="E56" s="72"/>
      <c r="F56" s="72"/>
      <c r="G56" s="72"/>
      <c r="H56" s="42"/>
      <c r="I56" s="72"/>
      <c r="J56" s="72"/>
      <c r="K56" s="72"/>
      <c r="L56" s="72"/>
      <c r="M56" s="72"/>
      <c r="N56" s="72"/>
      <c r="O56" s="72"/>
      <c r="P56" s="72"/>
      <c r="Q56" s="42"/>
      <c r="R56" s="42"/>
    </row>
    <row r="57" spans="1:18" x14ac:dyDescent="0.25">
      <c r="A57" s="80"/>
      <c r="B57" s="72"/>
      <c r="C57" s="65"/>
      <c r="D57" s="72"/>
      <c r="E57" s="72"/>
      <c r="F57" s="72"/>
      <c r="G57" s="72"/>
      <c r="H57" s="42"/>
      <c r="I57" s="72"/>
      <c r="J57" s="72"/>
      <c r="K57" s="72"/>
      <c r="L57" s="72"/>
      <c r="M57" s="72"/>
      <c r="N57" s="72"/>
      <c r="O57" s="72"/>
      <c r="P57" s="72"/>
      <c r="Q57" s="72"/>
      <c r="R57" s="87"/>
    </row>
    <row r="58" spans="1:18" x14ac:dyDescent="0.25">
      <c r="A58" s="72"/>
      <c r="B58" s="72"/>
      <c r="C58" s="72"/>
      <c r="D58" s="72"/>
      <c r="E58" s="72"/>
      <c r="F58" s="72"/>
      <c r="G58" s="72"/>
      <c r="H58" s="42"/>
      <c r="I58" s="72"/>
      <c r="J58" s="72"/>
      <c r="K58" s="72"/>
      <c r="L58" s="72"/>
      <c r="M58" s="72"/>
      <c r="N58" s="72"/>
      <c r="O58" s="72"/>
      <c r="P58" s="72"/>
      <c r="Q58" s="72"/>
      <c r="R58" s="42"/>
    </row>
    <row r="59" spans="1:18" x14ac:dyDescent="0.25">
      <c r="A59" s="72"/>
      <c r="B59" s="72"/>
      <c r="C59" s="72"/>
      <c r="D59" s="72"/>
      <c r="E59" s="72"/>
      <c r="F59" s="72"/>
      <c r="G59" s="72"/>
      <c r="H59" s="42"/>
      <c r="I59" s="72"/>
      <c r="J59" s="72"/>
      <c r="K59" s="72"/>
      <c r="L59" s="72"/>
      <c r="M59" s="72"/>
      <c r="N59" s="72"/>
      <c r="O59" s="72"/>
      <c r="P59" s="72"/>
      <c r="Q59" s="72"/>
      <c r="R59" s="42"/>
    </row>
    <row r="60" spans="1:18" x14ac:dyDescent="0.25">
      <c r="A60" s="72"/>
      <c r="B60" s="72"/>
      <c r="C60" s="72"/>
      <c r="D60" s="72"/>
      <c r="E60" s="72"/>
      <c r="F60" s="72"/>
      <c r="G60" s="72"/>
      <c r="H60" s="42"/>
      <c r="I60" s="72"/>
      <c r="J60" s="72"/>
      <c r="K60" s="72"/>
      <c r="L60" s="72"/>
      <c r="M60" s="72"/>
      <c r="N60" s="72"/>
      <c r="O60" s="72"/>
      <c r="P60" s="72"/>
      <c r="Q60" s="72"/>
      <c r="R60" s="42"/>
    </row>
    <row r="61" spans="1:18" x14ac:dyDescent="0.25">
      <c r="A61" s="72"/>
      <c r="B61" s="72"/>
      <c r="C61" s="72"/>
      <c r="D61" s="72"/>
      <c r="E61" s="72"/>
      <c r="F61" s="72"/>
      <c r="G61" s="72"/>
      <c r="H61" s="42"/>
      <c r="I61" s="72"/>
      <c r="J61" s="72"/>
      <c r="K61" s="72"/>
      <c r="L61" s="72"/>
      <c r="M61" s="72"/>
      <c r="N61" s="72"/>
      <c r="O61" s="72"/>
      <c r="P61" s="72"/>
      <c r="Q61" s="72"/>
      <c r="R61" s="42"/>
    </row>
    <row r="62" spans="1:18" x14ac:dyDescent="0.25">
      <c r="A62" s="72"/>
      <c r="B62" s="72"/>
      <c r="C62" s="72"/>
      <c r="D62" s="72"/>
      <c r="E62" s="72"/>
      <c r="F62" s="72"/>
      <c r="G62" s="72"/>
      <c r="H62" s="42"/>
      <c r="I62" s="72"/>
      <c r="J62" s="72"/>
      <c r="K62" s="72"/>
      <c r="L62" s="72"/>
      <c r="M62" s="72"/>
      <c r="N62" s="72"/>
      <c r="O62" s="72"/>
      <c r="P62" s="72"/>
      <c r="Q62" s="72"/>
      <c r="R62" s="42"/>
    </row>
    <row r="63" spans="1:18" x14ac:dyDescent="0.25">
      <c r="A63" s="72"/>
      <c r="B63" s="72"/>
      <c r="C63" s="72"/>
      <c r="D63" s="72"/>
      <c r="E63" s="72"/>
      <c r="F63" s="72"/>
      <c r="G63" s="72"/>
      <c r="H63" s="42"/>
      <c r="I63" s="72"/>
      <c r="J63" s="72"/>
      <c r="K63" s="72"/>
      <c r="L63" s="72"/>
      <c r="M63" s="72"/>
      <c r="N63" s="72"/>
      <c r="O63" s="72"/>
      <c r="P63" s="72"/>
      <c r="Q63" s="72"/>
      <c r="R63" s="42"/>
    </row>
    <row r="64" spans="1:18" x14ac:dyDescent="0.25">
      <c r="A64" s="72"/>
      <c r="B64" s="72"/>
      <c r="C64" s="72"/>
      <c r="D64" s="72"/>
      <c r="E64" s="72"/>
      <c r="F64" s="72"/>
      <c r="G64" s="72"/>
      <c r="H64" s="42"/>
      <c r="I64" s="72"/>
      <c r="J64" s="72"/>
      <c r="K64" s="72"/>
      <c r="L64" s="72"/>
      <c r="M64" s="72"/>
      <c r="N64" s="72"/>
      <c r="O64" s="72"/>
      <c r="P64" s="72"/>
      <c r="Q64" s="72"/>
      <c r="R64" s="42"/>
    </row>
    <row r="65" spans="1:18" x14ac:dyDescent="0.25">
      <c r="A65" s="72"/>
      <c r="B65" s="72"/>
      <c r="C65" s="72"/>
      <c r="D65" s="72"/>
      <c r="E65" s="72"/>
      <c r="F65" s="72"/>
      <c r="G65" s="72"/>
      <c r="H65" s="42"/>
      <c r="I65" s="72"/>
      <c r="J65" s="72"/>
      <c r="K65" s="72"/>
      <c r="L65" s="72"/>
      <c r="M65" s="72"/>
      <c r="N65" s="72"/>
      <c r="O65" s="72"/>
      <c r="P65" s="72"/>
      <c r="Q65" s="72"/>
      <c r="R65" s="42"/>
    </row>
    <row r="66" spans="1:18" x14ac:dyDescent="0.25">
      <c r="A66" s="72"/>
      <c r="B66" s="72"/>
      <c r="C66" s="72"/>
      <c r="D66" s="72"/>
      <c r="E66" s="72"/>
      <c r="F66" s="72"/>
      <c r="G66" s="72"/>
      <c r="H66" s="42"/>
      <c r="I66" s="72"/>
      <c r="J66" s="72"/>
      <c r="K66" s="72"/>
      <c r="L66" s="72"/>
      <c r="M66" s="72"/>
      <c r="N66" s="72"/>
      <c r="O66" s="72"/>
      <c r="P66" s="72"/>
      <c r="Q66" s="72"/>
      <c r="R66" s="42"/>
    </row>
    <row r="67" spans="1:18" x14ac:dyDescent="0.25">
      <c r="A67" s="72"/>
      <c r="B67" s="72"/>
      <c r="C67" s="72"/>
      <c r="D67" s="72"/>
      <c r="E67" s="72"/>
      <c r="F67" s="72"/>
      <c r="G67" s="72"/>
      <c r="H67" s="42"/>
      <c r="I67" s="72"/>
      <c r="J67" s="72"/>
      <c r="K67" s="72"/>
      <c r="L67" s="72"/>
      <c r="M67" s="72"/>
      <c r="N67" s="72"/>
      <c r="O67" s="72"/>
      <c r="P67" s="72"/>
      <c r="Q67" s="72"/>
      <c r="R67" s="42"/>
    </row>
    <row r="68" spans="1:18" x14ac:dyDescent="0.25">
      <c r="A68" s="72"/>
      <c r="B68" s="72"/>
      <c r="C68" s="72"/>
      <c r="D68" s="72"/>
      <c r="E68" s="72"/>
      <c r="F68" s="72"/>
      <c r="G68" s="72"/>
      <c r="H68" s="42"/>
      <c r="I68" s="72"/>
      <c r="J68" s="72"/>
      <c r="K68" s="72"/>
      <c r="L68" s="72"/>
      <c r="M68" s="72"/>
      <c r="N68" s="72"/>
      <c r="O68" s="72"/>
      <c r="P68" s="72"/>
      <c r="Q68" s="72"/>
      <c r="R68" s="42"/>
    </row>
    <row r="69" spans="1:18" x14ac:dyDescent="0.25">
      <c r="A69" s="72"/>
      <c r="B69" s="72"/>
      <c r="C69" s="72"/>
      <c r="D69" s="72"/>
      <c r="E69" s="72"/>
      <c r="F69" s="72"/>
      <c r="G69" s="72"/>
      <c r="H69" s="42"/>
      <c r="I69" s="72"/>
      <c r="J69" s="72"/>
      <c r="K69" s="72"/>
      <c r="L69" s="72"/>
      <c r="M69" s="72"/>
      <c r="N69" s="72"/>
      <c r="O69" s="72"/>
      <c r="P69" s="72"/>
      <c r="Q69" s="72"/>
      <c r="R69" s="42"/>
    </row>
    <row r="70" spans="1:18" x14ac:dyDescent="0.25">
      <c r="A70" s="72"/>
      <c r="B70" s="72"/>
      <c r="C70" s="72"/>
      <c r="D70" s="72"/>
      <c r="E70" s="72"/>
      <c r="F70" s="72"/>
      <c r="G70" s="72"/>
      <c r="H70" s="42"/>
      <c r="I70" s="72"/>
      <c r="J70" s="72"/>
      <c r="K70" s="72"/>
      <c r="L70" s="72"/>
      <c r="M70" s="72"/>
      <c r="N70" s="72"/>
      <c r="O70" s="72"/>
      <c r="P70" s="72"/>
      <c r="Q70" s="72"/>
      <c r="R70" s="42"/>
    </row>
    <row r="71" spans="1:18" x14ac:dyDescent="0.25">
      <c r="A71" s="72"/>
      <c r="B71" s="72"/>
      <c r="C71" s="72"/>
      <c r="D71" s="72"/>
      <c r="E71" s="72"/>
      <c r="F71" s="72"/>
      <c r="G71" s="72"/>
      <c r="H71" s="42"/>
      <c r="I71" s="72"/>
      <c r="J71" s="72"/>
      <c r="K71" s="72"/>
      <c r="L71" s="72"/>
      <c r="M71" s="72"/>
      <c r="N71" s="72"/>
      <c r="O71" s="72"/>
      <c r="P71" s="72"/>
      <c r="Q71" s="72"/>
      <c r="R71" s="42"/>
    </row>
    <row r="72" spans="1:18" x14ac:dyDescent="0.25">
      <c r="A72" s="72"/>
      <c r="B72" s="72"/>
      <c r="C72" s="72"/>
      <c r="D72" s="72"/>
      <c r="E72" s="72"/>
      <c r="F72" s="72"/>
      <c r="G72" s="72"/>
      <c r="H72" s="42"/>
      <c r="I72" s="72"/>
      <c r="J72" s="72"/>
      <c r="K72" s="72"/>
      <c r="L72" s="72"/>
      <c r="M72" s="72"/>
      <c r="N72" s="72"/>
      <c r="O72" s="72"/>
      <c r="P72" s="72"/>
      <c r="Q72" s="72"/>
      <c r="R72" s="42"/>
    </row>
    <row r="73" spans="1:18" x14ac:dyDescent="0.25">
      <c r="A73" s="72"/>
      <c r="B73" s="72"/>
      <c r="C73" s="72"/>
      <c r="D73" s="72"/>
      <c r="E73" s="72"/>
      <c r="F73" s="72"/>
      <c r="G73" s="72"/>
      <c r="H73" s="42"/>
      <c r="I73" s="72"/>
      <c r="J73" s="72"/>
      <c r="K73" s="72"/>
      <c r="L73" s="72"/>
      <c r="M73" s="72"/>
      <c r="N73" s="72"/>
      <c r="O73" s="72"/>
      <c r="P73" s="72"/>
      <c r="Q73" s="72"/>
      <c r="R73" s="42"/>
    </row>
    <row r="74" spans="1:18" x14ac:dyDescent="0.25">
      <c r="A74" s="72"/>
      <c r="B74" s="72"/>
      <c r="C74" s="72"/>
      <c r="D74" s="72"/>
      <c r="E74" s="72"/>
      <c r="F74" s="72"/>
      <c r="G74" s="72"/>
      <c r="H74" s="42"/>
      <c r="I74" s="72"/>
      <c r="J74" s="72"/>
      <c r="K74" s="72"/>
      <c r="L74" s="72"/>
      <c r="M74" s="72"/>
      <c r="N74" s="72"/>
      <c r="O74" s="72"/>
      <c r="P74" s="72"/>
      <c r="Q74" s="72"/>
      <c r="R74" s="42"/>
    </row>
    <row r="75" spans="1:18" x14ac:dyDescent="0.25">
      <c r="A75" s="72"/>
      <c r="B75" s="72"/>
      <c r="C75" s="72"/>
      <c r="D75" s="72"/>
      <c r="E75" s="72"/>
      <c r="F75" s="72"/>
      <c r="G75" s="72"/>
      <c r="H75" s="42"/>
      <c r="I75" s="72"/>
      <c r="J75" s="72"/>
      <c r="K75" s="72"/>
      <c r="L75" s="72"/>
      <c r="M75" s="72"/>
      <c r="N75" s="72"/>
      <c r="O75" s="72"/>
      <c r="P75" s="72"/>
      <c r="Q75" s="72"/>
      <c r="R75" s="42"/>
    </row>
    <row r="76" spans="1:18" x14ac:dyDescent="0.25">
      <c r="A76" s="72"/>
      <c r="B76" s="72"/>
      <c r="C76" s="72"/>
      <c r="D76" s="72"/>
      <c r="E76" s="72"/>
      <c r="F76" s="72"/>
      <c r="G76" s="72"/>
      <c r="H76" s="42"/>
      <c r="I76" s="72"/>
      <c r="J76" s="72"/>
      <c r="K76" s="72"/>
      <c r="L76" s="72"/>
      <c r="M76" s="72"/>
      <c r="N76" s="72"/>
      <c r="O76" s="72"/>
      <c r="P76" s="72"/>
      <c r="Q76" s="72"/>
      <c r="R76" s="42"/>
    </row>
    <row r="77" spans="1:18" x14ac:dyDescent="0.25">
      <c r="A77" s="72"/>
      <c r="B77" s="72"/>
      <c r="C77" s="72"/>
      <c r="D77" s="72"/>
      <c r="E77" s="72"/>
      <c r="F77" s="72"/>
      <c r="G77" s="72"/>
      <c r="H77" s="42"/>
      <c r="I77" s="72"/>
      <c r="J77" s="72"/>
      <c r="K77" s="72"/>
      <c r="L77" s="72"/>
      <c r="M77" s="72"/>
      <c r="N77" s="72"/>
      <c r="O77" s="72"/>
      <c r="P77" s="72"/>
      <c r="Q77" s="72"/>
      <c r="R77" s="42"/>
    </row>
    <row r="78" spans="1:18" x14ac:dyDescent="0.25">
      <c r="A78" s="72"/>
      <c r="B78" s="72"/>
      <c r="C78" s="72"/>
      <c r="D78" s="72"/>
      <c r="E78" s="72"/>
      <c r="F78" s="72"/>
      <c r="G78" s="72"/>
      <c r="H78" s="42"/>
      <c r="I78" s="72"/>
      <c r="J78" s="72"/>
      <c r="K78" s="72"/>
      <c r="L78" s="72"/>
      <c r="M78" s="72"/>
      <c r="N78" s="72"/>
      <c r="O78" s="72"/>
      <c r="P78" s="72"/>
      <c r="Q78" s="72"/>
      <c r="R78" s="42"/>
    </row>
  </sheetData>
  <mergeCells count="27">
    <mergeCell ref="R17:R18"/>
    <mergeCell ref="L17:L18"/>
    <mergeCell ref="M17:M18"/>
    <mergeCell ref="N17:N18"/>
    <mergeCell ref="O17:O18"/>
    <mergeCell ref="P17:P18"/>
    <mergeCell ref="Q17:Q18"/>
    <mergeCell ref="J2:P2"/>
    <mergeCell ref="C17:C18"/>
    <mergeCell ref="D17:D18"/>
    <mergeCell ref="E17:E18"/>
    <mergeCell ref="F17:F18"/>
    <mergeCell ref="G17:G18"/>
    <mergeCell ref="H17:H18"/>
    <mergeCell ref="I17:I18"/>
    <mergeCell ref="J17:J18"/>
    <mergeCell ref="K17:K18"/>
    <mergeCell ref="A1:R1"/>
    <mergeCell ref="A2:A3"/>
    <mergeCell ref="B2:B3"/>
    <mergeCell ref="C2:C3"/>
    <mergeCell ref="D2:D3"/>
    <mergeCell ref="E2:E3"/>
    <mergeCell ref="F2:F3"/>
    <mergeCell ref="G2:G3"/>
    <mergeCell ref="H2:H3"/>
    <mergeCell ref="I2:I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EA642-D44B-4934-A532-1C6BA5D67C9A}">
  <dimension ref="A1:K21"/>
  <sheetViews>
    <sheetView topLeftCell="A20" zoomScale="85" zoomScaleNormal="85" workbookViewId="0">
      <selection activeCell="J20" sqref="J20:K21"/>
    </sheetView>
  </sheetViews>
  <sheetFormatPr defaultRowHeight="15" x14ac:dyDescent="0.25"/>
  <cols>
    <col min="1" max="1" width="22.85546875" bestFit="1" customWidth="1"/>
    <col min="5" max="5" width="2.7109375" customWidth="1"/>
    <col min="6" max="6" width="22.5703125" bestFit="1" customWidth="1"/>
    <col min="8" max="8" width="2.85546875" customWidth="1"/>
    <col min="9" max="9" width="21.5703125" bestFit="1" customWidth="1"/>
    <col min="10" max="11" width="53.5703125" customWidth="1"/>
  </cols>
  <sheetData>
    <row r="1" spans="1:7" x14ac:dyDescent="0.25">
      <c r="A1" s="24" t="s">
        <v>63</v>
      </c>
      <c r="B1" s="25" t="s">
        <v>64</v>
      </c>
      <c r="C1" s="25" t="s">
        <v>65</v>
      </c>
      <c r="D1" s="52">
        <v>220</v>
      </c>
      <c r="E1" s="55"/>
      <c r="F1" s="22" t="s">
        <v>52</v>
      </c>
      <c r="G1" s="23">
        <v>9</v>
      </c>
    </row>
    <row r="2" spans="1:7" x14ac:dyDescent="0.25">
      <c r="A2" s="26" t="s">
        <v>52</v>
      </c>
      <c r="B2" s="21"/>
      <c r="C2" s="21">
        <v>1</v>
      </c>
      <c r="D2" s="53"/>
      <c r="E2" s="56"/>
      <c r="F2" s="16" t="s">
        <v>67</v>
      </c>
      <c r="G2" s="17">
        <v>50</v>
      </c>
    </row>
    <row r="3" spans="1:7" x14ac:dyDescent="0.25">
      <c r="A3" s="26" t="s">
        <v>53</v>
      </c>
      <c r="B3" s="21">
        <v>5</v>
      </c>
      <c r="C3" s="21">
        <v>4</v>
      </c>
      <c r="D3" s="53"/>
      <c r="E3" s="56"/>
      <c r="F3" s="18" t="s">
        <v>54</v>
      </c>
      <c r="G3" s="17">
        <v>127</v>
      </c>
    </row>
    <row r="4" spans="1:7" x14ac:dyDescent="0.25">
      <c r="A4" s="26" t="s">
        <v>59</v>
      </c>
      <c r="B4" s="21">
        <v>1</v>
      </c>
      <c r="C4" s="21">
        <v>1</v>
      </c>
      <c r="D4" s="53"/>
      <c r="E4" s="56"/>
      <c r="F4" s="16" t="s">
        <v>55</v>
      </c>
      <c r="G4" s="17">
        <v>9</v>
      </c>
    </row>
    <row r="5" spans="1:7" x14ac:dyDescent="0.25">
      <c r="A5" s="26" t="s">
        <v>55</v>
      </c>
      <c r="B5" s="21">
        <v>9</v>
      </c>
      <c r="C5" s="21"/>
      <c r="D5" s="53"/>
      <c r="E5" s="56"/>
      <c r="F5" s="19" t="s">
        <v>62</v>
      </c>
      <c r="G5" s="17">
        <v>1</v>
      </c>
    </row>
    <row r="6" spans="1:7" x14ac:dyDescent="0.25">
      <c r="A6" s="26" t="s">
        <v>56</v>
      </c>
      <c r="B6" s="21">
        <v>1</v>
      </c>
      <c r="C6" s="21"/>
      <c r="D6" s="53"/>
      <c r="E6" s="56"/>
      <c r="F6" s="18" t="s">
        <v>58</v>
      </c>
      <c r="G6" s="17">
        <v>3</v>
      </c>
    </row>
    <row r="7" spans="1:7" x14ac:dyDescent="0.25">
      <c r="A7" s="26" t="s">
        <v>54</v>
      </c>
      <c r="B7" s="21">
        <v>6</v>
      </c>
      <c r="C7" s="21"/>
      <c r="D7" s="53"/>
      <c r="E7" s="56"/>
      <c r="F7" s="18" t="s">
        <v>57</v>
      </c>
      <c r="G7" s="17">
        <v>1</v>
      </c>
    </row>
    <row r="8" spans="1:7" x14ac:dyDescent="0.25">
      <c r="A8" s="26" t="s">
        <v>57</v>
      </c>
      <c r="B8" s="21">
        <v>1</v>
      </c>
      <c r="C8" s="21"/>
      <c r="D8" s="53"/>
      <c r="E8" s="56"/>
      <c r="F8" s="18" t="s">
        <v>53</v>
      </c>
      <c r="G8" s="17">
        <v>9</v>
      </c>
    </row>
    <row r="9" spans="1:7" x14ac:dyDescent="0.25">
      <c r="A9" s="26" t="s">
        <v>58</v>
      </c>
      <c r="B9" s="21">
        <v>3</v>
      </c>
      <c r="C9" s="21"/>
      <c r="D9" s="53"/>
      <c r="E9" s="56"/>
      <c r="F9" s="18" t="s">
        <v>59</v>
      </c>
      <c r="G9" s="17">
        <v>2</v>
      </c>
    </row>
    <row r="10" spans="1:7" ht="15.75" thickBot="1" x14ac:dyDescent="0.3">
      <c r="A10" s="27" t="s">
        <v>60</v>
      </c>
      <c r="B10" s="21">
        <v>1</v>
      </c>
      <c r="C10" s="21"/>
      <c r="D10" s="53"/>
      <c r="E10" s="56"/>
      <c r="F10" s="20" t="s">
        <v>66</v>
      </c>
      <c r="G10" s="31">
        <f>SUM(G1:G9)</f>
        <v>211</v>
      </c>
    </row>
    <row r="11" spans="1:7" x14ac:dyDescent="0.25">
      <c r="A11" s="27" t="s">
        <v>61</v>
      </c>
      <c r="B11" s="21">
        <v>1</v>
      </c>
      <c r="C11" s="21"/>
      <c r="D11" s="53"/>
      <c r="E11" s="56"/>
    </row>
    <row r="12" spans="1:7" x14ac:dyDescent="0.25">
      <c r="A12" s="27" t="s">
        <v>62</v>
      </c>
      <c r="B12" s="21">
        <v>1</v>
      </c>
      <c r="C12" s="21"/>
      <c r="D12" s="53"/>
      <c r="E12" s="56"/>
    </row>
    <row r="13" spans="1:7" ht="15" customHeight="1" x14ac:dyDescent="0.25">
      <c r="A13" s="28" t="s">
        <v>68</v>
      </c>
      <c r="B13" s="21">
        <v>47</v>
      </c>
      <c r="C13" s="50" t="s">
        <v>73</v>
      </c>
      <c r="D13" s="53"/>
      <c r="E13" s="56"/>
    </row>
    <row r="14" spans="1:7" x14ac:dyDescent="0.25">
      <c r="A14" s="28" t="s">
        <v>69</v>
      </c>
      <c r="B14" s="21">
        <v>49</v>
      </c>
      <c r="C14" s="50"/>
      <c r="D14" s="53"/>
      <c r="E14" s="56"/>
    </row>
    <row r="15" spans="1:7" x14ac:dyDescent="0.25">
      <c r="A15" s="28" t="s">
        <v>70</v>
      </c>
      <c r="B15" s="21">
        <v>51</v>
      </c>
      <c r="C15" s="50"/>
      <c r="D15" s="53"/>
      <c r="E15" s="56"/>
    </row>
    <row r="16" spans="1:7" x14ac:dyDescent="0.25">
      <c r="A16" s="28" t="s">
        <v>71</v>
      </c>
      <c r="B16" s="21">
        <v>21</v>
      </c>
      <c r="C16" s="50"/>
      <c r="D16" s="53"/>
      <c r="E16" s="56"/>
    </row>
    <row r="17" spans="1:11" x14ac:dyDescent="0.25">
      <c r="A17" s="28" t="s">
        <v>72</v>
      </c>
      <c r="B17" s="21">
        <v>8</v>
      </c>
      <c r="C17" s="50"/>
      <c r="D17" s="53"/>
      <c r="E17" s="56"/>
    </row>
    <row r="18" spans="1:11" ht="15.75" thickBot="1" x14ac:dyDescent="0.3">
      <c r="A18" s="29" t="s">
        <v>74</v>
      </c>
      <c r="B18" s="30">
        <v>9</v>
      </c>
      <c r="C18" s="51"/>
      <c r="D18" s="54"/>
      <c r="E18" s="56"/>
    </row>
    <row r="19" spans="1:11" x14ac:dyDescent="0.25">
      <c r="I19" s="38" t="s">
        <v>75</v>
      </c>
      <c r="J19" s="39" t="s">
        <v>76</v>
      </c>
      <c r="K19" s="40" t="s">
        <v>77</v>
      </c>
    </row>
    <row r="20" spans="1:11" ht="150" customHeight="1" x14ac:dyDescent="0.25">
      <c r="I20" s="33" t="s">
        <v>78</v>
      </c>
      <c r="J20" s="32" t="s">
        <v>80</v>
      </c>
      <c r="K20" s="34" t="s">
        <v>82</v>
      </c>
    </row>
    <row r="21" spans="1:11" ht="114" customHeight="1" thickBot="1" x14ac:dyDescent="0.3">
      <c r="I21" s="35" t="s">
        <v>67</v>
      </c>
      <c r="J21" s="36" t="s">
        <v>81</v>
      </c>
      <c r="K21" s="37" t="s">
        <v>79</v>
      </c>
    </row>
  </sheetData>
  <mergeCells count="3">
    <mergeCell ref="C13:C18"/>
    <mergeCell ref="D1:D18"/>
    <mergeCell ref="E1:E18"/>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THBC</vt:lpstr>
      <vt:lpstr>CHI TIẾT</vt:lpstr>
      <vt:lpstr>NNĐS CL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12240 Tuan</dc:creator>
  <cp:lastModifiedBy>VDM/TUAN HUYNH ANH</cp:lastModifiedBy>
  <dcterms:created xsi:type="dcterms:W3CDTF">2015-06-05T18:17:20Z</dcterms:created>
  <dcterms:modified xsi:type="dcterms:W3CDTF">2024-01-09T02:03:52Z</dcterms:modified>
</cp:coreProperties>
</file>