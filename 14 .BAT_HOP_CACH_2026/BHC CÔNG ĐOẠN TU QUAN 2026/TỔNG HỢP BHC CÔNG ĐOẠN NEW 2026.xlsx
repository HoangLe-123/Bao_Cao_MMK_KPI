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vdm-fsvr\Cokhi-機工\CONG VIEC CHUNG 2026\14 .BÂT HỢP CÁCH  2026\BHC CÔNG ĐOẠN TU QUAN 2026\"/>
    </mc:Choice>
  </mc:AlternateContent>
  <xr:revisionPtr revIDLastSave="0" documentId="13_ncr:1_{979AE37B-115A-4137-8F0B-045B859A0AB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E OK" sheetId="1" r:id="rId1"/>
    <sheet name="Sheet1 (2)" sheetId="3" r:id="rId2"/>
    <sheet name="Sheet2" sheetId="2" r:id="rId3"/>
  </sheets>
  <definedNames>
    <definedName name="_xlnm._FilterDatabase" localSheetId="0" hidden="1">'FILE OK'!$A$2:$X$40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9" i="3" l="1"/>
  <c r="X68" i="3"/>
  <c r="X67" i="3"/>
  <c r="X66" i="3"/>
  <c r="X65" i="3"/>
  <c r="X64" i="3"/>
  <c r="X63" i="3"/>
  <c r="X62" i="3"/>
  <c r="X61" i="3"/>
  <c r="X60" i="3"/>
  <c r="X59" i="3"/>
  <c r="X58" i="3"/>
  <c r="U15" i="3"/>
  <c r="T10" i="3"/>
  <c r="T4" i="3"/>
  <c r="T3" i="3"/>
</calcChain>
</file>

<file path=xl/sharedStrings.xml><?xml version="1.0" encoding="utf-8"?>
<sst xmlns="http://schemas.openxmlformats.org/spreadsheetml/2006/main" count="245" uniqueCount="154">
  <si>
    <t>MÃ SỐ
 YÊU CẦU</t>
  </si>
  <si>
    <t>Số pcs
yêu cầu</t>
  </si>
  <si>
    <t xml:space="preserve"> NỘI DUNG
HƯ HỎNG</t>
  </si>
  <si>
    <t>PP XỬ LÝ</t>
  </si>
  <si>
    <t>MÃ SỐ 
PHÁT HÀNH</t>
  </si>
  <si>
    <t>VẬT LIỆU</t>
  </si>
  <si>
    <t>TIỀN 
VẬT LIỆU</t>
  </si>
  <si>
    <t>TIỀN GIA CÔNG</t>
  </si>
  <si>
    <t>NGÀY
 H. THÀNH
BHC</t>
  </si>
  <si>
    <t>GHI CHÚ</t>
  </si>
  <si>
    <t>Rep
 No.</t>
  </si>
  <si>
    <t>STT</t>
  </si>
  <si>
    <t>Số Pcs
NG</t>
  </si>
  <si>
    <t>XỬ LÝ</t>
  </si>
  <si>
    <t>MSNV</t>
  </si>
  <si>
    <t>LIST QUẢN LÝ BẢN VẼ 412 TỰ CHỦ</t>
  </si>
  <si>
    <t>SỐ 
YÊU CẦU</t>
  </si>
  <si>
    <t>NGÀY
 PH</t>
  </si>
  <si>
    <t>CÔNG ĐOẠN 
CẦN GIA CÔNG</t>
  </si>
  <si>
    <t>KỲ HẠN 
412</t>
  </si>
  <si>
    <t>NGÀY HT
412</t>
  </si>
  <si>
    <t>XỬ LÝ BHC
(CÓ/KHÔNG)</t>
  </si>
  <si>
    <t xml:space="preserve">TỔNG TIỀN 
</t>
  </si>
  <si>
    <t>NGÀY H. THÀNH
412</t>
  </si>
  <si>
    <t>NGÀY P. HÀNH</t>
  </si>
  <si>
    <t>BIÊN BAN ĐIỀU TRA NNĐS</t>
  </si>
  <si>
    <t>QUẢN LÝ CÔNG ĐOẠN</t>
  </si>
  <si>
    <t>TRƯỞNG CA</t>
  </si>
  <si>
    <t>PHÁN ĐỊNH QC</t>
  </si>
  <si>
    <t>NGÀY
PHÁT SINH</t>
  </si>
  <si>
    <t>SNO.</t>
  </si>
  <si>
    <t>CA
LÀM VIỆC</t>
  </si>
  <si>
    <t>NVGC</t>
  </si>
  <si>
    <t>C.ĐOẠN</t>
  </si>
  <si>
    <t>XEM</t>
  </si>
  <si>
    <t>R630411028</t>
  </si>
  <si>
    <t>GR</t>
  </si>
  <si>
    <t>BẢO</t>
  </si>
  <si>
    <t>F</t>
  </si>
  <si>
    <t>Ø22.83 +0.02  thực đo Ø22.87</t>
  </si>
  <si>
    <t>gia công lại</t>
  </si>
  <si>
    <t>wc D30</t>
  </si>
  <si>
    <t>S440452</t>
  </si>
  <si>
    <t>L611405041</t>
  </si>
  <si>
    <t>GS</t>
  </si>
  <si>
    <t>PHƯƠNG</t>
  </si>
  <si>
    <t>BTP sai nv không xác nhận</t>
  </si>
  <si>
    <t>EW</t>
  </si>
  <si>
    <t>Duy</t>
  </si>
  <si>
    <t>Gá lộn mặt đồ gá dẫn đến rãnh
 0,6 bị ngược bên</t>
  </si>
  <si>
    <t>S765512</t>
  </si>
  <si>
    <t>213411314A</t>
  </si>
  <si>
    <t>GP</t>
  </si>
  <si>
    <t>PHƯỚC</t>
  </si>
  <si>
    <t>KT 0.7 thực đo 0.77</t>
  </si>
  <si>
    <t>GC</t>
  </si>
  <si>
    <t>TIÊN</t>
  </si>
  <si>
    <t>KT 3.9+-0.01 thực đo 3.97</t>
  </si>
  <si>
    <t>GÊJI cong trục
11-AU2CA</t>
  </si>
  <si>
    <t>gerj</t>
  </si>
  <si>
    <t>EN</t>
  </si>
  <si>
    <t>Hiền</t>
  </si>
  <si>
    <t>Gá lộn mặt đồ gá dẫn đến sai 120 độ</t>
  </si>
  <si>
    <t>R532814</t>
  </si>
  <si>
    <t>Ko xác nhận kỹ dc dẫn đến ụi
 vào chi tiếc ngoại quan NG</t>
  </si>
  <si>
    <t>S916492</t>
  </si>
  <si>
    <t>phóng phá bị méo lỗ đẫn đến 
phi 3.17 bị lẹm hết</t>
  </si>
  <si>
    <t>R412502040</t>
  </si>
  <si>
    <t>R416502001</t>
  </si>
  <si>
    <t>LL KNSD</t>
  </si>
  <si>
    <t>R630412015</t>
  </si>
  <si>
    <t>WC Hàn vào sau khi gia công bị nứt</t>
  </si>
  <si>
    <t>S617772</t>
  </si>
  <si>
    <t>213402213A</t>
  </si>
  <si>
    <t>MA</t>
  </si>
  <si>
    <t>Trung</t>
  </si>
  <si>
    <t>KT4.556 dương 1.0</t>
  </si>
  <si>
    <t>WC</t>
  </si>
  <si>
    <t>SUJ</t>
  </si>
  <si>
    <t>R412502031</t>
  </si>
  <si>
    <t>VLTD</t>
  </si>
  <si>
    <t>R062645</t>
  </si>
  <si>
    <t>BJ</t>
  </si>
  <si>
    <t>DIỆN</t>
  </si>
  <si>
    <t>KT Ø13 -0.01  thực đo Ø13.5</t>
  </si>
  <si>
    <t>L413412044</t>
  </si>
  <si>
    <t>KT 4.00+ THỰC ĐO 3.983</t>
  </si>
  <si>
    <t>RIGOR</t>
  </si>
  <si>
    <t>213412085A</t>
  </si>
  <si>
    <t>R171378</t>
  </si>
  <si>
    <t>Vang</t>
  </si>
  <si>
    <t>KT 4.00 thực đo 3.995</t>
  </si>
  <si>
    <t>giám định</t>
  </si>
  <si>
    <t>s847751</t>
  </si>
  <si>
    <t>lệch tọa độ phi 2.04</t>
  </si>
  <si>
    <t>sửa chửa</t>
  </si>
  <si>
    <t>R630501033</t>
  </si>
  <si>
    <t>Ø22.82 +0.01  thực đo Ø22.84</t>
  </si>
  <si>
    <t>KT 6.21 bị dương 0.01</t>
  </si>
  <si>
    <t>KT 6,5 nhập lộn 5.6</t>
  </si>
  <si>
    <t>Nghiêm</t>
  </si>
  <si>
    <t>Gá đặt sai dẫn đến lệch tâm</t>
  </si>
  <si>
    <t>213409089A</t>
  </si>
  <si>
    <t>xem</t>
  </si>
  <si>
    <t>đã link scan</t>
  </si>
  <si>
    <t>GD412503001</t>
  </si>
  <si>
    <t>WCD30</t>
  </si>
  <si>
    <t>R054922</t>
  </si>
  <si>
    <t>S847751</t>
  </si>
  <si>
    <t>R372044</t>
  </si>
  <si>
    <t>WG</t>
  </si>
  <si>
    <t>QUỲNH</t>
  </si>
  <si>
    <t>HC</t>
  </si>
  <si>
    <t>BTP R054922</t>
  </si>
  <si>
    <t>1-002</t>
  </si>
  <si>
    <t>1-003</t>
  </si>
  <si>
    <t>1035</t>
  </si>
  <si>
    <t>DTAE-036J-BA-011110</t>
  </si>
  <si>
    <t>L611412041</t>
  </si>
  <si>
    <t>213409287A</t>
  </si>
  <si>
    <t>213410237A</t>
  </si>
  <si>
    <t>213410134B</t>
  </si>
  <si>
    <t>L413501047</t>
  </si>
  <si>
    <t>R067143</t>
  </si>
  <si>
    <t>213510093A</t>
  </si>
  <si>
    <t>Ngày</t>
  </si>
  <si>
    <t>zoom to bv để gc ko xn hết các kt 
liên quan dẩn đến mài lệch tâm</t>
  </si>
  <si>
    <t>kt 3.40 thực đo 3.356</t>
  </si>
  <si>
    <t>Phước</t>
  </si>
  <si>
    <t>213510058a</t>
  </si>
  <si>
    <t>Ko chú ý gá ngược bên</t>
  </si>
  <si>
    <t>L416506028</t>
  </si>
  <si>
    <t>l630511041</t>
  </si>
  <si>
    <t>l623601008</t>
  </si>
  <si>
    <t>L611508036</t>
  </si>
  <si>
    <t>213510008A</t>
  </si>
  <si>
    <t>Phay dư C3</t>
  </si>
  <si>
    <t>kích thước Ø2.5+0-&gt;0.1 thực đo 2.48(l) 2.5©</t>
  </si>
  <si>
    <t>Gia công kích thước 2 thành 3</t>
  </si>
  <si>
    <t xml:space="preserve">Gia công kích thước 9.000 bị âm </t>
  </si>
  <si>
    <t>LA</t>
  </si>
  <si>
    <t>Thái</t>
  </si>
  <si>
    <t>Tiến</t>
  </si>
  <si>
    <t>Hùng</t>
  </si>
  <si>
    <t>Lam</t>
  </si>
  <si>
    <t>3.Đánh giá KNSD)</t>
  </si>
  <si>
    <t>1.Sửa chửa lại</t>
  </si>
  <si>
    <t xml:space="preserve">Sữa chữa lại </t>
  </si>
  <si>
    <t xml:space="preserve">Gia công lại </t>
  </si>
  <si>
    <t>Quân</t>
  </si>
  <si>
    <t>Xẻ rảnh bị lệch 1 pis</t>
  </si>
  <si>
    <t>213506173a</t>
  </si>
  <si>
    <t>Kha</t>
  </si>
  <si>
    <t>Âm KT 17,905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</si>
</sst>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m&quot;月&quot;d&quot;日&quot;;@"/>
    <numFmt numFmtId="165" formatCode="0;[Red]0"/>
    <numFmt numFmtId="166" formatCode="yyyy\-mm\-dd;@"/>
    <numFmt numFmtId="167" formatCode="_(* #,##0_);_(* \(#,##0\);_(* &quot;-&quot;??_);_(@_)"/>
    <numFmt numFmtId="168" formatCode="[$-1045F]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u/>
      <sz val="10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 tint="4.9989318521683403E-2"/>
      <name val="Times New Roman"/>
      <family val="1"/>
    </font>
    <font>
      <sz val="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3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1" xfId="0" applyBorder="1" applyAlignment="1">
      <alignment horizontal="center" vertical="center"/>
    </xf>
    <xf numFmtId="167" fontId="0" fillId="0" borderId="1" xfId="1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11" applyBorder="1" applyAlignment="1">
      <alignment horizontal="center" vertical="center"/>
    </xf>
    <xf numFmtId="166" fontId="9" fillId="0" borderId="1" xfId="11" applyNumberForma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3" borderId="1" xfId="1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vertical="center"/>
    </xf>
    <xf numFmtId="167" fontId="7" fillId="0" borderId="1" xfId="10" applyNumberFormat="1" applyFont="1" applyBorder="1" applyAlignment="1">
      <alignment vertical="center"/>
    </xf>
    <xf numFmtId="168" fontId="7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67" fontId="0" fillId="6" borderId="1" xfId="10" applyNumberFormat="1" applyFont="1" applyFill="1" applyBorder="1" applyAlignment="1">
      <alignment horizontal="center" vertical="center"/>
    </xf>
    <xf numFmtId="43" fontId="0" fillId="6" borderId="1" xfId="1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" fontId="7" fillId="3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167" fontId="0" fillId="3" borderId="1" xfId="1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2">
    <cellStyle name="Comma" xfId="10" builtinId="3"/>
    <cellStyle name="Comma [0] 2" xfId="4" xr:uid="{D3D1B2EE-203E-4BB2-83FD-E4975AFC4E64}"/>
    <cellStyle name="Comma [0] 3" xfId="7" xr:uid="{0A2B5599-E99F-4530-8ED0-8212BB587B20}"/>
    <cellStyle name="Comma 2" xfId="6" xr:uid="{3C807DD2-B15F-42FB-B331-B55CEDA18119}"/>
    <cellStyle name="Comma 3" xfId="1" xr:uid="{322F8684-FD0C-4942-80B3-CA57368EB393}"/>
    <cellStyle name="Hyperlink" xfId="11" builtinId="8"/>
    <cellStyle name="Normal" xfId="0" builtinId="0"/>
    <cellStyle name="Normal 2" xfId="3" xr:uid="{A502F8BA-2818-454E-A7AD-D3F933B2000D}"/>
    <cellStyle name="Normal 3" xfId="9" xr:uid="{41EF4207-1D85-41AF-93A8-751B6A816FC5}"/>
    <cellStyle name="Percent 2" xfId="5" xr:uid="{E87F9C66-E57A-4035-ABFC-7A640DC4E97F}"/>
    <cellStyle name="Percent 3" xfId="8" xr:uid="{A2FC57D1-0F9C-401E-9C99-17D72AE42A11}"/>
    <cellStyle name="標準_Du lieu tinh san xuat VNM-VDM" xfId="2" xr:uid="{63B7F9B4-21FD-424A-8FAF-B70AC545E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1C6902BA-2C04-44CB-B606-AD4BF3202CA3}"/>
            </a:ext>
          </a:extLst>
        </xdr:cNvPr>
        <xdr:cNvSpPr txBox="1"/>
      </xdr:nvSpPr>
      <xdr:spPr>
        <a:xfrm>
          <a:off x="8658225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EB765EBB-9DAE-464D-A10E-2FAD17509EEE}"/>
            </a:ext>
          </a:extLst>
        </xdr:cNvPr>
        <xdr:cNvSpPr txBox="1"/>
      </xdr:nvSpPr>
      <xdr:spPr>
        <a:xfrm>
          <a:off x="8658225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C879F6E8-46D4-45AE-963E-C2923A295E94}"/>
            </a:ext>
          </a:extLst>
        </xdr:cNvPr>
        <xdr:cNvSpPr txBox="1"/>
      </xdr:nvSpPr>
      <xdr:spPr>
        <a:xfrm>
          <a:off x="8658225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5" name="TextBox 103">
          <a:extLst>
            <a:ext uri="{FF2B5EF4-FFF2-40B4-BE49-F238E27FC236}">
              <a16:creationId xmlns:a16="http://schemas.microsoft.com/office/drawing/2014/main" id="{6BC2EF70-0146-4FB7-A873-D90A36AD34EE}"/>
            </a:ext>
          </a:extLst>
        </xdr:cNvPr>
        <xdr:cNvSpPr txBox="1"/>
      </xdr:nvSpPr>
      <xdr:spPr>
        <a:xfrm>
          <a:off x="8658225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13</xdr:row>
      <xdr:rowOff>252412</xdr:rowOff>
    </xdr:from>
    <xdr:ext cx="65" cy="172227"/>
    <xdr:sp macro="" textlink="">
      <xdr:nvSpPr>
        <xdr:cNvPr id="6" name="TextBox 104">
          <a:extLst>
            <a:ext uri="{FF2B5EF4-FFF2-40B4-BE49-F238E27FC236}">
              <a16:creationId xmlns:a16="http://schemas.microsoft.com/office/drawing/2014/main" id="{A6B28483-431E-45C3-A8CB-8BC0AE48DDC2}"/>
            </a:ext>
          </a:extLst>
        </xdr:cNvPr>
        <xdr:cNvSpPr txBox="1"/>
      </xdr:nvSpPr>
      <xdr:spPr>
        <a:xfrm>
          <a:off x="8658225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7" name="TextBox 105">
          <a:extLst>
            <a:ext uri="{FF2B5EF4-FFF2-40B4-BE49-F238E27FC236}">
              <a16:creationId xmlns:a16="http://schemas.microsoft.com/office/drawing/2014/main" id="{45D38ABA-8C94-42D6-A01C-379327F79140}"/>
            </a:ext>
          </a:extLst>
        </xdr:cNvPr>
        <xdr:cNvSpPr txBox="1"/>
      </xdr:nvSpPr>
      <xdr:spPr>
        <a:xfrm>
          <a:off x="8658225" y="2547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13</xdr:row>
      <xdr:rowOff>252412</xdr:rowOff>
    </xdr:from>
    <xdr:ext cx="65" cy="172227"/>
    <xdr:sp macro="" textlink="">
      <xdr:nvSpPr>
        <xdr:cNvPr id="8" name="TextBox 106">
          <a:extLst>
            <a:ext uri="{FF2B5EF4-FFF2-40B4-BE49-F238E27FC236}">
              <a16:creationId xmlns:a16="http://schemas.microsoft.com/office/drawing/2014/main" id="{C7A3C3ED-A53D-468F-B299-C7F457B4E299}"/>
            </a:ext>
          </a:extLst>
        </xdr:cNvPr>
        <xdr:cNvSpPr txBox="1"/>
      </xdr:nvSpPr>
      <xdr:spPr>
        <a:xfrm>
          <a:off x="8658225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13</xdr:row>
      <xdr:rowOff>252412</xdr:rowOff>
    </xdr:from>
    <xdr:ext cx="65" cy="172227"/>
    <xdr:sp macro="" textlink="">
      <xdr:nvSpPr>
        <xdr:cNvPr id="9" name="TextBox 107">
          <a:extLst>
            <a:ext uri="{FF2B5EF4-FFF2-40B4-BE49-F238E27FC236}">
              <a16:creationId xmlns:a16="http://schemas.microsoft.com/office/drawing/2014/main" id="{DF912AE5-B8E5-4248-A84C-C788697ADA47}"/>
            </a:ext>
          </a:extLst>
        </xdr:cNvPr>
        <xdr:cNvSpPr txBox="1"/>
      </xdr:nvSpPr>
      <xdr:spPr>
        <a:xfrm>
          <a:off x="8658225" y="29289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75973AE5-0C9B-4749-9F38-006832594218}"/>
            </a:ext>
          </a:extLst>
        </xdr:cNvPr>
        <xdr:cNvSpPr txBox="1"/>
      </xdr:nvSpPr>
      <xdr:spPr>
        <a:xfrm>
          <a:off x="5981700" y="4376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14DB4AA1-E2BE-4D06-A273-61E156132AC6}"/>
            </a:ext>
          </a:extLst>
        </xdr:cNvPr>
        <xdr:cNvSpPr txBox="1"/>
      </xdr:nvSpPr>
      <xdr:spPr>
        <a:xfrm>
          <a:off x="5981700" y="4376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3F296BDD-0382-4D00-A61B-783038ADC15C}"/>
            </a:ext>
          </a:extLst>
        </xdr:cNvPr>
        <xdr:cNvSpPr txBox="1"/>
      </xdr:nvSpPr>
      <xdr:spPr>
        <a:xfrm>
          <a:off x="5981700" y="4376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5" name="TextBox 103">
          <a:extLst>
            <a:ext uri="{FF2B5EF4-FFF2-40B4-BE49-F238E27FC236}">
              <a16:creationId xmlns:a16="http://schemas.microsoft.com/office/drawing/2014/main" id="{62AAE2B6-C488-4D39-9E86-000F0FAD9023}"/>
            </a:ext>
          </a:extLst>
        </xdr:cNvPr>
        <xdr:cNvSpPr txBox="1"/>
      </xdr:nvSpPr>
      <xdr:spPr>
        <a:xfrm>
          <a:off x="5981700" y="4376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13</xdr:row>
      <xdr:rowOff>252412</xdr:rowOff>
    </xdr:from>
    <xdr:ext cx="65" cy="172227"/>
    <xdr:sp macro="" textlink="">
      <xdr:nvSpPr>
        <xdr:cNvPr id="6" name="TextBox 104">
          <a:extLst>
            <a:ext uri="{FF2B5EF4-FFF2-40B4-BE49-F238E27FC236}">
              <a16:creationId xmlns:a16="http://schemas.microsoft.com/office/drawing/2014/main" id="{B4DAE4A6-C2F6-4EA2-ADDE-385A3B43E7CB}"/>
            </a:ext>
          </a:extLst>
        </xdr:cNvPr>
        <xdr:cNvSpPr txBox="1"/>
      </xdr:nvSpPr>
      <xdr:spPr>
        <a:xfrm>
          <a:off x="5981700" y="4719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12</xdr:row>
      <xdr:rowOff>252412</xdr:rowOff>
    </xdr:from>
    <xdr:ext cx="65" cy="172227"/>
    <xdr:sp macro="" textlink="">
      <xdr:nvSpPr>
        <xdr:cNvPr id="7" name="TextBox 105">
          <a:extLst>
            <a:ext uri="{FF2B5EF4-FFF2-40B4-BE49-F238E27FC236}">
              <a16:creationId xmlns:a16="http://schemas.microsoft.com/office/drawing/2014/main" id="{16862FC3-F390-4C42-90FB-1E02F8D60C8F}"/>
            </a:ext>
          </a:extLst>
        </xdr:cNvPr>
        <xdr:cNvSpPr txBox="1"/>
      </xdr:nvSpPr>
      <xdr:spPr>
        <a:xfrm>
          <a:off x="5981700" y="4376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13</xdr:row>
      <xdr:rowOff>252412</xdr:rowOff>
    </xdr:from>
    <xdr:ext cx="65" cy="172227"/>
    <xdr:sp macro="" textlink="">
      <xdr:nvSpPr>
        <xdr:cNvPr id="8" name="TextBox 106">
          <a:extLst>
            <a:ext uri="{FF2B5EF4-FFF2-40B4-BE49-F238E27FC236}">
              <a16:creationId xmlns:a16="http://schemas.microsoft.com/office/drawing/2014/main" id="{9F9C357E-8597-46D3-9004-76CAA8358714}"/>
            </a:ext>
          </a:extLst>
        </xdr:cNvPr>
        <xdr:cNvSpPr txBox="1"/>
      </xdr:nvSpPr>
      <xdr:spPr>
        <a:xfrm>
          <a:off x="5981700" y="4719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809625</xdr:colOff>
      <xdr:row>13</xdr:row>
      <xdr:rowOff>252412</xdr:rowOff>
    </xdr:from>
    <xdr:ext cx="65" cy="172227"/>
    <xdr:sp macro="" textlink="">
      <xdr:nvSpPr>
        <xdr:cNvPr id="9" name="TextBox 107">
          <a:extLst>
            <a:ext uri="{FF2B5EF4-FFF2-40B4-BE49-F238E27FC236}">
              <a16:creationId xmlns:a16="http://schemas.microsoft.com/office/drawing/2014/main" id="{BF3002FF-27F1-4240-8C33-264B37C4F808}"/>
            </a:ext>
          </a:extLst>
        </xdr:cNvPr>
        <xdr:cNvSpPr txBox="1"/>
      </xdr:nvSpPr>
      <xdr:spPr>
        <a:xfrm>
          <a:off x="5981700" y="4719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FILE%20SCAN\BHCC&#272;%202025\CD41250300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12" sqref="L12"/>
    </sheetView>
  </sheetViews>
  <sheetFormatPr defaultColWidth="9.140625" defaultRowHeight="15" x14ac:dyDescent="0.25"/>
  <cols>
    <col min="1" max="1" width="8" style="3" bestFit="1" customWidth="1"/>
    <col min="2" max="2" width="11.42578125" style="13" customWidth="1"/>
    <col min="3" max="3" width="14.42578125" style="3" customWidth="1"/>
    <col min="4" max="4" width="16.42578125" style="3" customWidth="1"/>
    <col min="5" max="5" width="6.42578125" style="3" customWidth="1"/>
    <col min="6" max="6" width="7.42578125" style="3" customWidth="1"/>
    <col min="7" max="7" width="9.28515625" style="3" customWidth="1"/>
    <col min="8" max="8" width="7.28515625" style="3" customWidth="1"/>
    <col min="9" max="9" width="9" style="3" bestFit="1" customWidth="1"/>
    <col min="10" max="10" width="6.5703125" style="3" customWidth="1"/>
    <col min="11" max="11" width="5.7109375" style="3" customWidth="1"/>
    <col min="12" max="12" width="32.28515625" style="3" customWidth="1"/>
    <col min="13" max="13" width="13.5703125" style="3" bestFit="1" customWidth="1"/>
    <col min="14" max="14" width="11.140625" style="3" customWidth="1"/>
    <col min="15" max="15" width="13.5703125" style="3" customWidth="1"/>
    <col min="16" max="16" width="12" style="3" customWidth="1"/>
    <col min="17" max="17" width="13.7109375" style="13" customWidth="1"/>
    <col min="18" max="18" width="15" style="3" customWidth="1"/>
    <col min="19" max="19" width="12.28515625" style="3" customWidth="1"/>
    <col min="20" max="21" width="13.28515625" style="3" bestFit="1" customWidth="1"/>
    <col min="22" max="22" width="11.42578125" style="3" customWidth="1"/>
    <col min="23" max="23" width="12.28515625" style="3" customWidth="1"/>
    <col min="24" max="24" width="17" style="3" customWidth="1"/>
    <col min="25" max="16384" width="9.140625" style="3"/>
  </cols>
  <sheetData>
    <row r="1" spans="1:24" x14ac:dyDescent="0.25">
      <c r="A1" s="93" t="s">
        <v>26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 t="s">
        <v>27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1" t="s">
        <v>28</v>
      </c>
    </row>
    <row r="2" spans="1:24" s="19" customFormat="1" ht="38.25" x14ac:dyDescent="0.25">
      <c r="A2" s="14" t="s">
        <v>11</v>
      </c>
      <c r="B2" s="43" t="s">
        <v>29</v>
      </c>
      <c r="C2" s="14" t="s">
        <v>30</v>
      </c>
      <c r="D2" s="14" t="s">
        <v>0</v>
      </c>
      <c r="E2" s="15" t="s">
        <v>10</v>
      </c>
      <c r="F2" s="15" t="s">
        <v>1</v>
      </c>
      <c r="G2" s="15" t="s">
        <v>12</v>
      </c>
      <c r="H2" s="15" t="s">
        <v>33</v>
      </c>
      <c r="I2" s="15" t="s">
        <v>32</v>
      </c>
      <c r="J2" s="15" t="s">
        <v>14</v>
      </c>
      <c r="K2" s="15" t="s">
        <v>31</v>
      </c>
      <c r="L2" s="15" t="s">
        <v>2</v>
      </c>
      <c r="M2" s="16" t="s">
        <v>3</v>
      </c>
      <c r="N2" s="16" t="s">
        <v>25</v>
      </c>
      <c r="O2" s="16" t="s">
        <v>4</v>
      </c>
      <c r="P2" s="16" t="s">
        <v>24</v>
      </c>
      <c r="Q2" s="31" t="s">
        <v>23</v>
      </c>
      <c r="R2" s="16" t="s">
        <v>5</v>
      </c>
      <c r="S2" s="16" t="s">
        <v>6</v>
      </c>
      <c r="T2" s="16" t="s">
        <v>7</v>
      </c>
      <c r="U2" s="16" t="s">
        <v>22</v>
      </c>
      <c r="V2" s="17" t="s">
        <v>8</v>
      </c>
      <c r="W2" s="17" t="s">
        <v>9</v>
      </c>
      <c r="X2" s="18" t="s">
        <v>21</v>
      </c>
    </row>
    <row r="3" spans="1:24" ht="27" customHeight="1" x14ac:dyDescent="0.25">
      <c r="A3" s="1">
        <v>1</v>
      </c>
      <c r="B3" s="12">
        <v>46031</v>
      </c>
      <c r="C3" s="4"/>
      <c r="D3" s="85" t="s">
        <v>129</v>
      </c>
      <c r="E3" s="85">
        <v>18</v>
      </c>
      <c r="F3" s="85">
        <v>1</v>
      </c>
      <c r="G3" s="85">
        <v>1</v>
      </c>
      <c r="H3" s="85" t="s">
        <v>52</v>
      </c>
      <c r="I3" s="4" t="s">
        <v>128</v>
      </c>
      <c r="J3" s="4">
        <v>11590</v>
      </c>
      <c r="K3" s="85" t="s">
        <v>125</v>
      </c>
      <c r="L3" s="69" t="s">
        <v>130</v>
      </c>
      <c r="M3" s="1"/>
      <c r="N3" s="25"/>
      <c r="O3" s="1"/>
      <c r="P3" s="12"/>
      <c r="Q3" s="32"/>
      <c r="R3" s="1"/>
      <c r="S3" s="2"/>
      <c r="T3" s="2"/>
      <c r="U3" s="2"/>
      <c r="V3" s="75"/>
      <c r="W3" s="1"/>
      <c r="X3" s="1"/>
    </row>
    <row r="4" spans="1:24" ht="28.5" customHeight="1" x14ac:dyDescent="0.25">
      <c r="A4" s="1">
        <v>2</v>
      </c>
      <c r="B4" s="12">
        <v>46037</v>
      </c>
      <c r="C4" s="4"/>
      <c r="D4" s="85" t="s">
        <v>131</v>
      </c>
      <c r="E4" s="1">
        <v>2</v>
      </c>
      <c r="F4" s="1">
        <v>1</v>
      </c>
      <c r="G4" s="1">
        <v>1</v>
      </c>
      <c r="H4" s="1" t="s">
        <v>52</v>
      </c>
      <c r="I4" s="4" t="s">
        <v>128</v>
      </c>
      <c r="J4" s="4">
        <v>11590</v>
      </c>
      <c r="K4" s="1" t="s">
        <v>125</v>
      </c>
      <c r="L4" s="69" t="s">
        <v>127</v>
      </c>
      <c r="M4" s="1"/>
      <c r="N4" s="25"/>
      <c r="O4" s="1"/>
      <c r="P4" s="12"/>
      <c r="Q4" s="32"/>
      <c r="R4" s="38"/>
      <c r="S4" s="2"/>
      <c r="T4" s="2"/>
      <c r="U4" s="2"/>
      <c r="V4" s="75"/>
      <c r="W4" s="1"/>
      <c r="X4" s="73"/>
    </row>
    <row r="5" spans="1:24" ht="27" customHeight="1" x14ac:dyDescent="0.25">
      <c r="A5" s="20">
        <v>3</v>
      </c>
      <c r="B5" s="12">
        <v>46045</v>
      </c>
      <c r="C5" s="65" t="s">
        <v>123</v>
      </c>
      <c r="D5" s="85" t="s">
        <v>124</v>
      </c>
      <c r="E5" s="85"/>
      <c r="F5" s="85">
        <v>1</v>
      </c>
      <c r="G5" s="85">
        <v>1</v>
      </c>
      <c r="H5" s="85" t="s">
        <v>52</v>
      </c>
      <c r="I5" s="85" t="s">
        <v>90</v>
      </c>
      <c r="J5" s="85">
        <v>11656</v>
      </c>
      <c r="K5" s="85" t="s">
        <v>125</v>
      </c>
      <c r="L5" s="22" t="s">
        <v>126</v>
      </c>
      <c r="M5" s="42"/>
      <c r="N5" s="25"/>
      <c r="O5" s="74"/>
      <c r="P5" s="74"/>
      <c r="Q5" s="74"/>
      <c r="R5" s="74"/>
      <c r="S5" s="74"/>
      <c r="T5" s="74"/>
      <c r="U5" s="74"/>
      <c r="V5" s="75"/>
      <c r="W5" s="1"/>
      <c r="X5" s="73"/>
    </row>
    <row r="6" spans="1:24" ht="27" customHeight="1" x14ac:dyDescent="0.25">
      <c r="A6" s="39">
        <v>4</v>
      </c>
      <c r="B6" s="12">
        <v>46037</v>
      </c>
      <c r="C6" s="20"/>
      <c r="D6" s="86" t="s">
        <v>132</v>
      </c>
      <c r="E6" s="86">
        <v>1</v>
      </c>
      <c r="F6" s="86">
        <v>20</v>
      </c>
      <c r="G6" s="86">
        <v>2</v>
      </c>
      <c r="H6" s="86" t="s">
        <v>74</v>
      </c>
      <c r="I6" s="20" t="s">
        <v>141</v>
      </c>
      <c r="J6" s="90">
        <v>10546</v>
      </c>
      <c r="K6" s="20"/>
      <c r="L6" s="88" t="s">
        <v>136</v>
      </c>
      <c r="M6" s="92" t="s">
        <v>145</v>
      </c>
      <c r="N6" s="25"/>
      <c r="O6" s="74"/>
      <c r="P6" s="74"/>
      <c r="Q6" s="74"/>
      <c r="R6" s="74"/>
      <c r="S6" s="74"/>
      <c r="T6" s="74"/>
      <c r="U6" s="74"/>
      <c r="V6" s="75"/>
      <c r="W6" s="20"/>
      <c r="X6" s="73"/>
    </row>
    <row r="7" spans="1:24" ht="27" customHeight="1" x14ac:dyDescent="0.25">
      <c r="A7" s="39">
        <v>5</v>
      </c>
      <c r="B7" s="12">
        <v>46042</v>
      </c>
      <c r="C7" s="4"/>
      <c r="D7" s="86" t="s">
        <v>133</v>
      </c>
      <c r="E7" s="86">
        <v>7</v>
      </c>
      <c r="F7" s="86">
        <v>1</v>
      </c>
      <c r="G7" s="86">
        <v>1</v>
      </c>
      <c r="H7" s="86" t="s">
        <v>140</v>
      </c>
      <c r="I7" s="1" t="s">
        <v>142</v>
      </c>
      <c r="J7" s="90">
        <v>12640</v>
      </c>
      <c r="K7" s="1"/>
      <c r="L7" s="88" t="s">
        <v>137</v>
      </c>
      <c r="M7" s="86" t="s">
        <v>146</v>
      </c>
      <c r="N7" s="26"/>
      <c r="O7" s="74"/>
      <c r="P7" s="74"/>
      <c r="Q7" s="74"/>
      <c r="R7" s="74"/>
      <c r="S7" s="74"/>
      <c r="T7" s="74"/>
      <c r="U7" s="74"/>
      <c r="V7" s="75"/>
      <c r="W7" s="1"/>
      <c r="X7" s="73"/>
    </row>
    <row r="8" spans="1:24" ht="27" customHeight="1" x14ac:dyDescent="0.25">
      <c r="A8" s="39">
        <v>6</v>
      </c>
      <c r="B8" s="12">
        <v>46045</v>
      </c>
      <c r="C8" s="1"/>
      <c r="D8" s="87" t="s">
        <v>134</v>
      </c>
      <c r="E8" s="87">
        <v>1</v>
      </c>
      <c r="F8" s="87">
        <v>1</v>
      </c>
      <c r="G8" s="87">
        <v>1</v>
      </c>
      <c r="H8" s="87" t="s">
        <v>60</v>
      </c>
      <c r="I8" s="1" t="s">
        <v>143</v>
      </c>
      <c r="J8" s="91">
        <v>12990</v>
      </c>
      <c r="K8" s="1"/>
      <c r="L8" s="89" t="s">
        <v>138</v>
      </c>
      <c r="M8" s="86" t="s">
        <v>147</v>
      </c>
      <c r="N8" s="25"/>
      <c r="O8" s="42"/>
      <c r="P8" s="12"/>
      <c r="Q8" s="12"/>
      <c r="R8" s="1"/>
      <c r="S8" s="1"/>
      <c r="T8" s="2"/>
      <c r="U8" s="2"/>
      <c r="V8" s="75"/>
      <c r="W8" s="1"/>
      <c r="X8" s="73"/>
    </row>
    <row r="9" spans="1:24" ht="27" customHeight="1" x14ac:dyDescent="0.25">
      <c r="A9" s="39">
        <v>7</v>
      </c>
      <c r="B9" s="12">
        <v>46048</v>
      </c>
      <c r="C9" s="1"/>
      <c r="D9" s="86" t="s">
        <v>135</v>
      </c>
      <c r="E9" s="86">
        <v>1</v>
      </c>
      <c r="F9" s="86">
        <v>3</v>
      </c>
      <c r="G9" s="86">
        <v>1</v>
      </c>
      <c r="H9" s="86" t="s">
        <v>44</v>
      </c>
      <c r="I9" s="40" t="s">
        <v>144</v>
      </c>
      <c r="J9" s="90">
        <v>11538</v>
      </c>
      <c r="K9" s="40"/>
      <c r="L9" s="88" t="s">
        <v>139</v>
      </c>
      <c r="M9" s="86" t="s">
        <v>148</v>
      </c>
      <c r="N9" s="25"/>
      <c r="O9" s="74"/>
      <c r="P9" s="74"/>
      <c r="Q9" s="74"/>
      <c r="R9" s="74"/>
      <c r="S9" s="74"/>
      <c r="T9" s="74"/>
      <c r="U9" s="74"/>
      <c r="V9" s="75"/>
      <c r="W9" s="1"/>
      <c r="X9" s="73"/>
    </row>
    <row r="10" spans="1:24" ht="27" customHeight="1" x14ac:dyDescent="0.25">
      <c r="A10" s="39">
        <v>8</v>
      </c>
      <c r="B10" s="12">
        <v>46063</v>
      </c>
      <c r="C10" s="1"/>
      <c r="D10" s="1">
        <v>4136010035</v>
      </c>
      <c r="E10" s="1"/>
      <c r="F10" s="1">
        <v>2</v>
      </c>
      <c r="G10" s="1">
        <v>1</v>
      </c>
      <c r="H10" s="41" t="s">
        <v>44</v>
      </c>
      <c r="I10" s="41" t="s">
        <v>149</v>
      </c>
      <c r="J10" s="11">
        <v>12149</v>
      </c>
      <c r="K10" s="41"/>
      <c r="L10" s="22" t="s">
        <v>150</v>
      </c>
      <c r="M10" s="41"/>
      <c r="N10" s="25"/>
      <c r="O10" s="44"/>
      <c r="P10" s="12"/>
      <c r="Q10" s="12"/>
      <c r="R10" s="1"/>
      <c r="S10" s="2"/>
      <c r="T10" s="2"/>
      <c r="U10" s="2"/>
      <c r="V10" s="75"/>
      <c r="W10" s="37"/>
      <c r="X10" s="73"/>
    </row>
    <row r="11" spans="1:24" ht="27" customHeight="1" x14ac:dyDescent="0.25">
      <c r="A11" s="39">
        <v>9</v>
      </c>
      <c r="B11" s="12">
        <v>46111</v>
      </c>
      <c r="C11" s="65"/>
      <c r="D11" s="1" t="s">
        <v>151</v>
      </c>
      <c r="E11" s="1">
        <v>1</v>
      </c>
      <c r="F11" s="1">
        <v>2</v>
      </c>
      <c r="G11" s="1">
        <v>2</v>
      </c>
      <c r="H11" s="65" t="s">
        <v>36</v>
      </c>
      <c r="I11" s="65" t="s">
        <v>152</v>
      </c>
      <c r="J11" s="65">
        <v>12291</v>
      </c>
      <c r="K11" s="65"/>
      <c r="L11" s="22" t="s">
        <v>153</v>
      </c>
      <c r="M11" s="42" t="s">
        <v>95</v>
      </c>
      <c r="N11" s="30"/>
      <c r="O11" s="44"/>
      <c r="P11" s="12"/>
      <c r="Q11" s="12"/>
      <c r="R11" s="1"/>
      <c r="S11" s="58"/>
      <c r="T11" s="2"/>
      <c r="U11" s="2"/>
      <c r="V11" s="75"/>
      <c r="W11" s="37"/>
      <c r="X11" s="73"/>
    </row>
    <row r="12" spans="1:24" ht="27" customHeight="1" x14ac:dyDescent="0.25">
      <c r="A12" s="39">
        <v>10</v>
      </c>
      <c r="B12" s="12"/>
      <c r="C12" s="1"/>
      <c r="D12" s="1"/>
      <c r="E12" s="1"/>
      <c r="F12" s="1"/>
      <c r="G12" s="1"/>
      <c r="H12" s="1"/>
      <c r="I12" s="1"/>
      <c r="J12" s="1"/>
      <c r="K12" s="1"/>
      <c r="L12" s="22"/>
      <c r="M12" s="42"/>
      <c r="N12" s="1"/>
      <c r="O12" s="42"/>
      <c r="P12" s="12"/>
      <c r="Q12" s="12"/>
      <c r="R12" s="65"/>
      <c r="S12" s="2"/>
      <c r="T12" s="2"/>
      <c r="U12" s="2"/>
      <c r="V12" s="75"/>
      <c r="W12" s="37"/>
      <c r="X12" s="73"/>
    </row>
    <row r="13" spans="1:24" ht="27" customHeight="1" x14ac:dyDescent="0.25">
      <c r="A13" s="39">
        <v>11</v>
      </c>
      <c r="B13" s="12"/>
      <c r="C13" s="1"/>
      <c r="D13" s="1"/>
      <c r="E13" s="1"/>
      <c r="F13" s="1"/>
      <c r="G13" s="1"/>
      <c r="H13" s="1"/>
      <c r="I13" s="1"/>
      <c r="J13" s="1"/>
      <c r="K13" s="1"/>
      <c r="L13" s="69"/>
      <c r="M13" s="67"/>
      <c r="N13" s="30"/>
      <c r="O13" s="21"/>
      <c r="P13" s="72"/>
      <c r="Q13" s="32"/>
      <c r="R13" s="65"/>
      <c r="S13" s="76"/>
      <c r="T13" s="76"/>
      <c r="U13" s="76"/>
      <c r="V13" s="75"/>
      <c r="W13" s="37"/>
      <c r="X13" s="73"/>
    </row>
    <row r="14" spans="1:24" ht="27" customHeight="1" x14ac:dyDescent="0.25">
      <c r="A14" s="39">
        <v>12</v>
      </c>
      <c r="B14" s="12"/>
      <c r="C14" s="70"/>
      <c r="D14" s="46"/>
      <c r="E14" s="48"/>
      <c r="F14" s="47"/>
      <c r="G14" s="47"/>
      <c r="H14" s="49"/>
      <c r="I14" s="50"/>
      <c r="J14" s="51"/>
      <c r="K14" s="47"/>
      <c r="L14" s="50"/>
      <c r="M14" s="45"/>
      <c r="N14" s="49"/>
      <c r="O14" s="44"/>
      <c r="P14" s="12"/>
      <c r="Q14" s="12"/>
      <c r="R14" s="47"/>
      <c r="S14" s="75"/>
      <c r="T14" s="52"/>
      <c r="U14" s="52"/>
      <c r="V14" s="75"/>
      <c r="W14" s="55"/>
      <c r="X14" s="73"/>
    </row>
    <row r="15" spans="1:24" ht="27" customHeight="1" x14ac:dyDescent="0.25">
      <c r="A15" s="39">
        <v>13</v>
      </c>
      <c r="B15" s="12"/>
      <c r="C15" s="47"/>
      <c r="D15" s="46"/>
      <c r="E15" s="1"/>
      <c r="F15" s="1"/>
      <c r="G15" s="1"/>
      <c r="H15" s="24"/>
      <c r="I15" s="28"/>
      <c r="J15" s="28"/>
      <c r="K15" s="47"/>
      <c r="L15" s="22"/>
      <c r="M15" s="30"/>
      <c r="N15" s="25"/>
      <c r="O15" s="65"/>
      <c r="P15" s="12"/>
      <c r="Q15" s="12"/>
      <c r="R15" s="1"/>
      <c r="S15" s="2"/>
      <c r="T15" s="2"/>
      <c r="U15" s="2"/>
      <c r="V15" s="12"/>
      <c r="W15" s="25"/>
      <c r="X15" s="1"/>
    </row>
    <row r="16" spans="1:24" ht="27" customHeight="1" x14ac:dyDescent="0.25">
      <c r="A16" s="39">
        <v>14</v>
      </c>
      <c r="B16" s="12"/>
      <c r="C16" s="29"/>
      <c r="D16" s="29"/>
      <c r="E16" s="29"/>
      <c r="F16" s="29"/>
      <c r="G16" s="29"/>
      <c r="H16" s="29"/>
      <c r="I16" s="29"/>
      <c r="J16" s="29"/>
      <c r="K16" s="47"/>
      <c r="L16" s="69"/>
      <c r="M16" s="71"/>
      <c r="N16" s="25"/>
      <c r="O16" s="74"/>
      <c r="P16" s="74"/>
      <c r="Q16" s="74"/>
      <c r="R16" s="74"/>
      <c r="S16" s="74"/>
      <c r="T16" s="74"/>
      <c r="U16" s="74"/>
      <c r="V16" s="12"/>
      <c r="W16" s="37"/>
      <c r="X16" s="73"/>
    </row>
    <row r="17" spans="1:24" ht="27" customHeight="1" x14ac:dyDescent="0.25">
      <c r="A17" s="39">
        <v>15</v>
      </c>
      <c r="B17" s="12"/>
      <c r="C17" s="65"/>
      <c r="D17" s="1"/>
      <c r="E17" s="1"/>
      <c r="F17" s="1"/>
      <c r="G17" s="1"/>
      <c r="H17" s="1"/>
      <c r="I17" s="1"/>
      <c r="J17" s="1"/>
      <c r="K17" s="1"/>
      <c r="L17" s="69"/>
      <c r="M17" s="29"/>
      <c r="N17" s="1"/>
      <c r="O17" s="65"/>
      <c r="P17" s="72"/>
      <c r="Q17" s="72"/>
      <c r="R17" s="67"/>
      <c r="S17" s="2"/>
      <c r="T17" s="2"/>
      <c r="U17" s="2"/>
      <c r="V17" s="12"/>
      <c r="W17" s="37"/>
      <c r="X17" s="73"/>
    </row>
    <row r="18" spans="1:24" ht="23.25" customHeight="1" x14ac:dyDescent="0.25">
      <c r="A18" s="39">
        <v>16</v>
      </c>
      <c r="B18" s="12"/>
      <c r="C18" s="65"/>
      <c r="D18" s="1"/>
      <c r="E18" s="1"/>
      <c r="F18" s="1"/>
      <c r="G18" s="1"/>
      <c r="H18" s="1"/>
      <c r="I18" s="57"/>
      <c r="J18" s="57"/>
      <c r="K18" s="57"/>
      <c r="L18" s="69"/>
      <c r="M18" s="73"/>
      <c r="N18" s="1"/>
      <c r="O18" s="74"/>
      <c r="P18" s="74"/>
      <c r="Q18" s="74"/>
      <c r="R18" s="74"/>
      <c r="S18" s="74"/>
      <c r="T18" s="74"/>
      <c r="U18" s="74"/>
      <c r="V18" s="1"/>
      <c r="W18" s="1"/>
      <c r="X18" s="73"/>
    </row>
    <row r="19" spans="1:24" ht="23.25" customHeight="1" x14ac:dyDescent="0.25">
      <c r="A19" s="39">
        <v>17</v>
      </c>
      <c r="B19" s="12"/>
      <c r="C19" s="65"/>
      <c r="D19" s="1"/>
      <c r="E19" s="1"/>
      <c r="F19" s="1"/>
      <c r="G19" s="1"/>
      <c r="H19" s="1"/>
      <c r="I19" s="1"/>
      <c r="J19" s="1"/>
      <c r="K19" s="1"/>
      <c r="L19" s="69"/>
      <c r="M19" s="71"/>
      <c r="N19" s="1"/>
      <c r="O19" s="74"/>
      <c r="P19" s="74"/>
      <c r="Q19" s="74"/>
      <c r="R19" s="74"/>
      <c r="S19" s="74"/>
      <c r="T19" s="74"/>
      <c r="U19" s="74"/>
      <c r="V19" s="1"/>
      <c r="W19" s="1"/>
      <c r="X19" s="73"/>
    </row>
    <row r="20" spans="1:24" ht="23.25" customHeight="1" x14ac:dyDescent="0.25">
      <c r="A20" s="39">
        <v>18</v>
      </c>
      <c r="B20" s="12"/>
      <c r="C20" s="65"/>
      <c r="D20" s="1"/>
      <c r="E20" s="1"/>
      <c r="F20" s="1"/>
      <c r="G20" s="1"/>
      <c r="H20" s="1"/>
      <c r="I20" s="1"/>
      <c r="J20" s="1"/>
      <c r="K20" s="1"/>
      <c r="L20" s="69"/>
      <c r="M20" s="66"/>
      <c r="N20" s="25"/>
      <c r="O20" s="65"/>
      <c r="P20" s="72"/>
      <c r="Q20" s="25"/>
      <c r="R20" s="46"/>
      <c r="S20" s="2"/>
      <c r="T20" s="2"/>
      <c r="U20" s="2"/>
      <c r="V20" s="12"/>
      <c r="W20" s="1"/>
      <c r="X20" s="73"/>
    </row>
    <row r="21" spans="1:24" ht="27.75" customHeight="1" x14ac:dyDescent="0.25">
      <c r="A21" s="39">
        <v>19</v>
      </c>
      <c r="B21" s="12"/>
      <c r="C21" s="36"/>
      <c r="D21" s="36"/>
      <c r="E21" s="36"/>
      <c r="F21" s="36"/>
      <c r="G21" s="36"/>
      <c r="H21" s="36"/>
      <c r="I21" s="36"/>
      <c r="J21" s="36"/>
      <c r="K21" s="36"/>
      <c r="L21" s="4"/>
      <c r="M21" s="36"/>
      <c r="N21" s="25"/>
      <c r="O21" s="44"/>
      <c r="P21" s="72"/>
      <c r="Q21" s="12"/>
      <c r="R21" s="36"/>
      <c r="S21" s="2"/>
      <c r="T21" s="2"/>
      <c r="U21" s="2"/>
      <c r="V21" s="12"/>
      <c r="W21" s="36"/>
      <c r="X21" s="73"/>
    </row>
    <row r="22" spans="1:24" ht="23.25" customHeight="1" x14ac:dyDescent="0.25">
      <c r="A22" s="39">
        <v>20</v>
      </c>
      <c r="B22" s="12"/>
      <c r="C22" s="36"/>
      <c r="D22" s="36"/>
      <c r="E22" s="36"/>
      <c r="F22" s="36"/>
      <c r="H22" s="36"/>
      <c r="I22" s="36"/>
      <c r="J22" s="36"/>
      <c r="K22" s="36"/>
      <c r="L22" s="36"/>
      <c r="M22" s="73"/>
      <c r="N22" s="25"/>
      <c r="O22" s="74"/>
      <c r="P22" s="74"/>
      <c r="Q22" s="74"/>
      <c r="R22" s="74"/>
      <c r="S22" s="74"/>
      <c r="T22" s="74"/>
      <c r="U22" s="74"/>
      <c r="V22" s="12"/>
      <c r="W22" s="36"/>
      <c r="X22" s="73"/>
    </row>
    <row r="23" spans="1:24" ht="27.75" customHeight="1" x14ac:dyDescent="0.25">
      <c r="A23" s="39">
        <v>21</v>
      </c>
      <c r="B23" s="12"/>
      <c r="C23" s="33"/>
      <c r="D23" s="33"/>
      <c r="E23" s="33"/>
      <c r="F23" s="33"/>
      <c r="G23" s="33"/>
      <c r="H23" s="33"/>
      <c r="I23" s="33"/>
      <c r="J23" s="33"/>
      <c r="K23" s="33"/>
      <c r="L23" s="4"/>
      <c r="M23" s="77"/>
      <c r="N23" s="34"/>
      <c r="O23" s="78"/>
      <c r="P23" s="78"/>
      <c r="Q23" s="78"/>
      <c r="R23" s="78"/>
      <c r="S23" s="78"/>
      <c r="T23" s="78"/>
      <c r="U23" s="78"/>
      <c r="V23" s="1"/>
      <c r="W23" s="1"/>
      <c r="X23" s="1"/>
    </row>
    <row r="24" spans="1:24" ht="23.25" customHeight="1" x14ac:dyDescent="0.25">
      <c r="A24" s="39">
        <v>22</v>
      </c>
      <c r="B24" s="1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2"/>
      <c r="Q24" s="12"/>
      <c r="R24" s="1"/>
      <c r="S24" s="1"/>
      <c r="T24" s="2"/>
      <c r="U24" s="2"/>
      <c r="V24" s="1"/>
      <c r="W24" s="1"/>
      <c r="X24" s="1"/>
    </row>
    <row r="25" spans="1:24" ht="23.25" customHeight="1" x14ac:dyDescent="0.25">
      <c r="A25" s="39">
        <v>23</v>
      </c>
      <c r="B25" s="12"/>
      <c r="C25" s="1"/>
      <c r="D25" s="1"/>
      <c r="E25" s="1"/>
      <c r="F25" s="1"/>
      <c r="G25" s="1"/>
      <c r="H25" s="1"/>
      <c r="I25" s="79"/>
      <c r="J25" s="1"/>
      <c r="K25" s="1"/>
      <c r="L25" s="1"/>
      <c r="M25" s="80"/>
      <c r="N25" s="35"/>
      <c r="O25" s="1"/>
      <c r="P25" s="1"/>
      <c r="Q25" s="12"/>
      <c r="R25" s="1"/>
      <c r="S25" s="1"/>
      <c r="T25" s="1"/>
      <c r="U25" s="1"/>
      <c r="V25" s="1"/>
      <c r="W25" s="1"/>
      <c r="X25" s="1"/>
    </row>
    <row r="26" spans="1:24" ht="23.25" customHeight="1" x14ac:dyDescent="0.25">
      <c r="A26" s="39">
        <v>24</v>
      </c>
      <c r="B26" s="12"/>
      <c r="C26" s="1"/>
      <c r="D26" s="1"/>
      <c r="E26" s="1"/>
      <c r="F26" s="1"/>
      <c r="G26" s="1"/>
      <c r="H26" s="80"/>
      <c r="I26" s="80"/>
      <c r="J26" s="80"/>
      <c r="K26" s="80"/>
      <c r="L26" s="1"/>
      <c r="M26" s="80"/>
      <c r="N26" s="35"/>
      <c r="O26" s="1"/>
      <c r="P26" s="1"/>
      <c r="Q26" s="12"/>
      <c r="R26" s="1"/>
      <c r="S26" s="1"/>
      <c r="T26" s="1"/>
      <c r="U26" s="1"/>
      <c r="V26" s="1"/>
      <c r="W26" s="1"/>
      <c r="X26" s="1"/>
    </row>
    <row r="27" spans="1:24" ht="23.25" customHeight="1" x14ac:dyDescent="0.25">
      <c r="A27" s="39">
        <v>25</v>
      </c>
      <c r="B27" s="12"/>
      <c r="C27" s="1"/>
      <c r="D27" s="1"/>
      <c r="E27" s="1"/>
      <c r="F27" s="1"/>
      <c r="G27" s="1"/>
      <c r="H27" s="1"/>
      <c r="I27" s="1"/>
      <c r="J27" s="1"/>
      <c r="K27" s="80"/>
      <c r="L27" s="1"/>
      <c r="M27" s="80"/>
      <c r="N27" s="1"/>
      <c r="O27" s="1"/>
      <c r="P27" s="1"/>
      <c r="Q27" s="12"/>
      <c r="R27" s="1"/>
      <c r="S27" s="1"/>
      <c r="T27" s="1"/>
      <c r="U27" s="1"/>
      <c r="V27" s="1"/>
      <c r="W27" s="1"/>
      <c r="X27" s="1"/>
    </row>
    <row r="28" spans="1:24" ht="22.5" customHeight="1" x14ac:dyDescent="0.25">
      <c r="A28" s="39">
        <v>26</v>
      </c>
      <c r="B28" s="12"/>
      <c r="C28" s="1"/>
      <c r="D28" s="1"/>
      <c r="E28" s="1"/>
      <c r="F28" s="1"/>
      <c r="G28" s="1"/>
      <c r="H28" s="1"/>
      <c r="I28" s="81"/>
      <c r="J28" s="81"/>
      <c r="K28" s="81"/>
      <c r="L28" s="4"/>
      <c r="M28" s="81"/>
      <c r="N28" s="1"/>
      <c r="O28" s="1"/>
      <c r="P28" s="1"/>
      <c r="Q28" s="12"/>
      <c r="R28" s="1"/>
      <c r="S28" s="1"/>
      <c r="T28" s="1"/>
      <c r="U28" s="1"/>
      <c r="V28" s="1"/>
      <c r="W28" s="1"/>
      <c r="X28" s="1"/>
    </row>
    <row r="29" spans="1:24" ht="20.25" customHeight="1" x14ac:dyDescent="0.25">
      <c r="A29" s="39">
        <v>27</v>
      </c>
      <c r="B29" s="12"/>
      <c r="C29" s="1"/>
      <c r="D29" s="1"/>
      <c r="E29" s="1"/>
      <c r="F29" s="1"/>
      <c r="G29" s="1"/>
      <c r="H29" s="1"/>
      <c r="I29" s="1"/>
      <c r="J29" s="1"/>
      <c r="K29" s="1"/>
      <c r="L29" s="1"/>
      <c r="M29" s="82"/>
      <c r="N29" s="1"/>
      <c r="O29" s="1"/>
      <c r="P29" s="1"/>
      <c r="Q29" s="12"/>
      <c r="R29" s="1"/>
      <c r="S29" s="1"/>
      <c r="T29" s="1"/>
      <c r="U29" s="1"/>
      <c r="V29" s="1"/>
      <c r="W29" s="1"/>
      <c r="X29" s="1"/>
    </row>
    <row r="30" spans="1:24" x14ac:dyDescent="0.25">
      <c r="A30" s="39">
        <v>28</v>
      </c>
      <c r="B30" s="1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2"/>
      <c r="R30" s="1"/>
      <c r="S30" s="1"/>
      <c r="T30" s="1"/>
      <c r="U30" s="1"/>
      <c r="V30" s="1"/>
      <c r="W30" s="1"/>
      <c r="X30" s="1"/>
    </row>
    <row r="31" spans="1:24" x14ac:dyDescent="0.25">
      <c r="A31" s="39">
        <v>29</v>
      </c>
      <c r="B31" s="12"/>
      <c r="C31" s="1"/>
      <c r="D31" s="1"/>
      <c r="E31" s="1"/>
      <c r="F31" s="1"/>
      <c r="G31" s="1"/>
      <c r="H31" s="1"/>
      <c r="I31" s="1"/>
      <c r="J31" s="1"/>
      <c r="K31" s="83"/>
      <c r="L31" s="4"/>
      <c r="M31" s="83"/>
      <c r="N31" s="1"/>
      <c r="O31" s="44"/>
      <c r="P31" s="1"/>
      <c r="Q31" s="12"/>
      <c r="R31" s="1"/>
      <c r="S31" s="1"/>
      <c r="T31" s="1"/>
      <c r="U31" s="1"/>
      <c r="V31" s="1"/>
      <c r="W31" s="1"/>
      <c r="X31" s="1"/>
    </row>
    <row r="32" spans="1:24" x14ac:dyDescent="0.25">
      <c r="A32" s="39">
        <v>30</v>
      </c>
      <c r="B32" s="12"/>
      <c r="C32" s="1"/>
      <c r="D32" s="1"/>
      <c r="E32" s="1"/>
      <c r="F32" s="1"/>
      <c r="G32" s="1"/>
      <c r="H32" s="1"/>
      <c r="I32" s="1"/>
      <c r="J32" s="1"/>
      <c r="K32" s="83"/>
      <c r="L32" s="1"/>
      <c r="M32" s="83"/>
      <c r="N32" s="1"/>
      <c r="O32" s="44"/>
      <c r="P32" s="1"/>
      <c r="Q32" s="12"/>
      <c r="R32" s="1"/>
      <c r="S32" s="1"/>
      <c r="T32" s="1"/>
      <c r="U32" s="1"/>
      <c r="V32" s="1"/>
      <c r="W32" s="1"/>
      <c r="X32" s="1"/>
    </row>
    <row r="33" spans="1:24" x14ac:dyDescent="0.25">
      <c r="A33" s="39">
        <v>31</v>
      </c>
      <c r="B33" s="1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2"/>
      <c r="R33" s="1"/>
      <c r="S33" s="1"/>
      <c r="T33" s="1"/>
      <c r="U33" s="1"/>
      <c r="V33" s="1"/>
      <c r="W33" s="1"/>
      <c r="X33" s="1"/>
    </row>
    <row r="34" spans="1:24" x14ac:dyDescent="0.25">
      <c r="A34" s="39">
        <v>32</v>
      </c>
      <c r="B34" s="12"/>
      <c r="C34" s="1"/>
      <c r="D34" s="1"/>
      <c r="E34" s="1"/>
      <c r="F34" s="1"/>
      <c r="G34" s="1"/>
      <c r="H34" s="84"/>
      <c r="I34" s="84"/>
      <c r="J34" s="84"/>
      <c r="K34" s="84"/>
      <c r="L34" s="1"/>
      <c r="M34" s="84"/>
      <c r="N34" s="1"/>
      <c r="O34" s="1"/>
      <c r="P34" s="1"/>
      <c r="Q34" s="12"/>
      <c r="R34" s="1"/>
      <c r="S34" s="1"/>
      <c r="T34" s="1"/>
      <c r="U34" s="1"/>
      <c r="V34" s="1"/>
      <c r="W34" s="1"/>
      <c r="X34" s="1"/>
    </row>
    <row r="35" spans="1:24" x14ac:dyDescent="0.25">
      <c r="A35" s="39">
        <v>33</v>
      </c>
      <c r="B35" s="1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2"/>
      <c r="R35" s="1"/>
      <c r="S35" s="1"/>
      <c r="T35" s="1"/>
      <c r="U35" s="1"/>
      <c r="V35" s="1"/>
      <c r="W35" s="1"/>
      <c r="X35" s="1"/>
    </row>
    <row r="36" spans="1:24" x14ac:dyDescent="0.25">
      <c r="A36" s="39">
        <v>34</v>
      </c>
      <c r="B36" s="1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2"/>
      <c r="R36" s="1"/>
      <c r="S36" s="1"/>
      <c r="T36" s="1"/>
      <c r="U36" s="1"/>
      <c r="V36" s="1"/>
      <c r="W36" s="1"/>
      <c r="X36" s="1"/>
    </row>
    <row r="37" spans="1:24" x14ac:dyDescent="0.25">
      <c r="A37" s="39">
        <v>35</v>
      </c>
      <c r="B37" s="1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2"/>
      <c r="R37" s="1"/>
      <c r="S37" s="1"/>
      <c r="T37" s="1"/>
      <c r="U37" s="1"/>
      <c r="V37" s="1"/>
      <c r="W37" s="1"/>
      <c r="X37" s="1"/>
    </row>
    <row r="38" spans="1:24" x14ac:dyDescent="0.25">
      <c r="A38" s="39">
        <v>36</v>
      </c>
      <c r="B38" s="1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2"/>
      <c r="R38" s="1"/>
      <c r="S38" s="1"/>
      <c r="T38" s="1"/>
      <c r="U38" s="1"/>
      <c r="V38" s="1"/>
      <c r="W38" s="1"/>
      <c r="X38" s="1"/>
    </row>
    <row r="39" spans="1:24" x14ac:dyDescent="0.25">
      <c r="A39" s="39">
        <v>37</v>
      </c>
      <c r="B39" s="1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2"/>
      <c r="R39" s="1"/>
      <c r="S39" s="1"/>
      <c r="T39" s="1"/>
      <c r="U39" s="1"/>
      <c r="V39" s="1"/>
      <c r="W39" s="1"/>
      <c r="X39" s="1"/>
    </row>
    <row r="40" spans="1:24" x14ac:dyDescent="0.25">
      <c r="A40" s="39">
        <v>38</v>
      </c>
      <c r="B40" s="1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2"/>
      <c r="R40" s="1"/>
      <c r="S40" s="1"/>
      <c r="T40" s="1"/>
      <c r="U40" s="1"/>
      <c r="V40" s="1"/>
      <c r="W40" s="1"/>
      <c r="X40" s="1"/>
    </row>
    <row r="41" spans="1:24" x14ac:dyDescent="0.25">
      <c r="A41" s="36"/>
      <c r="B41" s="1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2"/>
      <c r="R41" s="1"/>
      <c r="S41" s="1"/>
      <c r="T41" s="1"/>
      <c r="U41" s="1"/>
      <c r="V41" s="1"/>
      <c r="W41" s="1"/>
      <c r="X41" s="1"/>
    </row>
    <row r="42" spans="1:24" x14ac:dyDescent="0.25">
      <c r="A42" s="36"/>
      <c r="B42" s="1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2"/>
      <c r="R42" s="1"/>
      <c r="S42" s="1"/>
      <c r="T42" s="1"/>
      <c r="U42" s="1"/>
      <c r="V42" s="1"/>
      <c r="W42" s="1"/>
      <c r="X42" s="1"/>
    </row>
    <row r="43" spans="1:24" x14ac:dyDescent="0.25">
      <c r="A43" s="36"/>
      <c r="B43" s="1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2"/>
      <c r="R43" s="1"/>
      <c r="S43" s="1"/>
      <c r="T43" s="1"/>
      <c r="U43" s="1"/>
      <c r="V43" s="1"/>
      <c r="W43" s="1"/>
      <c r="X43" s="1"/>
    </row>
    <row r="44" spans="1:24" x14ac:dyDescent="0.25">
      <c r="A44" s="36"/>
      <c r="B44" s="1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2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2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2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2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2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2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2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2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2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2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2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2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2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2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2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2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2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2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2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2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2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2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2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2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2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2"/>
      <c r="R69" s="1"/>
      <c r="S69" s="1"/>
      <c r="T69" s="1"/>
      <c r="U69" s="1"/>
      <c r="V69" s="1"/>
      <c r="W69" s="1"/>
      <c r="X69" s="1"/>
    </row>
  </sheetData>
  <autoFilter ref="A2:X40" xr:uid="{346BF247-B34B-471E-B40D-4A9F6CF4BB04}"/>
  <mergeCells count="2">
    <mergeCell ref="A1:L1"/>
    <mergeCell ref="M1:W1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64A1-F972-44BA-B687-8C548C1F7E73}">
  <dimension ref="A1:Y69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E9" sqref="E9"/>
    </sheetView>
  </sheetViews>
  <sheetFormatPr defaultColWidth="9.140625" defaultRowHeight="15" x14ac:dyDescent="0.25"/>
  <cols>
    <col min="1" max="1" width="8" style="3" bestFit="1" customWidth="1"/>
    <col min="2" max="2" width="11.42578125" style="13" customWidth="1"/>
    <col min="3" max="3" width="14.42578125" style="3" customWidth="1"/>
    <col min="4" max="4" width="16.42578125" style="3" customWidth="1"/>
    <col min="5" max="5" width="6.42578125" style="3" customWidth="1"/>
    <col min="6" max="6" width="7.42578125" style="3" customWidth="1"/>
    <col min="7" max="7" width="9.28515625" style="3" customWidth="1"/>
    <col min="8" max="8" width="7.28515625" style="3" customWidth="1"/>
    <col min="9" max="9" width="9" style="3" bestFit="1" customWidth="1"/>
    <col min="10" max="10" width="6.5703125" style="3" customWidth="1"/>
    <col min="11" max="11" width="5.7109375" style="3" customWidth="1"/>
    <col min="12" max="12" width="32.28515625" style="3" customWidth="1"/>
    <col min="13" max="13" width="13.5703125" style="3" bestFit="1" customWidth="1"/>
    <col min="14" max="14" width="11.140625" style="3" customWidth="1"/>
    <col min="15" max="15" width="13.5703125" style="3" customWidth="1"/>
    <col min="16" max="16" width="12" style="3" customWidth="1"/>
    <col min="17" max="17" width="13.7109375" style="13" customWidth="1"/>
    <col min="18" max="18" width="15" style="3" customWidth="1"/>
    <col min="19" max="19" width="11" style="3" customWidth="1"/>
    <col min="20" max="21" width="13.28515625" style="3" bestFit="1" customWidth="1"/>
    <col min="22" max="22" width="11.42578125" style="3" customWidth="1"/>
    <col min="23" max="24" width="10.28515625" style="3" customWidth="1"/>
    <col min="25" max="25" width="17" style="3" customWidth="1"/>
    <col min="26" max="16384" width="9.140625" style="3"/>
  </cols>
  <sheetData>
    <row r="1" spans="1:25" x14ac:dyDescent="0.25">
      <c r="A1" s="93" t="s">
        <v>26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 t="s">
        <v>27</v>
      </c>
      <c r="N1" s="93"/>
      <c r="O1" s="93"/>
      <c r="P1" s="93"/>
      <c r="Q1" s="93"/>
      <c r="R1" s="93"/>
      <c r="S1" s="93"/>
      <c r="T1" s="93"/>
      <c r="U1" s="93"/>
      <c r="V1" s="93"/>
      <c r="W1" s="93"/>
      <c r="X1" s="68"/>
      <c r="Y1" s="68" t="s">
        <v>28</v>
      </c>
    </row>
    <row r="2" spans="1:25" s="19" customFormat="1" ht="38.25" x14ac:dyDescent="0.25">
      <c r="A2" s="14" t="s">
        <v>11</v>
      </c>
      <c r="B2" s="43" t="s">
        <v>29</v>
      </c>
      <c r="C2" s="14" t="s">
        <v>30</v>
      </c>
      <c r="D2" s="14" t="s">
        <v>0</v>
      </c>
      <c r="E2" s="15" t="s">
        <v>10</v>
      </c>
      <c r="F2" s="15" t="s">
        <v>1</v>
      </c>
      <c r="G2" s="15" t="s">
        <v>12</v>
      </c>
      <c r="H2" s="15" t="s">
        <v>33</v>
      </c>
      <c r="I2" s="15" t="s">
        <v>32</v>
      </c>
      <c r="J2" s="15" t="s">
        <v>14</v>
      </c>
      <c r="K2" s="15" t="s">
        <v>31</v>
      </c>
      <c r="L2" s="15" t="s">
        <v>2</v>
      </c>
      <c r="M2" s="16" t="s">
        <v>3</v>
      </c>
      <c r="N2" s="16" t="s">
        <v>25</v>
      </c>
      <c r="O2" s="16" t="s">
        <v>4</v>
      </c>
      <c r="P2" s="16" t="s">
        <v>24</v>
      </c>
      <c r="Q2" s="31" t="s">
        <v>23</v>
      </c>
      <c r="R2" s="16" t="s">
        <v>5</v>
      </c>
      <c r="S2" s="16" t="s">
        <v>6</v>
      </c>
      <c r="T2" s="16" t="s">
        <v>7</v>
      </c>
      <c r="U2" s="16" t="s">
        <v>22</v>
      </c>
      <c r="V2" s="17" t="s">
        <v>8</v>
      </c>
      <c r="W2" s="17" t="s">
        <v>9</v>
      </c>
      <c r="X2" s="17" t="s">
        <v>34</v>
      </c>
      <c r="Y2" s="18" t="s">
        <v>21</v>
      </c>
    </row>
    <row r="3" spans="1:25" ht="27" customHeight="1" x14ac:dyDescent="0.25">
      <c r="A3" s="68">
        <v>1</v>
      </c>
      <c r="B3" s="12">
        <v>45656</v>
      </c>
      <c r="C3" s="65" t="s">
        <v>114</v>
      </c>
      <c r="D3" s="68" t="s">
        <v>35</v>
      </c>
      <c r="E3" s="68">
        <v>1</v>
      </c>
      <c r="F3" s="68">
        <v>1</v>
      </c>
      <c r="G3" s="68">
        <v>1</v>
      </c>
      <c r="H3" s="68" t="s">
        <v>36</v>
      </c>
      <c r="I3" s="68" t="s">
        <v>37</v>
      </c>
      <c r="J3" s="68">
        <v>12072</v>
      </c>
      <c r="K3" s="68" t="s">
        <v>38</v>
      </c>
      <c r="L3" s="69" t="s">
        <v>39</v>
      </c>
      <c r="M3" s="68" t="s">
        <v>40</v>
      </c>
      <c r="N3" s="25"/>
      <c r="O3" s="68">
        <v>4125010009</v>
      </c>
      <c r="P3" s="12">
        <v>45663</v>
      </c>
      <c r="Q3" s="32">
        <v>45666</v>
      </c>
      <c r="R3" s="68" t="s">
        <v>41</v>
      </c>
      <c r="S3" s="2">
        <v>638925</v>
      </c>
      <c r="T3" s="2">
        <f>U3-S3</f>
        <v>2164010</v>
      </c>
      <c r="U3" s="2">
        <v>2802935</v>
      </c>
      <c r="V3" s="12"/>
      <c r="W3" s="68"/>
      <c r="X3" s="23"/>
      <c r="Y3" s="68"/>
    </row>
    <row r="4" spans="1:25" ht="28.5" customHeight="1" x14ac:dyDescent="0.25">
      <c r="A4" s="68">
        <v>2</v>
      </c>
      <c r="B4" s="12">
        <v>45666</v>
      </c>
      <c r="C4" s="4" t="s">
        <v>42</v>
      </c>
      <c r="D4" s="68" t="s">
        <v>43</v>
      </c>
      <c r="E4" s="68">
        <v>12</v>
      </c>
      <c r="F4" s="68">
        <v>2</v>
      </c>
      <c r="G4" s="68">
        <v>2</v>
      </c>
      <c r="H4" s="68" t="s">
        <v>44</v>
      </c>
      <c r="I4" s="4" t="s">
        <v>45</v>
      </c>
      <c r="J4" s="4">
        <v>11215</v>
      </c>
      <c r="K4" s="68" t="s">
        <v>38</v>
      </c>
      <c r="L4" s="69" t="s">
        <v>46</v>
      </c>
      <c r="M4" s="68" t="s">
        <v>40</v>
      </c>
      <c r="N4" s="25"/>
      <c r="O4" s="68">
        <v>4125010081</v>
      </c>
      <c r="P4" s="12">
        <v>45668</v>
      </c>
      <c r="Q4" s="32">
        <v>45679</v>
      </c>
      <c r="R4" s="68" t="s">
        <v>41</v>
      </c>
      <c r="S4" s="2">
        <v>247249</v>
      </c>
      <c r="T4" s="2">
        <f>U4-S4</f>
        <v>3393897</v>
      </c>
      <c r="U4" s="2">
        <v>3641146</v>
      </c>
      <c r="V4" s="12"/>
      <c r="W4" s="68"/>
      <c r="X4" s="23"/>
      <c r="Y4" s="68"/>
    </row>
    <row r="5" spans="1:25" ht="27" customHeight="1" x14ac:dyDescent="0.25">
      <c r="A5" s="68">
        <v>3</v>
      </c>
      <c r="B5" s="12">
        <v>45673</v>
      </c>
      <c r="C5" s="65" t="s">
        <v>117</v>
      </c>
      <c r="D5" s="68">
        <v>6224120008</v>
      </c>
      <c r="E5" s="68">
        <v>1</v>
      </c>
      <c r="F5" s="68">
        <v>1</v>
      </c>
      <c r="G5" s="68">
        <v>1</v>
      </c>
      <c r="H5" s="68" t="s">
        <v>47</v>
      </c>
      <c r="I5" s="68" t="s">
        <v>48</v>
      </c>
      <c r="J5" s="68">
        <v>11547</v>
      </c>
      <c r="K5" s="68" t="s">
        <v>38</v>
      </c>
      <c r="L5" s="22" t="s">
        <v>49</v>
      </c>
      <c r="M5" s="68" t="s">
        <v>69</v>
      </c>
      <c r="N5" s="25"/>
      <c r="O5" s="59"/>
      <c r="P5" s="60"/>
      <c r="Q5" s="60"/>
      <c r="R5" s="59"/>
      <c r="S5" s="59"/>
      <c r="T5" s="61"/>
      <c r="U5" s="61"/>
      <c r="V5" s="12"/>
      <c r="W5" s="68"/>
      <c r="X5" s="23"/>
      <c r="Y5" s="68"/>
    </row>
    <row r="6" spans="1:25" ht="27" customHeight="1" x14ac:dyDescent="0.25">
      <c r="A6" s="68">
        <v>4</v>
      </c>
      <c r="B6" s="12">
        <v>45677</v>
      </c>
      <c r="C6" s="68" t="s">
        <v>50</v>
      </c>
      <c r="D6" s="68" t="s">
        <v>51</v>
      </c>
      <c r="E6" s="68">
        <v>1</v>
      </c>
      <c r="F6" s="68">
        <v>2</v>
      </c>
      <c r="G6" s="68">
        <v>1</v>
      </c>
      <c r="H6" s="68" t="s">
        <v>52</v>
      </c>
      <c r="I6" s="68" t="s">
        <v>53</v>
      </c>
      <c r="J6" s="68">
        <v>11590</v>
      </c>
      <c r="K6" s="68" t="s">
        <v>38</v>
      </c>
      <c r="L6" s="69" t="s">
        <v>54</v>
      </c>
      <c r="M6" s="68" t="s">
        <v>69</v>
      </c>
      <c r="N6" s="25"/>
      <c r="O6" s="59"/>
      <c r="P6" s="59"/>
      <c r="Q6" s="60"/>
      <c r="R6" s="59"/>
      <c r="S6" s="59"/>
      <c r="T6" s="61"/>
      <c r="U6" s="61"/>
      <c r="V6" s="27"/>
      <c r="W6" s="68"/>
      <c r="X6" s="23"/>
      <c r="Y6" s="68"/>
    </row>
    <row r="7" spans="1:25" ht="27" customHeight="1" x14ac:dyDescent="0.25">
      <c r="A7" s="68">
        <v>5</v>
      </c>
      <c r="B7" s="12">
        <v>45698</v>
      </c>
      <c r="C7" s="4" t="s">
        <v>58</v>
      </c>
      <c r="D7" s="68">
        <v>2135015002</v>
      </c>
      <c r="E7" s="68">
        <v>1</v>
      </c>
      <c r="F7" s="68">
        <v>1</v>
      </c>
      <c r="G7" s="68">
        <v>1</v>
      </c>
      <c r="H7" s="68" t="s">
        <v>55</v>
      </c>
      <c r="I7" s="68" t="s">
        <v>56</v>
      </c>
      <c r="J7" s="68">
        <v>51964</v>
      </c>
      <c r="K7" s="68" t="s">
        <v>38</v>
      </c>
      <c r="L7" s="69" t="s">
        <v>57</v>
      </c>
      <c r="M7" s="68" t="s">
        <v>95</v>
      </c>
      <c r="N7" s="26"/>
      <c r="O7" s="59"/>
      <c r="P7" s="59"/>
      <c r="Q7" s="60"/>
      <c r="R7" s="59"/>
      <c r="S7" s="62"/>
      <c r="T7" s="62"/>
      <c r="U7" s="61"/>
      <c r="V7" s="12"/>
      <c r="W7" s="68"/>
      <c r="X7" s="23"/>
      <c r="Y7" s="68"/>
    </row>
    <row r="8" spans="1:25" ht="27" customHeight="1" x14ac:dyDescent="0.25">
      <c r="A8" s="68">
        <v>6</v>
      </c>
      <c r="B8" s="12">
        <v>45701</v>
      </c>
      <c r="C8" s="68" t="s">
        <v>59</v>
      </c>
      <c r="D8" s="68" t="s">
        <v>122</v>
      </c>
      <c r="E8" s="68">
        <v>2</v>
      </c>
      <c r="F8" s="68">
        <v>1</v>
      </c>
      <c r="G8" s="68">
        <v>1</v>
      </c>
      <c r="H8" s="68" t="s">
        <v>60</v>
      </c>
      <c r="I8" s="68" t="s">
        <v>61</v>
      </c>
      <c r="J8" s="11">
        <v>12409</v>
      </c>
      <c r="K8" s="68" t="s">
        <v>38</v>
      </c>
      <c r="L8" s="69" t="s">
        <v>62</v>
      </c>
      <c r="M8" s="68" t="s">
        <v>40</v>
      </c>
      <c r="N8" s="25"/>
      <c r="O8" s="68" t="s">
        <v>67</v>
      </c>
      <c r="P8" s="12">
        <v>45706</v>
      </c>
      <c r="Q8" s="12">
        <v>45706</v>
      </c>
      <c r="R8" s="68">
        <v>0</v>
      </c>
      <c r="S8" s="68">
        <v>0</v>
      </c>
      <c r="T8" s="2">
        <v>3590219</v>
      </c>
      <c r="U8" s="2">
        <v>3590219</v>
      </c>
      <c r="V8" s="12"/>
      <c r="W8" s="68"/>
      <c r="X8" s="23"/>
      <c r="Y8" s="68"/>
    </row>
    <row r="9" spans="1:25" ht="27" customHeight="1" x14ac:dyDescent="0.25">
      <c r="A9" s="68">
        <v>7</v>
      </c>
      <c r="B9" s="12">
        <v>45700</v>
      </c>
      <c r="C9" s="68" t="s">
        <v>63</v>
      </c>
      <c r="D9" s="68" t="s">
        <v>68</v>
      </c>
      <c r="E9" s="68">
        <v>1</v>
      </c>
      <c r="F9" s="68">
        <v>1</v>
      </c>
      <c r="G9" s="68">
        <v>1</v>
      </c>
      <c r="H9" s="68" t="s">
        <v>60</v>
      </c>
      <c r="I9" s="68" t="s">
        <v>61</v>
      </c>
      <c r="J9" s="11">
        <v>12409</v>
      </c>
      <c r="K9" s="68" t="s">
        <v>38</v>
      </c>
      <c r="L9" s="22" t="s">
        <v>64</v>
      </c>
      <c r="M9" s="68" t="s">
        <v>69</v>
      </c>
      <c r="N9" s="25"/>
      <c r="O9" s="63"/>
      <c r="P9" s="60"/>
      <c r="Q9" s="60"/>
      <c r="R9" s="59"/>
      <c r="S9" s="61"/>
      <c r="T9" s="61"/>
      <c r="U9" s="61"/>
      <c r="V9" s="12"/>
      <c r="W9" s="68"/>
      <c r="X9" s="23"/>
      <c r="Y9" s="68"/>
    </row>
    <row r="10" spans="1:25" ht="27" customHeight="1" x14ac:dyDescent="0.25">
      <c r="A10" s="68">
        <v>8</v>
      </c>
      <c r="B10" s="12">
        <v>45703</v>
      </c>
      <c r="C10" s="68" t="s">
        <v>65</v>
      </c>
      <c r="D10" s="68" t="s">
        <v>121</v>
      </c>
      <c r="E10" s="68">
        <v>1</v>
      </c>
      <c r="F10" s="68">
        <v>5</v>
      </c>
      <c r="G10" s="68">
        <v>5</v>
      </c>
      <c r="H10" s="68" t="s">
        <v>60</v>
      </c>
      <c r="I10" s="68" t="s">
        <v>61</v>
      </c>
      <c r="J10" s="11">
        <v>12409</v>
      </c>
      <c r="K10" s="68" t="s">
        <v>38</v>
      </c>
      <c r="L10" s="22" t="s">
        <v>66</v>
      </c>
      <c r="M10" s="68" t="s">
        <v>40</v>
      </c>
      <c r="N10" s="25"/>
      <c r="O10" s="44">
        <v>4125020059</v>
      </c>
      <c r="P10" s="12">
        <v>45705</v>
      </c>
      <c r="Q10" s="12"/>
      <c r="R10" s="68" t="s">
        <v>78</v>
      </c>
      <c r="S10" s="2">
        <v>342486</v>
      </c>
      <c r="T10" s="2">
        <f>U10-S10</f>
        <v>1239147</v>
      </c>
      <c r="U10" s="2">
        <v>1581633</v>
      </c>
      <c r="V10" s="12"/>
      <c r="W10" s="68"/>
      <c r="X10" s="23"/>
      <c r="Y10" s="68"/>
    </row>
    <row r="11" spans="1:25" ht="27" customHeight="1" x14ac:dyDescent="0.25">
      <c r="A11" s="68">
        <v>9</v>
      </c>
      <c r="B11" s="12">
        <v>45705</v>
      </c>
      <c r="C11" s="65" t="s">
        <v>115</v>
      </c>
      <c r="D11" s="68" t="s">
        <v>70</v>
      </c>
      <c r="E11" s="68">
        <v>2</v>
      </c>
      <c r="F11" s="68">
        <v>2</v>
      </c>
      <c r="G11" s="68">
        <v>2</v>
      </c>
      <c r="H11" s="65" t="s">
        <v>110</v>
      </c>
      <c r="I11" s="65" t="s">
        <v>111</v>
      </c>
      <c r="J11" s="65">
        <v>12899</v>
      </c>
      <c r="K11" s="65" t="s">
        <v>112</v>
      </c>
      <c r="L11" s="22" t="s">
        <v>71</v>
      </c>
      <c r="M11" s="68" t="s">
        <v>40</v>
      </c>
      <c r="N11" s="68"/>
      <c r="O11" s="44">
        <v>4125020060</v>
      </c>
      <c r="P11" s="12">
        <v>45705</v>
      </c>
      <c r="Q11" s="12">
        <v>45933</v>
      </c>
      <c r="R11" s="68" t="s">
        <v>77</v>
      </c>
      <c r="S11" s="68">
        <v>0</v>
      </c>
      <c r="T11" s="2">
        <v>1099960</v>
      </c>
      <c r="U11" s="2">
        <v>1099960</v>
      </c>
      <c r="V11" s="12"/>
      <c r="W11" s="68"/>
      <c r="X11" s="23"/>
      <c r="Y11" s="68"/>
    </row>
    <row r="12" spans="1:25" ht="27" customHeight="1" x14ac:dyDescent="0.25">
      <c r="A12" s="68">
        <v>10</v>
      </c>
      <c r="B12" s="12">
        <v>45705</v>
      </c>
      <c r="C12" s="68" t="s">
        <v>72</v>
      </c>
      <c r="D12" s="68" t="s">
        <v>73</v>
      </c>
      <c r="E12" s="68">
        <v>1</v>
      </c>
      <c r="F12" s="68">
        <v>1</v>
      </c>
      <c r="G12" s="68">
        <v>1</v>
      </c>
      <c r="H12" s="68" t="s">
        <v>74</v>
      </c>
      <c r="I12" s="68" t="s">
        <v>75</v>
      </c>
      <c r="J12" s="68">
        <v>11996</v>
      </c>
      <c r="K12" s="68" t="s">
        <v>38</v>
      </c>
      <c r="L12" s="22" t="s">
        <v>76</v>
      </c>
      <c r="M12" s="68" t="s">
        <v>40</v>
      </c>
      <c r="N12" s="68"/>
      <c r="O12" s="68" t="s">
        <v>79</v>
      </c>
      <c r="P12" s="12">
        <v>45705</v>
      </c>
      <c r="Q12" s="12"/>
      <c r="R12" s="68" t="s">
        <v>80</v>
      </c>
      <c r="S12" s="2"/>
      <c r="T12" s="2"/>
      <c r="U12" s="2"/>
      <c r="V12" s="12"/>
      <c r="W12" s="68"/>
      <c r="X12" s="23"/>
      <c r="Y12" s="68"/>
    </row>
    <row r="13" spans="1:25" ht="27" customHeight="1" x14ac:dyDescent="0.25">
      <c r="A13" s="68">
        <v>11</v>
      </c>
      <c r="B13" s="12">
        <v>45714</v>
      </c>
      <c r="C13" s="68" t="s">
        <v>81</v>
      </c>
      <c r="D13" s="68">
        <v>6114080046</v>
      </c>
      <c r="E13" s="68">
        <v>1</v>
      </c>
      <c r="F13" s="68">
        <v>1</v>
      </c>
      <c r="G13" s="68">
        <v>1</v>
      </c>
      <c r="H13" s="68" t="s">
        <v>82</v>
      </c>
      <c r="I13" s="68" t="s">
        <v>83</v>
      </c>
      <c r="J13" s="68">
        <v>11813</v>
      </c>
      <c r="K13" s="68" t="s">
        <v>38</v>
      </c>
      <c r="L13" s="69" t="s">
        <v>84</v>
      </c>
      <c r="M13" s="68" t="s">
        <v>40</v>
      </c>
      <c r="N13" s="68"/>
      <c r="O13" s="63"/>
      <c r="P13" s="64"/>
      <c r="Q13" s="60"/>
      <c r="R13" s="59"/>
      <c r="S13" s="61"/>
      <c r="T13" s="61"/>
      <c r="U13" s="61"/>
      <c r="V13" s="12"/>
      <c r="W13" s="68"/>
      <c r="X13" s="23"/>
      <c r="Y13" s="68"/>
    </row>
    <row r="14" spans="1:25" ht="27" customHeight="1" x14ac:dyDescent="0.25">
      <c r="A14" s="68">
        <v>12</v>
      </c>
      <c r="B14" s="12">
        <v>45703</v>
      </c>
      <c r="C14" s="70" t="s">
        <v>116</v>
      </c>
      <c r="D14" s="46" t="s">
        <v>85</v>
      </c>
      <c r="E14" s="48">
        <v>34</v>
      </c>
      <c r="F14" s="47">
        <v>4</v>
      </c>
      <c r="G14" s="47">
        <v>1</v>
      </c>
      <c r="H14" s="49" t="s">
        <v>44</v>
      </c>
      <c r="I14" s="50" t="s">
        <v>45</v>
      </c>
      <c r="J14" s="51">
        <v>11215</v>
      </c>
      <c r="K14" s="47" t="s">
        <v>38</v>
      </c>
      <c r="L14" s="50" t="s">
        <v>86</v>
      </c>
      <c r="M14" s="68" t="s">
        <v>40</v>
      </c>
      <c r="N14" s="49"/>
      <c r="O14" s="44">
        <v>4125030004</v>
      </c>
      <c r="P14" s="12">
        <v>45717</v>
      </c>
      <c r="Q14" s="12">
        <v>45731</v>
      </c>
      <c r="R14" s="47" t="s">
        <v>87</v>
      </c>
      <c r="S14" s="47"/>
      <c r="T14" s="53"/>
      <c r="U14" s="52"/>
      <c r="V14" s="54"/>
      <c r="W14" s="55"/>
      <c r="X14" s="56"/>
      <c r="Y14" s="68"/>
    </row>
    <row r="15" spans="1:25" ht="27" customHeight="1" x14ac:dyDescent="0.25">
      <c r="A15" s="68">
        <v>13</v>
      </c>
      <c r="B15" s="12">
        <v>45726</v>
      </c>
      <c r="C15" s="47" t="s">
        <v>89</v>
      </c>
      <c r="D15" s="46" t="s">
        <v>88</v>
      </c>
      <c r="E15" s="68">
        <v>1</v>
      </c>
      <c r="F15" s="68">
        <v>1</v>
      </c>
      <c r="G15" s="68">
        <v>1</v>
      </c>
      <c r="H15" s="68" t="s">
        <v>52</v>
      </c>
      <c r="I15" s="68" t="s">
        <v>90</v>
      </c>
      <c r="J15" s="68">
        <v>11656</v>
      </c>
      <c r="K15" s="47" t="s">
        <v>38</v>
      </c>
      <c r="L15" s="22" t="s">
        <v>91</v>
      </c>
      <c r="M15" s="68" t="s">
        <v>92</v>
      </c>
      <c r="N15" s="25" t="s">
        <v>103</v>
      </c>
      <c r="O15" s="65" t="s">
        <v>105</v>
      </c>
      <c r="P15" s="12">
        <v>45726</v>
      </c>
      <c r="Q15" s="12"/>
      <c r="R15" s="68" t="s">
        <v>106</v>
      </c>
      <c r="S15" s="2">
        <v>144671</v>
      </c>
      <c r="T15" s="2">
        <v>5131775</v>
      </c>
      <c r="U15" s="2">
        <f>S15+T15</f>
        <v>5276446</v>
      </c>
      <c r="V15" s="12">
        <v>45736</v>
      </c>
      <c r="W15" s="68" t="s">
        <v>104</v>
      </c>
      <c r="X15" s="23"/>
      <c r="Y15" s="68"/>
    </row>
    <row r="16" spans="1:25" ht="27" customHeight="1" x14ac:dyDescent="0.25">
      <c r="A16" s="68">
        <v>14</v>
      </c>
      <c r="B16" s="12">
        <v>45724</v>
      </c>
      <c r="C16" s="68" t="s">
        <v>93</v>
      </c>
      <c r="D16" s="68" t="s">
        <v>119</v>
      </c>
      <c r="E16" s="68">
        <v>1</v>
      </c>
      <c r="F16" s="68">
        <v>4</v>
      </c>
      <c r="G16" s="68">
        <v>3</v>
      </c>
      <c r="H16" s="68" t="s">
        <v>60</v>
      </c>
      <c r="I16" s="68" t="s">
        <v>61</v>
      </c>
      <c r="J16" s="68">
        <v>12409</v>
      </c>
      <c r="K16" s="47" t="s">
        <v>38</v>
      </c>
      <c r="L16" s="69" t="s">
        <v>94</v>
      </c>
      <c r="M16" s="68" t="s">
        <v>95</v>
      </c>
      <c r="N16" s="25"/>
      <c r="O16" s="59"/>
      <c r="P16" s="60"/>
      <c r="Q16" s="25"/>
      <c r="R16" s="46"/>
      <c r="S16" s="2"/>
      <c r="T16" s="2"/>
      <c r="U16" s="2"/>
      <c r="V16" s="12"/>
      <c r="W16" s="68"/>
      <c r="X16" s="23"/>
      <c r="Y16" s="68"/>
    </row>
    <row r="17" spans="1:25" ht="27" customHeight="1" x14ac:dyDescent="0.25">
      <c r="A17" s="68">
        <v>15</v>
      </c>
      <c r="B17" s="12">
        <v>45726</v>
      </c>
      <c r="C17" s="65" t="s">
        <v>114</v>
      </c>
      <c r="D17" s="68" t="s">
        <v>96</v>
      </c>
      <c r="E17" s="68">
        <v>1</v>
      </c>
      <c r="F17" s="68">
        <v>1</v>
      </c>
      <c r="G17" s="68">
        <v>1</v>
      </c>
      <c r="H17" s="68" t="s">
        <v>36</v>
      </c>
      <c r="I17" s="68" t="s">
        <v>37</v>
      </c>
      <c r="J17" s="68">
        <v>12072</v>
      </c>
      <c r="K17" s="68" t="s">
        <v>38</v>
      </c>
      <c r="L17" s="69" t="s">
        <v>97</v>
      </c>
      <c r="M17" s="68" t="s">
        <v>40</v>
      </c>
      <c r="N17" s="68"/>
      <c r="O17" s="59"/>
      <c r="P17" s="60"/>
      <c r="Q17" s="25"/>
      <c r="R17" s="68" t="s">
        <v>106</v>
      </c>
      <c r="S17" s="2"/>
      <c r="T17" s="2"/>
      <c r="U17" s="2"/>
      <c r="V17" s="12"/>
      <c r="W17" s="68"/>
      <c r="X17" s="23"/>
      <c r="Y17" s="68"/>
    </row>
    <row r="18" spans="1:25" ht="23.25" customHeight="1" x14ac:dyDescent="0.25">
      <c r="A18" s="68">
        <v>16</v>
      </c>
      <c r="B18" s="12">
        <v>45736</v>
      </c>
      <c r="C18" s="65" t="s">
        <v>108</v>
      </c>
      <c r="D18" s="68" t="s">
        <v>120</v>
      </c>
      <c r="E18" s="68">
        <v>1</v>
      </c>
      <c r="F18" s="68">
        <v>4</v>
      </c>
      <c r="G18" s="68">
        <v>2</v>
      </c>
      <c r="H18" s="68" t="s">
        <v>60</v>
      </c>
      <c r="I18" s="68" t="s">
        <v>61</v>
      </c>
      <c r="J18" s="68">
        <v>12409</v>
      </c>
      <c r="K18" s="68" t="s">
        <v>38</v>
      </c>
      <c r="L18" s="69" t="s">
        <v>98</v>
      </c>
      <c r="M18" s="68" t="s">
        <v>92</v>
      </c>
      <c r="N18" s="68"/>
      <c r="O18" s="59"/>
      <c r="P18" s="59"/>
      <c r="Q18" s="25"/>
      <c r="R18" s="47"/>
      <c r="S18" s="2"/>
      <c r="T18" s="2"/>
      <c r="U18" s="2"/>
      <c r="V18" s="68"/>
      <c r="W18" s="68"/>
      <c r="X18" s="23"/>
      <c r="Y18" s="68"/>
    </row>
    <row r="19" spans="1:25" ht="23.25" customHeight="1" x14ac:dyDescent="0.25">
      <c r="A19" s="68">
        <v>17</v>
      </c>
      <c r="B19" s="12">
        <v>45741</v>
      </c>
      <c r="C19" s="65" t="s">
        <v>109</v>
      </c>
      <c r="D19" s="68" t="s">
        <v>118</v>
      </c>
      <c r="E19" s="68">
        <v>4</v>
      </c>
      <c r="F19" s="68">
        <v>2</v>
      </c>
      <c r="G19" s="68">
        <v>2</v>
      </c>
      <c r="H19" s="68" t="s">
        <v>47</v>
      </c>
      <c r="I19" s="68" t="s">
        <v>48</v>
      </c>
      <c r="J19" s="68">
        <v>11547</v>
      </c>
      <c r="K19" s="68" t="s">
        <v>38</v>
      </c>
      <c r="L19" s="69" t="s">
        <v>99</v>
      </c>
      <c r="M19" s="68" t="s">
        <v>95</v>
      </c>
      <c r="N19" s="68"/>
      <c r="O19" s="59"/>
      <c r="P19" s="59"/>
      <c r="Q19" s="25"/>
      <c r="R19" s="47"/>
      <c r="S19" s="2"/>
      <c r="T19" s="2"/>
      <c r="U19" s="2"/>
      <c r="V19" s="68"/>
      <c r="W19" s="68"/>
      <c r="X19" s="23"/>
      <c r="Y19" s="68"/>
    </row>
    <row r="20" spans="1:25" ht="23.25" customHeight="1" x14ac:dyDescent="0.25">
      <c r="A20" s="68">
        <v>18</v>
      </c>
      <c r="B20" s="12">
        <v>45736</v>
      </c>
      <c r="C20" s="65" t="s">
        <v>107</v>
      </c>
      <c r="D20" s="68" t="s">
        <v>102</v>
      </c>
      <c r="E20" s="68">
        <v>1</v>
      </c>
      <c r="F20" s="68">
        <v>1</v>
      </c>
      <c r="G20" s="68">
        <v>1</v>
      </c>
      <c r="H20" s="68" t="s">
        <v>60</v>
      </c>
      <c r="I20" s="68" t="s">
        <v>100</v>
      </c>
      <c r="J20" s="68">
        <v>11957</v>
      </c>
      <c r="K20" s="68" t="s">
        <v>38</v>
      </c>
      <c r="L20" s="69" t="s">
        <v>101</v>
      </c>
      <c r="M20" s="68" t="s">
        <v>40</v>
      </c>
      <c r="N20" s="25"/>
      <c r="O20" s="59"/>
      <c r="P20" s="60"/>
      <c r="Q20" s="25"/>
      <c r="R20" s="46" t="s">
        <v>113</v>
      </c>
      <c r="S20" s="2"/>
      <c r="T20" s="2"/>
      <c r="U20" s="2"/>
      <c r="V20" s="12"/>
      <c r="W20" s="68"/>
      <c r="X20" s="23"/>
      <c r="Y20" s="68"/>
    </row>
    <row r="21" spans="1:25" ht="23.25" customHeight="1" x14ac:dyDescent="0.25">
      <c r="A21" s="68">
        <v>19</v>
      </c>
      <c r="B21" s="12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25"/>
      <c r="O21" s="68"/>
      <c r="P21" s="12"/>
      <c r="Q21" s="12"/>
      <c r="R21" s="68"/>
      <c r="S21" s="2"/>
      <c r="T21" s="2"/>
      <c r="U21" s="2"/>
      <c r="V21" s="12"/>
      <c r="W21" s="68"/>
      <c r="X21" s="23"/>
      <c r="Y21" s="68"/>
    </row>
    <row r="22" spans="1:25" ht="23.25" customHeight="1" x14ac:dyDescent="0.25">
      <c r="A22" s="68">
        <v>20</v>
      </c>
      <c r="B22" s="12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25"/>
      <c r="O22" s="68"/>
      <c r="P22" s="12"/>
      <c r="Q22" s="12"/>
      <c r="R22" s="68"/>
      <c r="S22" s="2"/>
      <c r="T22" s="2"/>
      <c r="U22" s="2"/>
      <c r="V22" s="12"/>
      <c r="W22" s="68"/>
      <c r="X22" s="23"/>
      <c r="Y22" s="68"/>
    </row>
    <row r="23" spans="1:25" ht="63" customHeight="1" x14ac:dyDescent="0.25">
      <c r="A23" s="68">
        <v>21</v>
      </c>
      <c r="B23" s="12"/>
      <c r="C23" s="68"/>
      <c r="D23" s="68"/>
      <c r="E23" s="68"/>
      <c r="F23" s="68"/>
      <c r="G23" s="68"/>
      <c r="H23" s="68"/>
      <c r="I23" s="68"/>
      <c r="J23" s="68"/>
      <c r="K23" s="68"/>
      <c r="L23" s="4"/>
      <c r="M23" s="68"/>
      <c r="N23" s="68"/>
      <c r="O23" s="21"/>
      <c r="P23" s="68"/>
      <c r="Q23" s="12"/>
      <c r="R23" s="68"/>
      <c r="S23" s="68"/>
      <c r="T23" s="68"/>
      <c r="U23" s="68"/>
      <c r="V23" s="68"/>
      <c r="W23" s="68"/>
      <c r="X23" s="23"/>
      <c r="Y23" s="68"/>
    </row>
    <row r="24" spans="1:25" ht="23.25" customHeight="1" x14ac:dyDescent="0.25">
      <c r="A24" s="68">
        <v>22</v>
      </c>
      <c r="B24" s="12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12"/>
      <c r="R24" s="68"/>
      <c r="S24" s="68"/>
      <c r="T24" s="68"/>
      <c r="U24" s="68"/>
      <c r="V24" s="68"/>
      <c r="W24" s="68"/>
      <c r="X24" s="23"/>
      <c r="Y24" s="68"/>
    </row>
    <row r="25" spans="1:25" ht="23.25" customHeight="1" x14ac:dyDescent="0.25">
      <c r="A25" s="68">
        <v>23</v>
      </c>
      <c r="B25" s="12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12"/>
      <c r="R25" s="68"/>
      <c r="S25" s="68"/>
      <c r="T25" s="68"/>
      <c r="U25" s="68"/>
      <c r="V25" s="68"/>
      <c r="W25" s="68"/>
      <c r="X25" s="23"/>
      <c r="Y25" s="68"/>
    </row>
    <row r="26" spans="1:25" ht="23.25" customHeight="1" x14ac:dyDescent="0.25">
      <c r="A26" s="68">
        <v>24</v>
      </c>
      <c r="B26" s="12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12"/>
      <c r="R26" s="68"/>
      <c r="S26" s="68"/>
      <c r="T26" s="68"/>
      <c r="U26" s="68"/>
      <c r="V26" s="68"/>
      <c r="W26" s="68"/>
      <c r="X26" s="23"/>
      <c r="Y26" s="68"/>
    </row>
    <row r="27" spans="1:25" ht="23.25" customHeight="1" x14ac:dyDescent="0.25">
      <c r="A27" s="68">
        <v>25</v>
      </c>
      <c r="B27" s="12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12"/>
      <c r="R27" s="68"/>
      <c r="S27" s="68"/>
      <c r="T27" s="68"/>
      <c r="U27" s="68"/>
      <c r="V27" s="68"/>
      <c r="W27" s="68"/>
      <c r="X27" s="23"/>
      <c r="Y27" s="68"/>
    </row>
    <row r="28" spans="1:25" ht="22.5" customHeight="1" x14ac:dyDescent="0.25">
      <c r="A28" s="68">
        <v>26</v>
      </c>
      <c r="B28" s="12"/>
      <c r="C28" s="68"/>
      <c r="D28" s="68"/>
      <c r="E28" s="68"/>
      <c r="F28" s="68"/>
      <c r="G28" s="68"/>
      <c r="H28" s="68"/>
      <c r="I28" s="68"/>
      <c r="J28" s="68"/>
      <c r="K28" s="68"/>
      <c r="L28" s="4"/>
      <c r="M28" s="68"/>
      <c r="N28" s="68"/>
      <c r="O28" s="68"/>
      <c r="P28" s="68"/>
      <c r="Q28" s="12"/>
      <c r="R28" s="68"/>
      <c r="S28" s="68"/>
      <c r="T28" s="68"/>
      <c r="U28" s="68"/>
      <c r="V28" s="68"/>
      <c r="W28" s="68"/>
      <c r="X28" s="23"/>
      <c r="Y28" s="68"/>
    </row>
    <row r="29" spans="1:25" ht="20.25" customHeight="1" x14ac:dyDescent="0.25">
      <c r="A29" s="68">
        <v>27</v>
      </c>
      <c r="B29" s="12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12"/>
      <c r="R29" s="68"/>
      <c r="S29" s="68"/>
      <c r="T29" s="68"/>
      <c r="U29" s="68"/>
      <c r="V29" s="68"/>
      <c r="W29" s="68"/>
      <c r="X29" s="23"/>
      <c r="Y29" s="68"/>
    </row>
    <row r="30" spans="1:25" x14ac:dyDescent="0.25">
      <c r="A30" s="68">
        <v>28</v>
      </c>
      <c r="B30" s="12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12"/>
      <c r="R30" s="68"/>
      <c r="S30" s="68"/>
      <c r="T30" s="68"/>
      <c r="U30" s="68"/>
      <c r="V30" s="68"/>
      <c r="W30" s="68"/>
      <c r="X30" s="23"/>
      <c r="Y30" s="68"/>
    </row>
    <row r="31" spans="1:25" x14ac:dyDescent="0.25">
      <c r="A31" s="68">
        <v>29</v>
      </c>
      <c r="B31" s="12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12"/>
      <c r="R31" s="68"/>
      <c r="S31" s="68"/>
      <c r="T31" s="68"/>
      <c r="U31" s="68"/>
      <c r="V31" s="68"/>
      <c r="W31" s="68"/>
      <c r="X31" s="23"/>
      <c r="Y31" s="68"/>
    </row>
    <row r="32" spans="1:25" x14ac:dyDescent="0.25">
      <c r="A32" s="68">
        <v>30</v>
      </c>
      <c r="B32" s="12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12"/>
      <c r="R32" s="68"/>
      <c r="S32" s="68"/>
      <c r="T32" s="68"/>
      <c r="U32" s="68"/>
      <c r="V32" s="68"/>
      <c r="W32" s="68"/>
      <c r="X32" s="23"/>
      <c r="Y32" s="68"/>
    </row>
    <row r="33" spans="1:25" x14ac:dyDescent="0.25">
      <c r="A33" s="68">
        <v>31</v>
      </c>
      <c r="B33" s="12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12"/>
      <c r="R33" s="68"/>
      <c r="S33" s="68"/>
      <c r="T33" s="68"/>
      <c r="U33" s="68"/>
      <c r="V33" s="68"/>
      <c r="W33" s="68"/>
      <c r="X33" s="23"/>
      <c r="Y33" s="68"/>
    </row>
    <row r="34" spans="1:25" x14ac:dyDescent="0.25">
      <c r="A34" s="68">
        <v>32</v>
      </c>
      <c r="B34" s="12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12"/>
      <c r="R34" s="68"/>
      <c r="S34" s="68"/>
      <c r="T34" s="68"/>
      <c r="U34" s="68"/>
      <c r="V34" s="68"/>
      <c r="W34" s="68"/>
      <c r="X34" s="23"/>
      <c r="Y34" s="68"/>
    </row>
    <row r="35" spans="1:25" x14ac:dyDescent="0.25">
      <c r="A35" s="68">
        <v>33</v>
      </c>
      <c r="B35" s="12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12"/>
      <c r="R35" s="68"/>
      <c r="S35" s="68"/>
      <c r="T35" s="68"/>
      <c r="U35" s="68"/>
      <c r="V35" s="68"/>
      <c r="W35" s="68"/>
      <c r="X35" s="23"/>
      <c r="Y35" s="68"/>
    </row>
    <row r="36" spans="1:25" x14ac:dyDescent="0.25">
      <c r="A36" s="68">
        <v>34</v>
      </c>
      <c r="B36" s="12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12"/>
      <c r="R36" s="68"/>
      <c r="S36" s="68"/>
      <c r="T36" s="68"/>
      <c r="U36" s="68"/>
      <c r="V36" s="68"/>
      <c r="W36" s="68"/>
      <c r="X36" s="23"/>
      <c r="Y36" s="68"/>
    </row>
    <row r="37" spans="1:25" x14ac:dyDescent="0.25">
      <c r="A37" s="68">
        <v>35</v>
      </c>
      <c r="B37" s="12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12"/>
      <c r="R37" s="68"/>
      <c r="S37" s="68"/>
      <c r="T37" s="68"/>
      <c r="U37" s="68"/>
      <c r="V37" s="68"/>
      <c r="W37" s="68"/>
      <c r="X37" s="23"/>
      <c r="Y37" s="68"/>
    </row>
    <row r="38" spans="1:25" x14ac:dyDescent="0.25">
      <c r="A38" s="68">
        <v>36</v>
      </c>
      <c r="B38" s="12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12"/>
      <c r="R38" s="68"/>
      <c r="S38" s="68"/>
      <c r="T38" s="68"/>
      <c r="U38" s="68"/>
      <c r="V38" s="68"/>
      <c r="W38" s="68"/>
      <c r="X38" s="23"/>
      <c r="Y38" s="68"/>
    </row>
    <row r="39" spans="1:25" x14ac:dyDescent="0.25">
      <c r="A39" s="68">
        <v>37</v>
      </c>
      <c r="B39" s="12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12"/>
      <c r="R39" s="68"/>
      <c r="S39" s="68"/>
      <c r="T39" s="68"/>
      <c r="U39" s="68"/>
      <c r="V39" s="68"/>
      <c r="W39" s="68"/>
      <c r="X39" s="23"/>
      <c r="Y39" s="68"/>
    </row>
    <row r="40" spans="1:25" x14ac:dyDescent="0.25">
      <c r="A40" s="68">
        <v>38</v>
      </c>
      <c r="B40" s="12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12"/>
      <c r="R40" s="68"/>
      <c r="S40" s="68"/>
      <c r="T40" s="68"/>
      <c r="U40" s="68"/>
      <c r="V40" s="68"/>
      <c r="W40" s="68"/>
      <c r="X40" s="23"/>
      <c r="Y40" s="68"/>
    </row>
    <row r="41" spans="1:25" x14ac:dyDescent="0.25">
      <c r="A41" s="68"/>
      <c r="B41" s="12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12"/>
      <c r="R41" s="68"/>
      <c r="S41" s="68"/>
      <c r="T41" s="68"/>
      <c r="U41" s="68"/>
      <c r="V41" s="68"/>
      <c r="W41" s="68"/>
      <c r="X41" s="23"/>
      <c r="Y41" s="68"/>
    </row>
    <row r="42" spans="1:25" x14ac:dyDescent="0.25">
      <c r="A42" s="68"/>
      <c r="B42" s="12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12"/>
      <c r="R42" s="68"/>
      <c r="S42" s="68"/>
      <c r="T42" s="68"/>
      <c r="U42" s="68"/>
      <c r="V42" s="68"/>
      <c r="W42" s="68"/>
      <c r="X42" s="23"/>
      <c r="Y42" s="68"/>
    </row>
    <row r="43" spans="1:25" x14ac:dyDescent="0.25">
      <c r="A43" s="68"/>
      <c r="B43" s="12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12"/>
      <c r="R43" s="68"/>
      <c r="S43" s="68"/>
      <c r="T43" s="68"/>
      <c r="U43" s="68"/>
      <c r="V43" s="68"/>
      <c r="W43" s="68"/>
      <c r="X43" s="23"/>
      <c r="Y43" s="68"/>
    </row>
    <row r="44" spans="1:25" x14ac:dyDescent="0.25">
      <c r="A44" s="68"/>
      <c r="B44" s="12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12"/>
      <c r="R44" s="68"/>
      <c r="S44" s="68"/>
      <c r="T44" s="68"/>
      <c r="U44" s="68"/>
      <c r="V44" s="68"/>
      <c r="W44" s="68"/>
      <c r="X44" s="23"/>
      <c r="Y44" s="68"/>
    </row>
    <row r="45" spans="1:25" x14ac:dyDescent="0.25">
      <c r="A45" s="68"/>
      <c r="B45" s="12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12"/>
      <c r="R45" s="68"/>
      <c r="S45" s="68"/>
      <c r="T45" s="68"/>
      <c r="U45" s="68"/>
      <c r="V45" s="68"/>
      <c r="W45" s="68"/>
      <c r="X45" s="23"/>
      <c r="Y45" s="68"/>
    </row>
    <row r="46" spans="1:25" x14ac:dyDescent="0.25">
      <c r="A46" s="68"/>
      <c r="B46" s="12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12"/>
      <c r="R46" s="68"/>
      <c r="S46" s="68"/>
      <c r="T46" s="68"/>
      <c r="U46" s="68"/>
      <c r="V46" s="68"/>
      <c r="W46" s="68"/>
      <c r="X46" s="23"/>
      <c r="Y46" s="68"/>
    </row>
    <row r="47" spans="1:25" x14ac:dyDescent="0.25">
      <c r="A47" s="68"/>
      <c r="B47" s="12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12"/>
      <c r="R47" s="68"/>
      <c r="S47" s="68"/>
      <c r="T47" s="68"/>
      <c r="U47" s="68"/>
      <c r="V47" s="68"/>
      <c r="W47" s="68"/>
      <c r="X47" s="23"/>
      <c r="Y47" s="68"/>
    </row>
    <row r="48" spans="1:25" x14ac:dyDescent="0.25">
      <c r="A48" s="68"/>
      <c r="B48" s="12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12"/>
      <c r="R48" s="68"/>
      <c r="S48" s="68"/>
      <c r="T48" s="68"/>
      <c r="U48" s="68"/>
      <c r="V48" s="68"/>
      <c r="W48" s="68"/>
      <c r="X48" s="23"/>
      <c r="Y48" s="68"/>
    </row>
    <row r="49" spans="1:25" x14ac:dyDescent="0.25">
      <c r="A49" s="68"/>
      <c r="B49" s="12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12"/>
      <c r="R49" s="68"/>
      <c r="S49" s="68"/>
      <c r="T49" s="68"/>
      <c r="U49" s="68"/>
      <c r="V49" s="68"/>
      <c r="W49" s="68"/>
      <c r="X49" s="23"/>
      <c r="Y49" s="68"/>
    </row>
    <row r="50" spans="1:25" x14ac:dyDescent="0.25">
      <c r="A50" s="68"/>
      <c r="B50" s="12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12"/>
      <c r="R50" s="68"/>
      <c r="S50" s="68"/>
      <c r="T50" s="68"/>
      <c r="U50" s="68"/>
      <c r="V50" s="68"/>
      <c r="W50" s="68"/>
      <c r="X50" s="23"/>
      <c r="Y50" s="68"/>
    </row>
    <row r="51" spans="1:25" x14ac:dyDescent="0.25">
      <c r="A51" s="68"/>
      <c r="B51" s="12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12"/>
      <c r="R51" s="68"/>
      <c r="S51" s="68"/>
      <c r="T51" s="68"/>
      <c r="U51" s="68"/>
      <c r="V51" s="68"/>
      <c r="W51" s="68"/>
      <c r="X51" s="23"/>
      <c r="Y51" s="68"/>
    </row>
    <row r="52" spans="1:25" x14ac:dyDescent="0.25">
      <c r="A52" s="68"/>
      <c r="B52" s="12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12"/>
      <c r="R52" s="68"/>
      <c r="S52" s="68"/>
      <c r="T52" s="68"/>
      <c r="U52" s="68"/>
      <c r="V52" s="68"/>
      <c r="W52" s="68"/>
      <c r="X52" s="23"/>
      <c r="Y52" s="68"/>
    </row>
    <row r="53" spans="1:25" x14ac:dyDescent="0.25">
      <c r="A53" s="68"/>
      <c r="B53" s="12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12"/>
      <c r="R53" s="68"/>
      <c r="S53" s="68"/>
      <c r="T53" s="68"/>
      <c r="U53" s="68"/>
      <c r="V53" s="68"/>
      <c r="W53" s="68"/>
      <c r="X53" s="23"/>
      <c r="Y53" s="68"/>
    </row>
    <row r="54" spans="1:25" x14ac:dyDescent="0.25">
      <c r="A54" s="68"/>
      <c r="B54" s="12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12"/>
      <c r="R54" s="68"/>
      <c r="S54" s="68"/>
      <c r="T54" s="68"/>
      <c r="U54" s="68"/>
      <c r="V54" s="68"/>
      <c r="W54" s="68"/>
      <c r="X54" s="23"/>
      <c r="Y54" s="68"/>
    </row>
    <row r="55" spans="1:25" x14ac:dyDescent="0.25">
      <c r="A55" s="68"/>
      <c r="B55" s="12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12"/>
      <c r="R55" s="68"/>
      <c r="S55" s="68"/>
      <c r="T55" s="68"/>
      <c r="U55" s="68"/>
      <c r="V55" s="68"/>
      <c r="W55" s="68"/>
      <c r="X55" s="23"/>
      <c r="Y55" s="68"/>
    </row>
    <row r="56" spans="1:25" x14ac:dyDescent="0.25">
      <c r="A56" s="68"/>
      <c r="B56" s="12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12"/>
      <c r="R56" s="68"/>
      <c r="S56" s="68"/>
      <c r="T56" s="68"/>
      <c r="U56" s="68"/>
      <c r="V56" s="68"/>
      <c r="W56" s="68"/>
      <c r="X56" s="23"/>
      <c r="Y56" s="68"/>
    </row>
    <row r="57" spans="1:25" x14ac:dyDescent="0.25">
      <c r="A57" s="68"/>
      <c r="B57" s="12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12"/>
      <c r="R57" s="68"/>
      <c r="S57" s="68"/>
      <c r="T57" s="68"/>
      <c r="U57" s="68"/>
      <c r="V57" s="68"/>
      <c r="W57" s="68"/>
      <c r="X57" s="23"/>
      <c r="Y57" s="68"/>
    </row>
    <row r="58" spans="1:25" x14ac:dyDescent="0.25">
      <c r="A58" s="68"/>
      <c r="B58" s="12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12"/>
      <c r="R58" s="68"/>
      <c r="S58" s="68"/>
      <c r="T58" s="68"/>
      <c r="U58" s="68"/>
      <c r="V58" s="68"/>
      <c r="W58" s="68"/>
      <c r="X58" s="23" t="str">
        <f t="shared" ref="X58:X69" si="0">IF(D58="","",HYPERLINK("\\192.168.40.5\smb\2018-2019\"&amp;D58&amp;".pdf","XEM"))</f>
        <v/>
      </c>
      <c r="Y58" s="68"/>
    </row>
    <row r="59" spans="1:25" x14ac:dyDescent="0.25">
      <c r="A59" s="68"/>
      <c r="B59" s="12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12"/>
      <c r="R59" s="68"/>
      <c r="S59" s="68"/>
      <c r="T59" s="68"/>
      <c r="U59" s="68"/>
      <c r="V59" s="68"/>
      <c r="W59" s="68"/>
      <c r="X59" s="23" t="str">
        <f t="shared" si="0"/>
        <v/>
      </c>
      <c r="Y59" s="68"/>
    </row>
    <row r="60" spans="1:25" x14ac:dyDescent="0.25">
      <c r="A60" s="68"/>
      <c r="B60" s="12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12"/>
      <c r="R60" s="68"/>
      <c r="S60" s="68"/>
      <c r="T60" s="68"/>
      <c r="U60" s="68"/>
      <c r="V60" s="68"/>
      <c r="W60" s="68"/>
      <c r="X60" s="23" t="str">
        <f t="shared" si="0"/>
        <v/>
      </c>
      <c r="Y60" s="68"/>
    </row>
    <row r="61" spans="1:25" x14ac:dyDescent="0.25">
      <c r="A61" s="68"/>
      <c r="B61" s="12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12"/>
      <c r="R61" s="68"/>
      <c r="S61" s="68"/>
      <c r="T61" s="68"/>
      <c r="U61" s="68"/>
      <c r="V61" s="68"/>
      <c r="W61" s="68"/>
      <c r="X61" s="23" t="str">
        <f t="shared" si="0"/>
        <v/>
      </c>
      <c r="Y61" s="68"/>
    </row>
    <row r="62" spans="1:25" x14ac:dyDescent="0.25">
      <c r="A62" s="68"/>
      <c r="B62" s="12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12"/>
      <c r="R62" s="68"/>
      <c r="S62" s="68"/>
      <c r="T62" s="68"/>
      <c r="U62" s="68"/>
      <c r="V62" s="68"/>
      <c r="W62" s="68"/>
      <c r="X62" s="23" t="str">
        <f t="shared" si="0"/>
        <v/>
      </c>
      <c r="Y62" s="68"/>
    </row>
    <row r="63" spans="1:25" x14ac:dyDescent="0.25">
      <c r="A63" s="68"/>
      <c r="B63" s="12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12"/>
      <c r="R63" s="68"/>
      <c r="S63" s="68"/>
      <c r="T63" s="68"/>
      <c r="U63" s="68"/>
      <c r="V63" s="68"/>
      <c r="W63" s="68"/>
      <c r="X63" s="23" t="str">
        <f t="shared" si="0"/>
        <v/>
      </c>
      <c r="Y63" s="68"/>
    </row>
    <row r="64" spans="1:25" x14ac:dyDescent="0.25">
      <c r="A64" s="68"/>
      <c r="B64" s="12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12"/>
      <c r="R64" s="68"/>
      <c r="S64" s="68"/>
      <c r="T64" s="68"/>
      <c r="U64" s="68"/>
      <c r="V64" s="68"/>
      <c r="W64" s="68"/>
      <c r="X64" s="23" t="str">
        <f t="shared" si="0"/>
        <v/>
      </c>
      <c r="Y64" s="68"/>
    </row>
    <row r="65" spans="1:25" x14ac:dyDescent="0.25">
      <c r="A65" s="68"/>
      <c r="B65" s="12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12"/>
      <c r="R65" s="68"/>
      <c r="S65" s="68"/>
      <c r="T65" s="68"/>
      <c r="U65" s="68"/>
      <c r="V65" s="68"/>
      <c r="W65" s="68"/>
      <c r="X65" s="23" t="str">
        <f t="shared" si="0"/>
        <v/>
      </c>
      <c r="Y65" s="68"/>
    </row>
    <row r="66" spans="1:25" x14ac:dyDescent="0.25">
      <c r="A66" s="68"/>
      <c r="B66" s="12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12"/>
      <c r="R66" s="68"/>
      <c r="S66" s="68"/>
      <c r="T66" s="68"/>
      <c r="U66" s="68"/>
      <c r="V66" s="68"/>
      <c r="W66" s="68"/>
      <c r="X66" s="23" t="str">
        <f t="shared" si="0"/>
        <v/>
      </c>
      <c r="Y66" s="68"/>
    </row>
    <row r="67" spans="1:25" x14ac:dyDescent="0.25">
      <c r="A67" s="68"/>
      <c r="B67" s="12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12"/>
      <c r="R67" s="68"/>
      <c r="S67" s="68"/>
      <c r="T67" s="68"/>
      <c r="U67" s="68"/>
      <c r="V67" s="68"/>
      <c r="W67" s="68"/>
      <c r="X67" s="23" t="str">
        <f t="shared" si="0"/>
        <v/>
      </c>
      <c r="Y67" s="68"/>
    </row>
    <row r="68" spans="1:25" x14ac:dyDescent="0.25">
      <c r="A68" s="68"/>
      <c r="B68" s="12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12"/>
      <c r="R68" s="68"/>
      <c r="S68" s="68"/>
      <c r="T68" s="68"/>
      <c r="U68" s="68"/>
      <c r="V68" s="68"/>
      <c r="W68" s="68"/>
      <c r="X68" s="23" t="str">
        <f t="shared" si="0"/>
        <v/>
      </c>
      <c r="Y68" s="68"/>
    </row>
    <row r="69" spans="1:25" x14ac:dyDescent="0.25">
      <c r="A69" s="68"/>
      <c r="B69" s="12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12"/>
      <c r="R69" s="68"/>
      <c r="S69" s="68"/>
      <c r="T69" s="68"/>
      <c r="U69" s="68"/>
      <c r="V69" s="68"/>
      <c r="W69" s="68"/>
      <c r="X69" s="23" t="str">
        <f t="shared" si="0"/>
        <v/>
      </c>
      <c r="Y69" s="68"/>
    </row>
  </sheetData>
  <mergeCells count="2">
    <mergeCell ref="A1:L1"/>
    <mergeCell ref="M1:W1"/>
  </mergeCells>
  <hyperlinks>
    <hyperlink ref="N15" r:id="rId1" xr:uid="{44C232D0-A24A-4DEA-A822-366638ACE61C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220D-69E6-4604-B022-D7836225A902}">
  <dimension ref="A1:H31"/>
  <sheetViews>
    <sheetView workbookViewId="0">
      <selection activeCell="J3" sqref="J3"/>
    </sheetView>
  </sheetViews>
  <sheetFormatPr defaultColWidth="9.140625" defaultRowHeight="14.25" x14ac:dyDescent="0.2"/>
  <cols>
    <col min="1" max="1" width="4" style="5" bestFit="1" customWidth="1"/>
    <col min="2" max="2" width="10.7109375" style="5" customWidth="1"/>
    <col min="3" max="3" width="12.28515625" style="5" customWidth="1"/>
    <col min="4" max="4" width="30.5703125" style="5" customWidth="1"/>
    <col min="5" max="5" width="11" style="5" bestFit="1" customWidth="1"/>
    <col min="6" max="6" width="11" style="5" customWidth="1"/>
    <col min="7" max="7" width="15.42578125" style="5" customWidth="1"/>
    <col min="8" max="8" width="6.85546875" style="5" customWidth="1"/>
    <col min="9" max="16384" width="9.140625" style="5"/>
  </cols>
  <sheetData>
    <row r="1" spans="1:8" ht="27.75" customHeight="1" x14ac:dyDescent="0.2">
      <c r="D1" s="94" t="s">
        <v>15</v>
      </c>
      <c r="E1" s="94"/>
      <c r="F1" s="94"/>
      <c r="G1" s="94"/>
    </row>
    <row r="2" spans="1:8" x14ac:dyDescent="0.2">
      <c r="D2" s="6"/>
      <c r="E2" s="6"/>
      <c r="F2" s="6"/>
      <c r="G2" s="6"/>
    </row>
    <row r="3" spans="1:8" s="10" customFormat="1" ht="30" x14ac:dyDescent="0.25">
      <c r="A3" s="8" t="s">
        <v>11</v>
      </c>
      <c r="B3" s="9" t="s">
        <v>17</v>
      </c>
      <c r="C3" s="9" t="s">
        <v>16</v>
      </c>
      <c r="D3" s="9" t="s">
        <v>18</v>
      </c>
      <c r="E3" s="9" t="s">
        <v>19</v>
      </c>
      <c r="F3" s="9" t="s">
        <v>20</v>
      </c>
      <c r="G3" s="8" t="s">
        <v>9</v>
      </c>
      <c r="H3" s="8" t="s">
        <v>13</v>
      </c>
    </row>
    <row r="4" spans="1:8" ht="24" customHeight="1" x14ac:dyDescent="0.2">
      <c r="A4" s="7">
        <v>1</v>
      </c>
      <c r="B4" s="7"/>
      <c r="C4" s="7"/>
      <c r="D4" s="7"/>
      <c r="E4" s="7"/>
      <c r="F4" s="7"/>
      <c r="G4" s="7"/>
      <c r="H4" s="7"/>
    </row>
    <row r="5" spans="1:8" ht="24" customHeight="1" x14ac:dyDescent="0.2">
      <c r="A5" s="7"/>
      <c r="B5" s="7"/>
      <c r="C5" s="7"/>
      <c r="D5" s="7"/>
      <c r="E5" s="7"/>
      <c r="F5" s="7"/>
      <c r="G5" s="7"/>
      <c r="H5" s="7"/>
    </row>
    <row r="6" spans="1:8" ht="24" customHeight="1" x14ac:dyDescent="0.2">
      <c r="A6" s="7"/>
      <c r="B6" s="7"/>
      <c r="C6" s="7"/>
      <c r="D6" s="7"/>
      <c r="E6" s="7"/>
      <c r="F6" s="7"/>
      <c r="G6" s="7"/>
      <c r="H6" s="7"/>
    </row>
    <row r="7" spans="1:8" ht="24" customHeight="1" x14ac:dyDescent="0.2">
      <c r="A7" s="7"/>
      <c r="B7" s="7"/>
      <c r="C7" s="7"/>
      <c r="D7" s="7"/>
      <c r="E7" s="7"/>
      <c r="F7" s="7"/>
      <c r="G7" s="7"/>
      <c r="H7" s="7"/>
    </row>
    <row r="8" spans="1:8" ht="24" customHeight="1" x14ac:dyDescent="0.2">
      <c r="A8" s="7"/>
      <c r="B8" s="7"/>
      <c r="C8" s="7"/>
      <c r="D8" s="7"/>
      <c r="E8" s="7"/>
      <c r="F8" s="7"/>
      <c r="G8" s="7"/>
      <c r="H8" s="7"/>
    </row>
    <row r="9" spans="1:8" ht="24" customHeight="1" x14ac:dyDescent="0.2">
      <c r="A9" s="7"/>
      <c r="B9" s="7"/>
      <c r="C9" s="7"/>
      <c r="D9" s="7"/>
      <c r="E9" s="7"/>
      <c r="F9" s="7"/>
      <c r="G9" s="7"/>
      <c r="H9" s="7"/>
    </row>
    <row r="10" spans="1:8" ht="24" customHeight="1" x14ac:dyDescent="0.2">
      <c r="A10" s="7"/>
      <c r="B10" s="7"/>
      <c r="C10" s="7"/>
      <c r="D10" s="7"/>
      <c r="E10" s="7"/>
      <c r="F10" s="7"/>
      <c r="G10" s="7"/>
      <c r="H10" s="7"/>
    </row>
    <row r="11" spans="1:8" ht="24" customHeight="1" x14ac:dyDescent="0.2">
      <c r="A11" s="7"/>
      <c r="B11" s="7"/>
      <c r="C11" s="7"/>
      <c r="D11" s="7"/>
      <c r="E11" s="7"/>
      <c r="F11" s="7"/>
      <c r="G11" s="7"/>
      <c r="H11" s="7"/>
    </row>
    <row r="12" spans="1:8" ht="24" customHeight="1" x14ac:dyDescent="0.2">
      <c r="A12" s="7"/>
      <c r="B12" s="7"/>
      <c r="C12" s="7"/>
      <c r="D12" s="7"/>
      <c r="E12" s="7"/>
      <c r="F12" s="7"/>
      <c r="G12" s="7"/>
      <c r="H12" s="7"/>
    </row>
    <row r="13" spans="1:8" ht="24" customHeight="1" x14ac:dyDescent="0.2">
      <c r="A13" s="7"/>
      <c r="B13" s="7"/>
      <c r="C13" s="7"/>
      <c r="D13" s="7"/>
      <c r="E13" s="7"/>
      <c r="F13" s="7"/>
      <c r="G13" s="7"/>
      <c r="H13" s="7"/>
    </row>
    <row r="14" spans="1:8" ht="24" customHeight="1" x14ac:dyDescent="0.2">
      <c r="A14" s="7"/>
      <c r="B14" s="7"/>
      <c r="C14" s="7"/>
      <c r="D14" s="7"/>
      <c r="E14" s="7"/>
      <c r="F14" s="7"/>
      <c r="G14" s="7"/>
      <c r="H14" s="7"/>
    </row>
    <row r="15" spans="1:8" ht="24" customHeight="1" x14ac:dyDescent="0.2">
      <c r="A15" s="7"/>
      <c r="B15" s="7"/>
      <c r="C15" s="7"/>
      <c r="D15" s="7"/>
      <c r="E15" s="7"/>
      <c r="F15" s="7"/>
      <c r="G15" s="7"/>
      <c r="H15" s="7"/>
    </row>
    <row r="16" spans="1:8" ht="24" customHeight="1" x14ac:dyDescent="0.2">
      <c r="A16" s="7"/>
      <c r="B16" s="7"/>
      <c r="C16" s="7"/>
      <c r="D16" s="7"/>
      <c r="E16" s="7"/>
      <c r="F16" s="7"/>
      <c r="G16" s="7"/>
      <c r="H16" s="7"/>
    </row>
    <row r="17" spans="1:8" ht="24" customHeight="1" x14ac:dyDescent="0.2">
      <c r="A17" s="7"/>
      <c r="B17" s="7"/>
      <c r="C17" s="7"/>
      <c r="D17" s="7"/>
      <c r="E17" s="7"/>
      <c r="F17" s="7"/>
      <c r="G17" s="7"/>
      <c r="H17" s="7"/>
    </row>
    <row r="18" spans="1:8" ht="24" customHeight="1" x14ac:dyDescent="0.2">
      <c r="A18" s="7"/>
      <c r="B18" s="7"/>
      <c r="C18" s="7"/>
      <c r="D18" s="7"/>
      <c r="E18" s="7"/>
      <c r="F18" s="7"/>
      <c r="G18" s="7"/>
      <c r="H18" s="7"/>
    </row>
    <row r="19" spans="1:8" ht="24" customHeight="1" x14ac:dyDescent="0.2">
      <c r="A19" s="7"/>
      <c r="B19" s="7"/>
      <c r="C19" s="7"/>
      <c r="D19" s="7"/>
      <c r="E19" s="7"/>
      <c r="F19" s="7"/>
      <c r="G19" s="7"/>
      <c r="H19" s="7"/>
    </row>
    <row r="20" spans="1:8" ht="24" customHeight="1" x14ac:dyDescent="0.2">
      <c r="A20" s="7"/>
      <c r="B20" s="7"/>
      <c r="C20" s="7"/>
      <c r="D20" s="7"/>
      <c r="E20" s="7"/>
      <c r="F20" s="7"/>
      <c r="G20" s="7"/>
      <c r="H20" s="7"/>
    </row>
    <row r="21" spans="1:8" ht="24" customHeight="1" x14ac:dyDescent="0.2">
      <c r="A21" s="7"/>
      <c r="B21" s="7"/>
      <c r="C21" s="7"/>
      <c r="D21" s="7"/>
      <c r="E21" s="7"/>
      <c r="F21" s="7"/>
      <c r="G21" s="7"/>
      <c r="H21" s="7"/>
    </row>
    <row r="22" spans="1:8" ht="24" customHeight="1" x14ac:dyDescent="0.2">
      <c r="A22" s="7"/>
      <c r="B22" s="7"/>
      <c r="C22" s="7"/>
      <c r="D22" s="7"/>
      <c r="E22" s="7"/>
      <c r="F22" s="7"/>
      <c r="G22" s="7"/>
      <c r="H22" s="7"/>
    </row>
    <row r="23" spans="1:8" ht="24" customHeight="1" x14ac:dyDescent="0.2">
      <c r="A23" s="7"/>
      <c r="B23" s="7"/>
      <c r="C23" s="7"/>
      <c r="D23" s="7"/>
      <c r="E23" s="7"/>
      <c r="F23" s="7"/>
      <c r="G23" s="7"/>
      <c r="H23" s="7"/>
    </row>
    <row r="24" spans="1:8" ht="24" customHeight="1" x14ac:dyDescent="0.2">
      <c r="A24" s="7"/>
      <c r="B24" s="7"/>
      <c r="C24" s="7"/>
      <c r="D24" s="7"/>
      <c r="E24" s="7"/>
      <c r="F24" s="7"/>
      <c r="G24" s="7"/>
      <c r="H24" s="7"/>
    </row>
    <row r="25" spans="1:8" ht="24" customHeight="1" x14ac:dyDescent="0.2">
      <c r="A25" s="7"/>
      <c r="B25" s="7"/>
      <c r="C25" s="7"/>
      <c r="D25" s="7"/>
      <c r="E25" s="7"/>
      <c r="F25" s="7"/>
      <c r="G25" s="7"/>
      <c r="H25" s="7"/>
    </row>
    <row r="26" spans="1:8" ht="24" customHeight="1" x14ac:dyDescent="0.2">
      <c r="A26" s="7"/>
      <c r="B26" s="7"/>
      <c r="C26" s="7"/>
      <c r="D26" s="7"/>
      <c r="E26" s="7"/>
      <c r="F26" s="7"/>
      <c r="G26" s="7"/>
      <c r="H26" s="7"/>
    </row>
    <row r="27" spans="1:8" ht="24" customHeight="1" x14ac:dyDescent="0.2">
      <c r="A27" s="7"/>
      <c r="B27" s="7"/>
      <c r="C27" s="7"/>
      <c r="D27" s="7"/>
      <c r="E27" s="7"/>
      <c r="F27" s="7"/>
      <c r="G27" s="7"/>
      <c r="H27" s="7"/>
    </row>
    <row r="28" spans="1:8" ht="24" customHeight="1" x14ac:dyDescent="0.2">
      <c r="A28" s="7"/>
      <c r="B28" s="7"/>
      <c r="C28" s="7"/>
      <c r="D28" s="7"/>
      <c r="E28" s="7"/>
      <c r="F28" s="7"/>
      <c r="G28" s="7"/>
      <c r="H28" s="7"/>
    </row>
    <row r="29" spans="1:8" ht="24" customHeight="1" x14ac:dyDescent="0.2">
      <c r="A29" s="7"/>
      <c r="B29" s="7"/>
      <c r="C29" s="7"/>
      <c r="D29" s="7"/>
      <c r="E29" s="7"/>
      <c r="F29" s="7"/>
      <c r="G29" s="7"/>
      <c r="H29" s="7"/>
    </row>
    <row r="30" spans="1:8" ht="24" customHeight="1" x14ac:dyDescent="0.2">
      <c r="A30" s="7"/>
      <c r="B30" s="7"/>
      <c r="C30" s="7"/>
      <c r="D30" s="7"/>
      <c r="E30" s="7"/>
      <c r="F30" s="7"/>
      <c r="G30" s="7"/>
      <c r="H30" s="7"/>
    </row>
    <row r="31" spans="1:8" ht="24" customHeight="1" x14ac:dyDescent="0.2">
      <c r="A31" s="7"/>
      <c r="B31" s="7"/>
      <c r="C31" s="7"/>
      <c r="D31" s="7"/>
      <c r="E31" s="7"/>
      <c r="F31" s="7"/>
      <c r="G31" s="7"/>
      <c r="H31" s="7"/>
    </row>
  </sheetData>
  <mergeCells count="1">
    <mergeCell ref="D1:G1"/>
  </mergeCells>
  <pageMargins left="0.17" right="0.17" top="0.48" bottom="0.37" header="0.3" footer="0.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 OK</vt:lpstr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10649 Cuong</dc:creator>
  <cp:lastModifiedBy>Cokhi CX</cp:lastModifiedBy>
  <cp:lastPrinted>2024-10-11T02:33:51Z</cp:lastPrinted>
  <dcterms:created xsi:type="dcterms:W3CDTF">2015-06-05T18:17:20Z</dcterms:created>
  <dcterms:modified xsi:type="dcterms:W3CDTF">2026-03-30T10:47:17Z</dcterms:modified>
</cp:coreProperties>
</file>