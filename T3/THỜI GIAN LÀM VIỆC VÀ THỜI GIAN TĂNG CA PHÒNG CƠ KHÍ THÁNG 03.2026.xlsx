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_cokhi\Du_Lieu_TD\Chi_So_KPI_MMK\13042026\T3\"/>
    </mc:Choice>
  </mc:AlternateContent>
  <xr:revisionPtr revIDLastSave="0" documentId="13_ncr:1_{308CB807-A1E5-4323-AC17-70CB07E8158E}" xr6:coauthVersionLast="47" xr6:coauthVersionMax="47" xr10:uidLastSave="{00000000-0000-0000-0000-000000000000}"/>
  <bookViews>
    <workbookView xWindow="-108" yWindow="-108" windowWidth="23256" windowHeight="13896" xr2:uid="{4279D496-A796-4287-A9CB-57A5287D90FD}"/>
  </bookViews>
  <sheets>
    <sheet name="GOC" sheetId="1" r:id="rId1"/>
    <sheet name="NVTT" sheetId="3" r:id="rId2"/>
    <sheet name="TONG" sheetId="2" r:id="rId3"/>
    <sheet name="TRUC TIEP" sheetId="5" r:id="rId4"/>
    <sheet name="GIAN TIEP" sheetId="6" r:id="rId5"/>
  </sheets>
  <definedNames>
    <definedName name="_xlnm._FilterDatabase" localSheetId="4" hidden="1">'GIAN TIEP'!$A$2:$K$2</definedName>
    <definedName name="_xlnm._FilterDatabase" localSheetId="0" hidden="1">GOC!$A$2:$K$94</definedName>
    <definedName name="_xlnm._FilterDatabase" localSheetId="3" hidden="1">'TRUC TIEP'!$A$2:$K$2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6" l="1"/>
  <c r="J7" i="6"/>
  <c r="J6" i="6"/>
  <c r="L6" i="6"/>
  <c r="L4" i="6"/>
  <c r="L5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3" i="6"/>
  <c r="L22" i="6" s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3" i="5"/>
  <c r="L74" i="5" s="1"/>
  <c r="L9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3" i="2"/>
  <c r="I22" i="6"/>
  <c r="H22" i="6"/>
  <c r="G22" i="6"/>
  <c r="F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5" i="6"/>
  <c r="J4" i="6"/>
  <c r="J3" i="6"/>
  <c r="J22" i="6"/>
  <c r="I74" i="5"/>
  <c r="H74" i="5"/>
  <c r="G74" i="5"/>
  <c r="F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74" i="5" s="1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I93" i="2" l="1"/>
  <c r="H93" i="2"/>
  <c r="G93" i="2"/>
  <c r="F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93" i="2" s="1"/>
  <c r="I94" i="1"/>
  <c r="H94" i="1"/>
  <c r="G94" i="1"/>
  <c r="F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94" i="1" s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<sst xmlns="http://schemas.openxmlformats.org/spreadsheetml/2006/main" count="941" uniqueCount="237">
  <si>
    <t>THỜI GIAN LÀM VIỆC VÀ THỜI GIAN TĂNG CA PHÒNG CƠ KHÍ THÁNG 03/2026</t>
  </si>
  <si>
    <t>STT</t>
  </si>
  <si>
    <t>MNV</t>
    <phoneticPr fontId="0"/>
  </si>
  <si>
    <t>Họ</t>
  </si>
  <si>
    <t>Tên</t>
  </si>
  <si>
    <t>Ngày vào 
công ty</t>
    <phoneticPr fontId="0"/>
  </si>
  <si>
    <t>Thời gian làm việc thực tế
(Phút)</t>
  </si>
  <si>
    <t>Thời gian làm việc thực tế
(Giờ)</t>
  </si>
  <si>
    <t>Số giờ tăng ca thực tế (cột EK)
(1)</t>
  </si>
  <si>
    <t>有給休憩付与
Số giờ cộng giờ
(2)</t>
  </si>
  <si>
    <t>Số giờ 
được tính
 tăng ca
(1+2)</t>
  </si>
  <si>
    <t>GHI CHÚ</t>
  </si>
  <si>
    <t>NGUYỄN TRÍ</t>
  </si>
  <si>
    <t>TRUNG</t>
  </si>
  <si>
    <t>01/04/2006</t>
  </si>
  <si>
    <t>ĐẶNG VĂN</t>
  </si>
  <si>
    <t>THÀNH</t>
  </si>
  <si>
    <t>02/01/2007</t>
  </si>
  <si>
    <t>VÕ VĂN</t>
  </si>
  <si>
    <t>THỊNH</t>
  </si>
  <si>
    <t>16/07/2007</t>
  </si>
  <si>
    <t>LÊ VĂN</t>
  </si>
  <si>
    <t>ĐỨC</t>
  </si>
  <si>
    <t>HUỲNH MINH</t>
  </si>
  <si>
    <t>VŨ</t>
  </si>
  <si>
    <t>VĂN BÁ</t>
  </si>
  <si>
    <t>NGÂN</t>
  </si>
  <si>
    <t>19/07/2007</t>
  </si>
  <si>
    <t>HỒ QUỐC</t>
  </si>
  <si>
    <t>THẮNG</t>
  </si>
  <si>
    <t>14/02/2008</t>
  </si>
  <si>
    <t>NGUYỄN VĂN</t>
  </si>
  <si>
    <t>TỚI</t>
  </si>
  <si>
    <t>18/03/2008</t>
  </si>
  <si>
    <t>PHẠM VÕ TRƯỜNG</t>
  </si>
  <si>
    <t>GIANG</t>
  </si>
  <si>
    <t>14/08/2008</t>
  </si>
  <si>
    <t>HOÀNG TRỌNG</t>
  </si>
  <si>
    <t>THẾ</t>
  </si>
  <si>
    <t>VÕ THANH</t>
  </si>
  <si>
    <t>LƯỢM</t>
  </si>
  <si>
    <t>15/08/2008</t>
  </si>
  <si>
    <t>PHAN THANH</t>
  </si>
  <si>
    <t>DŨNG</t>
  </si>
  <si>
    <t>08/10/2008</t>
  </si>
  <si>
    <t>TRƯƠNG</t>
  </si>
  <si>
    <t>THÁI</t>
  </si>
  <si>
    <t>15/06/2009</t>
  </si>
  <si>
    <t>NGUYỄN TẤN</t>
  </si>
  <si>
    <t>SƠN</t>
  </si>
  <si>
    <t>02/10/2009</t>
  </si>
  <si>
    <t>NGUYỄN NGỌC</t>
  </si>
  <si>
    <t>HOÀNG</t>
  </si>
  <si>
    <t>05/10/2010</t>
  </si>
  <si>
    <t>NGUYỄN ĐÌNH</t>
  </si>
  <si>
    <t>TÝ</t>
  </si>
  <si>
    <t>19/04/2011</t>
  </si>
  <si>
    <t>NGUYỄN PHƯỚC</t>
  </si>
  <si>
    <t>SƠ</t>
  </si>
  <si>
    <t>15/07/2011</t>
  </si>
  <si>
    <t>LÊ TẤN</t>
  </si>
  <si>
    <t>CƯỜNG</t>
  </si>
  <si>
    <t>22/10/2011</t>
  </si>
  <si>
    <t>TRẦN PHƯỚC</t>
  </si>
  <si>
    <t>KẾ</t>
  </si>
  <si>
    <t>HÀ VĂN</t>
  </si>
  <si>
    <t>18/01/2012</t>
  </si>
  <si>
    <t>CHÂU VĂN</t>
  </si>
  <si>
    <t>LONG</t>
  </si>
  <si>
    <t>10/03/2012</t>
  </si>
  <si>
    <t>HỨA TRUNG</t>
  </si>
  <si>
    <t>DU</t>
  </si>
  <si>
    <t>28/10/2013</t>
  </si>
  <si>
    <t>NGUYỄN</t>
  </si>
  <si>
    <t>18/01/2018</t>
  </si>
  <si>
    <t>PHAN VĂN</t>
  </si>
  <si>
    <t>CẢ</t>
  </si>
  <si>
    <t>06/02/2018</t>
  </si>
  <si>
    <t>PHƯƠNG</t>
  </si>
  <si>
    <t>16/04/2018</t>
  </si>
  <si>
    <t>NGUYỄN ĐĂNG</t>
  </si>
  <si>
    <t>08/06/2018</t>
  </si>
  <si>
    <t>HOÀNG VĂN</t>
  </si>
  <si>
    <t>LINH</t>
  </si>
  <si>
    <t>28/06/2018</t>
  </si>
  <si>
    <t>TRẦN VĂN</t>
  </si>
  <si>
    <t>QUÝ</t>
  </si>
  <si>
    <t>TRẦN ĐĂNG</t>
  </si>
  <si>
    <t>KHA</t>
  </si>
  <si>
    <t>09/07/2018</t>
  </si>
  <si>
    <t>PHẠM XUÂN</t>
  </si>
  <si>
    <t>25/08/2018</t>
  </si>
  <si>
    <t>ĐẶNG CÔNG</t>
  </si>
  <si>
    <t>LỈNH</t>
  </si>
  <si>
    <t>12/10/2018</t>
  </si>
  <si>
    <t>10/11/2018</t>
  </si>
  <si>
    <t>TRẦN QUỐC</t>
  </si>
  <si>
    <t>NGUYỄN QUANG</t>
  </si>
  <si>
    <t>CHƯƠNG</t>
  </si>
  <si>
    <t>04/12/2018</t>
  </si>
  <si>
    <t>LÊ ĐẮC</t>
  </si>
  <si>
    <t>ÚT</t>
  </si>
  <si>
    <t>25/02/2019</t>
  </si>
  <si>
    <t>TRỊNH ĐÌNH</t>
  </si>
  <si>
    <t>TÚ</t>
  </si>
  <si>
    <t>ĐỖ VĂN</t>
  </si>
  <si>
    <t>28/02/2019</t>
  </si>
  <si>
    <t>NGUYỄN THÀNH</t>
  </si>
  <si>
    <t>LAM</t>
  </si>
  <si>
    <t>LÊ CẢNH</t>
  </si>
  <si>
    <t>DUY</t>
  </si>
  <si>
    <t>12/03/2019</t>
  </si>
  <si>
    <t>QUÂN</t>
  </si>
  <si>
    <t>14/03/2019</t>
  </si>
  <si>
    <t>TRẦN VIẾT</t>
  </si>
  <si>
    <t>TUẤN</t>
  </si>
  <si>
    <t>LÊ TUẤN</t>
  </si>
  <si>
    <t>ANH</t>
  </si>
  <si>
    <t>NGUYỄN ĐẮC</t>
  </si>
  <si>
    <t>BA</t>
  </si>
  <si>
    <t>03/04/2019</t>
  </si>
  <si>
    <t>BÙI ĐỨC</t>
  </si>
  <si>
    <t>PHƯỚC</t>
  </si>
  <si>
    <t>VANG</t>
  </si>
  <si>
    <t>26/06/2019</t>
  </si>
  <si>
    <t>ĐINH QUANG</t>
  </si>
  <si>
    <t>03/08/2019</t>
  </si>
  <si>
    <t>PHẠM THÀNH</t>
  </si>
  <si>
    <t>ĐÔ</t>
  </si>
  <si>
    <t>12/08/2019</t>
  </si>
  <si>
    <t>LÊ QUÝ</t>
  </si>
  <si>
    <t>TRÚC</t>
  </si>
  <si>
    <t>26/09/2019</t>
  </si>
  <si>
    <t>TẠO</t>
  </si>
  <si>
    <t>19/11/2019</t>
  </si>
  <si>
    <t>DIỆN</t>
  </si>
  <si>
    <t>NGUYỄN NHƯ</t>
  </si>
  <si>
    <t>LỘC</t>
  </si>
  <si>
    <t>18/02/2020</t>
  </si>
  <si>
    <t>26/02/2020</t>
  </si>
  <si>
    <t>HOÀNG SỸ</t>
  </si>
  <si>
    <t>22/08/2020</t>
  </si>
  <si>
    <t>LÊ THANH</t>
  </si>
  <si>
    <t>THÔI</t>
  </si>
  <si>
    <t>PHẠM CÔNG</t>
  </si>
  <si>
    <t>03/09/2020</t>
  </si>
  <si>
    <t>PHẠM TRỌNG</t>
  </si>
  <si>
    <t>NGHIÊM</t>
  </si>
  <si>
    <t>10/09/2020</t>
  </si>
  <si>
    <t>VĂN QUANG</t>
  </si>
  <si>
    <t>SÁNG</t>
  </si>
  <si>
    <t>14/09/2020</t>
  </si>
  <si>
    <t>NGUYỄN QUỐC</t>
  </si>
  <si>
    <t>03/10/2020</t>
  </si>
  <si>
    <t>PHẠM QUÝ</t>
  </si>
  <si>
    <t>BẢO</t>
  </si>
  <si>
    <t>19/11/2020</t>
  </si>
  <si>
    <t>LÀNH</t>
  </si>
  <si>
    <t>TRẦN TRIỆU</t>
  </si>
  <si>
    <t>19/01/2021</t>
  </si>
  <si>
    <t>BÌNH</t>
  </si>
  <si>
    <t>26/01/2021</t>
  </si>
  <si>
    <t>TIÊN</t>
  </si>
  <si>
    <t>05/03/2021</t>
  </si>
  <si>
    <t>NGUYỄN DUY</t>
  </si>
  <si>
    <t>19/03/2021</t>
  </si>
  <si>
    <t>NGUYỄN HOÀNG</t>
  </si>
  <si>
    <t>THAO</t>
  </si>
  <si>
    <t>22/04/2021</t>
  </si>
  <si>
    <t>VÕ CHÍ</t>
  </si>
  <si>
    <t>TÂM</t>
  </si>
  <si>
    <t>09/06/2021</t>
  </si>
  <si>
    <t>DƯƠNG NHỊ</t>
  </si>
  <si>
    <t>PHAN ĐÌNH</t>
  </si>
  <si>
    <t>HƯNG</t>
  </si>
  <si>
    <t>18/10/2021</t>
  </si>
  <si>
    <t>LÊ PHƯỚC</t>
  </si>
  <si>
    <t>25/10/2021</t>
  </si>
  <si>
    <t>PHẠM VĂN</t>
  </si>
  <si>
    <t>HIỀN</t>
  </si>
  <si>
    <t>08/01/2022</t>
  </si>
  <si>
    <t>THUÂN</t>
  </si>
  <si>
    <t>17/02/2022</t>
  </si>
  <si>
    <t>BÙI HOÀNG</t>
  </si>
  <si>
    <t>TIẾN</t>
  </si>
  <si>
    <t>30/05/2022</t>
  </si>
  <si>
    <t>NAM</t>
  </si>
  <si>
    <t>07/07/2022</t>
  </si>
  <si>
    <t>DUẨN</t>
  </si>
  <si>
    <t>09/02/2023</t>
  </si>
  <si>
    <t>TÙNG</t>
  </si>
  <si>
    <t>15/02/2023</t>
  </si>
  <si>
    <t>LÊ</t>
  </si>
  <si>
    <t>ZÔN</t>
  </si>
  <si>
    <t>06/03/2023</t>
  </si>
  <si>
    <t>TRƯƠNG TẤT</t>
  </si>
  <si>
    <t>QUỲNH</t>
  </si>
  <si>
    <t>13/03/2023</t>
  </si>
  <si>
    <t>ĐỖ XUÂN</t>
  </si>
  <si>
    <t>HÙNG</t>
  </si>
  <si>
    <t>NHỚ</t>
  </si>
  <si>
    <t>22/05/2024</t>
  </si>
  <si>
    <t>PHẠM THỊ THU</t>
  </si>
  <si>
    <t>SƯƠNG</t>
  </si>
  <si>
    <t>10/08/2006</t>
  </si>
  <si>
    <t>HOÀNG THỊ</t>
  </si>
  <si>
    <t>HẰNG</t>
  </si>
  <si>
    <t>02/10/2006</t>
  </si>
  <si>
    <t>PHẠM THỊ</t>
  </si>
  <si>
    <t>20/04/2007</t>
  </si>
  <si>
    <t>TRƯƠNG THỊ</t>
  </si>
  <si>
    <t>HÀ</t>
  </si>
  <si>
    <t>25/05/2012</t>
  </si>
  <si>
    <t>NGUYỄN THỊ KIM</t>
  </si>
  <si>
    <t>LIÊN</t>
  </si>
  <si>
    <t>04/09/2013</t>
  </si>
  <si>
    <t>PHAN THỊ</t>
  </si>
  <si>
    <t>HƯƠNG</t>
  </si>
  <si>
    <t>29/08/2017</t>
  </si>
  <si>
    <t>NGUYỄN THỊ TRANG</t>
  </si>
  <si>
    <t>19/05/2018</t>
  </si>
  <si>
    <t>NGÔ THỊ</t>
  </si>
  <si>
    <t>VIỆT</t>
  </si>
  <si>
    <t>LÊ THỊ</t>
  </si>
  <si>
    <t>ÁNH</t>
  </si>
  <si>
    <t>18/03/2019</t>
  </si>
  <si>
    <t>TRẦN THỊ</t>
  </si>
  <si>
    <t>AN</t>
  </si>
  <si>
    <t>12/06/2019</t>
  </si>
  <si>
    <t>PHƯƠNG DIỆU</t>
  </si>
  <si>
    <t>ẨN</t>
  </si>
  <si>
    <t>LÊ THỊ MỸ</t>
  </si>
  <si>
    <t>14/02/2022</t>
  </si>
  <si>
    <t>TỔNG</t>
  </si>
  <si>
    <t>truc tiep</t>
  </si>
  <si>
    <t>ts</t>
  </si>
  <si>
    <t>dclv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</si>
</sst>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5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0" fontId="4" fillId="0" borderId="3" xfId="1" applyNumberFormat="1" applyFont="1" applyBorder="1" applyAlignment="1">
      <alignment horizontal="center" vertical="center" wrapText="1"/>
    </xf>
    <xf numFmtId="40" fontId="3" fillId="0" borderId="3" xfId="1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40" fontId="8" fillId="2" borderId="3" xfId="0" applyNumberFormat="1" applyFont="1" applyFill="1" applyBorder="1" applyAlignment="1">
      <alignment horizontal="right" vertical="center"/>
    </xf>
    <xf numFmtId="40" fontId="0" fillId="0" borderId="0" xfId="0" applyNumberFormat="1"/>
    <xf numFmtId="40" fontId="6" fillId="0" borderId="0" xfId="0" applyNumberFormat="1" applyFont="1" applyAlignment="1">
      <alignment horizontal="center" vertical="center"/>
    </xf>
    <xf numFmtId="164" fontId="0" fillId="0" borderId="0" xfId="2" applyNumberFormat="1" applyFont="1"/>
    <xf numFmtId="164" fontId="0" fillId="0" borderId="0" xfId="0" applyNumberFormat="1"/>
    <xf numFmtId="164" fontId="10" fillId="0" borderId="0" xfId="2" applyNumberFormat="1" applyFont="1"/>
    <xf numFmtId="164" fontId="11" fillId="0" borderId="0" xfId="2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04E5-6430-401D-B4CC-7E7C8C387D3A}">
  <sheetPr>
    <outlinePr summaryBelow="0"/>
  </sheetPr>
  <dimension ref="A1:K96"/>
  <sheetViews>
    <sheetView tabSelected="1" zoomScaleNormal="100" workbookViewId="0">
      <pane xSplit="5" ySplit="7" topLeftCell="F8" activePane="bottomRight" state="frozen"/>
      <selection pane="topRight" activeCell="F1" sqref="F1"/>
      <selection pane="bottomLeft" activeCell="A10" sqref="A10"/>
      <selection pane="bottomRight" activeCell="K11" sqref="K11"/>
    </sheetView>
  </sheetViews>
  <sheetFormatPr defaultColWidth="9.109375" defaultRowHeight="14.4" x14ac:dyDescent="0.3"/>
  <cols>
    <col min="2" max="2" width="6.88671875" customWidth="1"/>
    <col min="3" max="3" width="24.6640625" customWidth="1"/>
    <col min="4" max="4" width="12.33203125" customWidth="1"/>
    <col min="5" max="5" width="12.6640625" customWidth="1"/>
    <col min="6" max="9" width="19.6640625" customWidth="1"/>
    <col min="10" max="10" width="13.44140625" customWidth="1"/>
    <col min="11" max="11" width="35.109375" customWidth="1"/>
  </cols>
  <sheetData>
    <row r="1" spans="1:11" s="1" customFormat="1" ht="32.2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s="4" customFormat="1" ht="63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</row>
    <row r="3" spans="1:11" s="10" customFormat="1" ht="16.5" customHeight="1" x14ac:dyDescent="0.3">
      <c r="A3" s="5">
        <v>1</v>
      </c>
      <c r="B3" s="5">
        <v>10064</v>
      </c>
      <c r="C3" s="6" t="s">
        <v>12</v>
      </c>
      <c r="D3" s="5" t="s">
        <v>13</v>
      </c>
      <c r="E3" s="5" t="s">
        <v>14</v>
      </c>
      <c r="F3" s="7">
        <v>10290</v>
      </c>
      <c r="G3" s="7">
        <v>171.5</v>
      </c>
      <c r="H3" s="7">
        <v>0</v>
      </c>
      <c r="I3" s="7">
        <v>0</v>
      </c>
      <c r="J3" s="8">
        <f t="shared" ref="J3:J66" si="0">H3+I3</f>
        <v>0</v>
      </c>
      <c r="K3" s="9"/>
    </row>
    <row r="4" spans="1:11" s="10" customFormat="1" ht="16.5" customHeight="1" x14ac:dyDescent="0.3">
      <c r="A4" s="5">
        <v>2</v>
      </c>
      <c r="B4" s="5">
        <v>10135</v>
      </c>
      <c r="C4" s="6" t="s">
        <v>15</v>
      </c>
      <c r="D4" s="5" t="s">
        <v>16</v>
      </c>
      <c r="E4" s="5" t="s">
        <v>17</v>
      </c>
      <c r="F4" s="7">
        <v>11029.6</v>
      </c>
      <c r="G4" s="7">
        <v>183.83</v>
      </c>
      <c r="H4" s="7">
        <v>21.59</v>
      </c>
      <c r="I4" s="7">
        <v>0</v>
      </c>
      <c r="J4" s="8">
        <f t="shared" si="0"/>
        <v>21.59</v>
      </c>
      <c r="K4" s="9"/>
    </row>
    <row r="5" spans="1:11" s="10" customFormat="1" ht="16.5" customHeight="1" x14ac:dyDescent="0.3">
      <c r="A5" s="5">
        <v>3</v>
      </c>
      <c r="B5" s="5">
        <v>10197</v>
      </c>
      <c r="C5" s="6" t="s">
        <v>18</v>
      </c>
      <c r="D5" s="5" t="s">
        <v>19</v>
      </c>
      <c r="E5" s="5" t="s">
        <v>20</v>
      </c>
      <c r="F5" s="7">
        <v>11519.6</v>
      </c>
      <c r="G5" s="7">
        <v>191.99</v>
      </c>
      <c r="H5" s="7">
        <v>19.84</v>
      </c>
      <c r="I5" s="7">
        <v>0</v>
      </c>
      <c r="J5" s="8">
        <f t="shared" si="0"/>
        <v>19.84</v>
      </c>
      <c r="K5" s="9"/>
    </row>
    <row r="6" spans="1:11" s="10" customFormat="1" ht="16.5" customHeight="1" x14ac:dyDescent="0.3">
      <c r="A6" s="5">
        <v>4</v>
      </c>
      <c r="B6" s="5">
        <v>10200</v>
      </c>
      <c r="C6" s="6" t="s">
        <v>21</v>
      </c>
      <c r="D6" s="5" t="s">
        <v>22</v>
      </c>
      <c r="E6" s="5" t="s">
        <v>20</v>
      </c>
      <c r="F6" s="7">
        <v>11110</v>
      </c>
      <c r="G6" s="7">
        <v>185.17</v>
      </c>
      <c r="H6" s="7">
        <v>22</v>
      </c>
      <c r="I6" s="7">
        <v>0</v>
      </c>
      <c r="J6" s="8">
        <f t="shared" si="0"/>
        <v>22</v>
      </c>
      <c r="K6" s="9"/>
    </row>
    <row r="7" spans="1:11" s="10" customFormat="1" ht="16.5" customHeight="1" x14ac:dyDescent="0.3">
      <c r="A7" s="5">
        <v>5</v>
      </c>
      <c r="B7" s="5">
        <v>10202</v>
      </c>
      <c r="C7" s="6" t="s">
        <v>23</v>
      </c>
      <c r="D7" s="5" t="s">
        <v>24</v>
      </c>
      <c r="E7" s="5" t="s">
        <v>20</v>
      </c>
      <c r="F7" s="7">
        <v>11029.6</v>
      </c>
      <c r="G7" s="7">
        <v>183.83</v>
      </c>
      <c r="H7" s="7">
        <v>20.84</v>
      </c>
      <c r="I7" s="7">
        <v>0</v>
      </c>
      <c r="J7" s="8">
        <f t="shared" si="0"/>
        <v>20.84</v>
      </c>
      <c r="K7" s="9"/>
    </row>
    <row r="8" spans="1:11" s="10" customFormat="1" ht="16.5" customHeight="1" x14ac:dyDescent="0.3">
      <c r="A8" s="5">
        <v>6</v>
      </c>
      <c r="B8" s="5">
        <v>10206</v>
      </c>
      <c r="C8" s="6" t="s">
        <v>25</v>
      </c>
      <c r="D8" s="5" t="s">
        <v>26</v>
      </c>
      <c r="E8" s="5" t="s">
        <v>27</v>
      </c>
      <c r="F8" s="7">
        <v>8120</v>
      </c>
      <c r="G8" s="7">
        <v>135.33000000000001</v>
      </c>
      <c r="H8" s="7">
        <v>0</v>
      </c>
      <c r="I8" s="7">
        <v>0</v>
      </c>
      <c r="J8" s="8">
        <f t="shared" si="0"/>
        <v>0</v>
      </c>
      <c r="K8" s="9" t="s">
        <v>236</v>
      </c>
    </row>
    <row r="9" spans="1:11" s="10" customFormat="1" ht="16.5" customHeight="1" x14ac:dyDescent="0.3">
      <c r="A9" s="5">
        <v>7</v>
      </c>
      <c r="B9" s="5">
        <v>10297</v>
      </c>
      <c r="C9" s="6" t="s">
        <v>28</v>
      </c>
      <c r="D9" s="5" t="s">
        <v>29</v>
      </c>
      <c r="E9" s="5" t="s">
        <v>30</v>
      </c>
      <c r="F9" s="7">
        <v>10380</v>
      </c>
      <c r="G9" s="7">
        <v>173</v>
      </c>
      <c r="H9" s="7">
        <v>24</v>
      </c>
      <c r="I9" s="7">
        <v>0</v>
      </c>
      <c r="J9" s="8">
        <f t="shared" si="0"/>
        <v>24</v>
      </c>
      <c r="K9" s="9"/>
    </row>
    <row r="10" spans="1:11" s="10" customFormat="1" ht="16.5" customHeight="1" x14ac:dyDescent="0.3">
      <c r="A10" s="5">
        <v>8</v>
      </c>
      <c r="B10" s="5">
        <v>10325</v>
      </c>
      <c r="C10" s="6" t="s">
        <v>31</v>
      </c>
      <c r="D10" s="5" t="s">
        <v>32</v>
      </c>
      <c r="E10" s="5" t="s">
        <v>33</v>
      </c>
      <c r="F10" s="7">
        <v>10835</v>
      </c>
      <c r="G10" s="7">
        <v>180.58</v>
      </c>
      <c r="H10" s="7">
        <v>18.75</v>
      </c>
      <c r="I10" s="7">
        <v>0</v>
      </c>
      <c r="J10" s="8">
        <f t="shared" si="0"/>
        <v>18.75</v>
      </c>
      <c r="K10" s="9"/>
    </row>
    <row r="11" spans="1:11" s="10" customFormat="1" ht="16.5" customHeight="1" x14ac:dyDescent="0.3">
      <c r="A11" s="5">
        <v>9</v>
      </c>
      <c r="B11" s="5">
        <v>10444</v>
      </c>
      <c r="C11" s="6" t="s">
        <v>34</v>
      </c>
      <c r="D11" s="5" t="s">
        <v>35</v>
      </c>
      <c r="E11" s="5" t="s">
        <v>36</v>
      </c>
      <c r="F11" s="7">
        <v>10237</v>
      </c>
      <c r="G11" s="7">
        <v>170.62</v>
      </c>
      <c r="H11" s="7">
        <v>24.75</v>
      </c>
      <c r="I11" s="7">
        <v>0</v>
      </c>
      <c r="J11" s="8">
        <f t="shared" si="0"/>
        <v>24.75</v>
      </c>
      <c r="K11" s="9"/>
    </row>
    <row r="12" spans="1:11" s="10" customFormat="1" ht="16.5" customHeight="1" x14ac:dyDescent="0.3">
      <c r="A12" s="5">
        <v>10</v>
      </c>
      <c r="B12" s="5">
        <v>10446</v>
      </c>
      <c r="C12" s="6" t="s">
        <v>37</v>
      </c>
      <c r="D12" s="5" t="s">
        <v>38</v>
      </c>
      <c r="E12" s="5" t="s">
        <v>36</v>
      </c>
      <c r="F12" s="7">
        <v>11110</v>
      </c>
      <c r="G12" s="7">
        <v>185.17</v>
      </c>
      <c r="H12" s="7">
        <v>22</v>
      </c>
      <c r="I12" s="7">
        <v>0</v>
      </c>
      <c r="J12" s="8">
        <f t="shared" si="0"/>
        <v>22</v>
      </c>
      <c r="K12" s="9"/>
    </row>
    <row r="13" spans="1:11" s="10" customFormat="1" ht="16.5" customHeight="1" x14ac:dyDescent="0.3">
      <c r="A13" s="5">
        <v>11</v>
      </c>
      <c r="B13" s="5">
        <v>10447</v>
      </c>
      <c r="C13" s="6" t="s">
        <v>39</v>
      </c>
      <c r="D13" s="5" t="s">
        <v>40</v>
      </c>
      <c r="E13" s="5" t="s">
        <v>41</v>
      </c>
      <c r="F13" s="7">
        <v>10835</v>
      </c>
      <c r="G13" s="7">
        <v>180.58</v>
      </c>
      <c r="H13" s="7">
        <v>37</v>
      </c>
      <c r="I13" s="7">
        <v>1</v>
      </c>
      <c r="J13" s="8">
        <f t="shared" si="0"/>
        <v>38</v>
      </c>
      <c r="K13" s="9"/>
    </row>
    <row r="14" spans="1:11" s="10" customFormat="1" ht="16.5" customHeight="1" x14ac:dyDescent="0.3">
      <c r="A14" s="5">
        <v>12</v>
      </c>
      <c r="B14" s="5">
        <v>10475</v>
      </c>
      <c r="C14" s="6" t="s">
        <v>42</v>
      </c>
      <c r="D14" s="5" t="s">
        <v>43</v>
      </c>
      <c r="E14" s="5" t="s">
        <v>44</v>
      </c>
      <c r="F14" s="7">
        <v>9470</v>
      </c>
      <c r="G14" s="7">
        <v>157.83000000000001</v>
      </c>
      <c r="H14" s="7">
        <v>17.5</v>
      </c>
      <c r="I14" s="7">
        <v>0</v>
      </c>
      <c r="J14" s="8">
        <f t="shared" si="0"/>
        <v>17.5</v>
      </c>
      <c r="K14" s="9"/>
    </row>
    <row r="15" spans="1:11" s="10" customFormat="1" ht="16.5" customHeight="1" x14ac:dyDescent="0.3">
      <c r="A15" s="5">
        <v>13</v>
      </c>
      <c r="B15" s="5">
        <v>10546</v>
      </c>
      <c r="C15" s="6" t="s">
        <v>45</v>
      </c>
      <c r="D15" s="5" t="s">
        <v>46</v>
      </c>
      <c r="E15" s="5" t="s">
        <v>47</v>
      </c>
      <c r="F15" s="7">
        <v>10835</v>
      </c>
      <c r="G15" s="7">
        <v>180.58</v>
      </c>
      <c r="H15" s="7">
        <v>15.5</v>
      </c>
      <c r="I15" s="7">
        <v>0</v>
      </c>
      <c r="J15" s="8">
        <f t="shared" si="0"/>
        <v>15.5</v>
      </c>
      <c r="K15" s="9"/>
    </row>
    <row r="16" spans="1:11" s="10" customFormat="1" ht="16.5" customHeight="1" x14ac:dyDescent="0.3">
      <c r="A16" s="5">
        <v>14</v>
      </c>
      <c r="B16" s="5">
        <v>10597</v>
      </c>
      <c r="C16" s="6" t="s">
        <v>48</v>
      </c>
      <c r="D16" s="5" t="s">
        <v>49</v>
      </c>
      <c r="E16" s="5" t="s">
        <v>50</v>
      </c>
      <c r="F16" s="7">
        <v>10105</v>
      </c>
      <c r="G16" s="7">
        <v>168.42</v>
      </c>
      <c r="H16" s="7">
        <v>32.25</v>
      </c>
      <c r="I16" s="7">
        <v>1.25</v>
      </c>
      <c r="J16" s="8">
        <f t="shared" si="0"/>
        <v>33.5</v>
      </c>
      <c r="K16" s="9"/>
    </row>
    <row r="17" spans="1:11" s="10" customFormat="1" ht="16.5" customHeight="1" x14ac:dyDescent="0.3">
      <c r="A17" s="5">
        <v>15</v>
      </c>
      <c r="B17" s="5">
        <v>10622</v>
      </c>
      <c r="C17" s="6" t="s">
        <v>51</v>
      </c>
      <c r="D17" s="5" t="s">
        <v>52</v>
      </c>
      <c r="E17" s="5" t="s">
        <v>53</v>
      </c>
      <c r="F17" s="7">
        <v>11110</v>
      </c>
      <c r="G17" s="7">
        <v>185.17</v>
      </c>
      <c r="H17" s="7">
        <v>22</v>
      </c>
      <c r="I17" s="7">
        <v>0</v>
      </c>
      <c r="J17" s="8">
        <f t="shared" si="0"/>
        <v>22</v>
      </c>
      <c r="K17" s="9"/>
    </row>
    <row r="18" spans="1:11" s="10" customFormat="1" ht="16.5" customHeight="1" x14ac:dyDescent="0.3">
      <c r="A18" s="5">
        <v>16</v>
      </c>
      <c r="B18" s="5">
        <v>10637</v>
      </c>
      <c r="C18" s="6" t="s">
        <v>54</v>
      </c>
      <c r="D18" s="5" t="s">
        <v>55</v>
      </c>
      <c r="E18" s="5" t="s">
        <v>56</v>
      </c>
      <c r="F18" s="7">
        <v>9925</v>
      </c>
      <c r="G18" s="7">
        <v>165.42</v>
      </c>
      <c r="H18" s="7">
        <v>7.5</v>
      </c>
      <c r="I18" s="7">
        <v>0</v>
      </c>
      <c r="J18" s="8">
        <f t="shared" si="0"/>
        <v>7.5</v>
      </c>
      <c r="K18" s="9"/>
    </row>
    <row r="19" spans="1:11" s="10" customFormat="1" ht="16.5" customHeight="1" x14ac:dyDescent="0.3">
      <c r="A19" s="5">
        <v>17</v>
      </c>
      <c r="B19" s="5">
        <v>10642</v>
      </c>
      <c r="C19" s="6" t="s">
        <v>57</v>
      </c>
      <c r="D19" s="5" t="s">
        <v>58</v>
      </c>
      <c r="E19" s="5" t="s">
        <v>59</v>
      </c>
      <c r="F19" s="7">
        <v>10560</v>
      </c>
      <c r="G19" s="7">
        <v>176</v>
      </c>
      <c r="H19" s="7">
        <v>15</v>
      </c>
      <c r="I19" s="7">
        <v>0</v>
      </c>
      <c r="J19" s="8">
        <f t="shared" si="0"/>
        <v>15</v>
      </c>
      <c r="K19" s="9"/>
    </row>
    <row r="20" spans="1:11" s="10" customFormat="1" ht="16.5" customHeight="1" x14ac:dyDescent="0.3">
      <c r="A20" s="5">
        <v>18</v>
      </c>
      <c r="B20" s="5">
        <v>10649</v>
      </c>
      <c r="C20" s="6" t="s">
        <v>60</v>
      </c>
      <c r="D20" s="5" t="s">
        <v>61</v>
      </c>
      <c r="E20" s="5" t="s">
        <v>62</v>
      </c>
      <c r="F20" s="7">
        <v>11519.6</v>
      </c>
      <c r="G20" s="7">
        <v>191.99</v>
      </c>
      <c r="H20" s="7">
        <v>20.09</v>
      </c>
      <c r="I20" s="7">
        <v>0</v>
      </c>
      <c r="J20" s="8">
        <f t="shared" si="0"/>
        <v>20.09</v>
      </c>
      <c r="K20" s="9"/>
    </row>
    <row r="21" spans="1:11" s="10" customFormat="1" ht="16.5" customHeight="1" x14ac:dyDescent="0.3">
      <c r="A21" s="5">
        <v>19</v>
      </c>
      <c r="B21" s="5">
        <v>10652</v>
      </c>
      <c r="C21" s="6" t="s">
        <v>63</v>
      </c>
      <c r="D21" s="5" t="s">
        <v>64</v>
      </c>
      <c r="E21" s="5" t="s">
        <v>62</v>
      </c>
      <c r="F21" s="7">
        <v>10835</v>
      </c>
      <c r="G21" s="7">
        <v>180.58</v>
      </c>
      <c r="H21" s="7">
        <v>15.5</v>
      </c>
      <c r="I21" s="7">
        <v>0</v>
      </c>
      <c r="J21" s="8">
        <f t="shared" si="0"/>
        <v>15.5</v>
      </c>
      <c r="K21" s="9"/>
    </row>
    <row r="22" spans="1:11" s="10" customFormat="1" ht="16.5" customHeight="1" x14ac:dyDescent="0.3">
      <c r="A22" s="5">
        <v>20</v>
      </c>
      <c r="B22" s="5">
        <v>10660</v>
      </c>
      <c r="C22" s="6" t="s">
        <v>65</v>
      </c>
      <c r="D22" s="5" t="s">
        <v>29</v>
      </c>
      <c r="E22" s="5" t="s">
        <v>66</v>
      </c>
      <c r="F22" s="7">
        <v>11110</v>
      </c>
      <c r="G22" s="7">
        <v>185.17</v>
      </c>
      <c r="H22" s="7">
        <v>28</v>
      </c>
      <c r="I22" s="7">
        <v>0</v>
      </c>
      <c r="J22" s="8">
        <f t="shared" si="0"/>
        <v>28</v>
      </c>
      <c r="K22" s="9"/>
    </row>
    <row r="23" spans="1:11" s="10" customFormat="1" ht="16.5" customHeight="1" x14ac:dyDescent="0.3">
      <c r="A23" s="5">
        <v>21</v>
      </c>
      <c r="B23" s="5">
        <v>10667</v>
      </c>
      <c r="C23" s="6" t="s">
        <v>67</v>
      </c>
      <c r="D23" s="5" t="s">
        <v>68</v>
      </c>
      <c r="E23" s="5" t="s">
        <v>69</v>
      </c>
      <c r="F23" s="7">
        <v>10105</v>
      </c>
      <c r="G23" s="7">
        <v>168.42</v>
      </c>
      <c r="H23" s="7">
        <v>24</v>
      </c>
      <c r="I23" s="7">
        <v>0</v>
      </c>
      <c r="J23" s="8">
        <f t="shared" si="0"/>
        <v>24</v>
      </c>
      <c r="K23" s="9"/>
    </row>
    <row r="24" spans="1:11" s="10" customFormat="1" ht="16.5" customHeight="1" x14ac:dyDescent="0.3">
      <c r="A24" s="5">
        <v>22</v>
      </c>
      <c r="B24" s="5">
        <v>10713</v>
      </c>
      <c r="C24" s="6" t="s">
        <v>70</v>
      </c>
      <c r="D24" s="5" t="s">
        <v>71</v>
      </c>
      <c r="E24" s="5" t="s">
        <v>72</v>
      </c>
      <c r="F24" s="7">
        <v>10835</v>
      </c>
      <c r="G24" s="7">
        <v>180.58</v>
      </c>
      <c r="H24" s="7">
        <v>29.25</v>
      </c>
      <c r="I24" s="7">
        <v>0.5</v>
      </c>
      <c r="J24" s="8">
        <f t="shared" si="0"/>
        <v>29.75</v>
      </c>
      <c r="K24" s="9"/>
    </row>
    <row r="25" spans="1:11" s="10" customFormat="1" ht="16.5" customHeight="1" x14ac:dyDescent="0.3">
      <c r="A25" s="5">
        <v>23</v>
      </c>
      <c r="B25" s="5">
        <v>11124</v>
      </c>
      <c r="C25" s="6" t="s">
        <v>73</v>
      </c>
      <c r="D25" s="5" t="s">
        <v>49</v>
      </c>
      <c r="E25" s="5" t="s">
        <v>74</v>
      </c>
      <c r="F25" s="7">
        <v>10835</v>
      </c>
      <c r="G25" s="7">
        <v>180.58</v>
      </c>
      <c r="H25" s="7">
        <v>16.5</v>
      </c>
      <c r="I25" s="7">
        <v>0</v>
      </c>
      <c r="J25" s="8">
        <f t="shared" si="0"/>
        <v>16.5</v>
      </c>
      <c r="K25" s="9"/>
    </row>
    <row r="26" spans="1:11" s="10" customFormat="1" ht="16.5" customHeight="1" x14ac:dyDescent="0.3">
      <c r="A26" s="5">
        <v>24</v>
      </c>
      <c r="B26" s="5">
        <v>11139</v>
      </c>
      <c r="C26" s="6" t="s">
        <v>75</v>
      </c>
      <c r="D26" s="5" t="s">
        <v>76</v>
      </c>
      <c r="E26" s="5" t="s">
        <v>77</v>
      </c>
      <c r="F26" s="7">
        <v>0</v>
      </c>
      <c r="G26" s="7">
        <v>0</v>
      </c>
      <c r="H26" s="7">
        <v>0</v>
      </c>
      <c r="I26" s="7">
        <v>0</v>
      </c>
      <c r="J26" s="8">
        <f t="shared" si="0"/>
        <v>0</v>
      </c>
      <c r="K26" s="9"/>
    </row>
    <row r="27" spans="1:11" s="10" customFormat="1" ht="16.5" customHeight="1" x14ac:dyDescent="0.3">
      <c r="A27" s="5">
        <v>25</v>
      </c>
      <c r="B27" s="5">
        <v>11215</v>
      </c>
      <c r="C27" s="6" t="s">
        <v>31</v>
      </c>
      <c r="D27" s="5" t="s">
        <v>78</v>
      </c>
      <c r="E27" s="5" t="s">
        <v>79</v>
      </c>
      <c r="F27" s="7">
        <v>10380</v>
      </c>
      <c r="G27" s="7">
        <v>173</v>
      </c>
      <c r="H27" s="7">
        <v>18.5</v>
      </c>
      <c r="I27" s="7">
        <v>0</v>
      </c>
      <c r="J27" s="8">
        <f t="shared" si="0"/>
        <v>18.5</v>
      </c>
      <c r="K27" s="9"/>
    </row>
    <row r="28" spans="1:11" s="10" customFormat="1" ht="16.5" customHeight="1" x14ac:dyDescent="0.3">
      <c r="A28" s="5">
        <v>26</v>
      </c>
      <c r="B28" s="5">
        <v>11235</v>
      </c>
      <c r="C28" s="6" t="s">
        <v>80</v>
      </c>
      <c r="D28" s="5" t="s">
        <v>16</v>
      </c>
      <c r="E28" s="5" t="s">
        <v>81</v>
      </c>
      <c r="F28" s="7">
        <v>10380</v>
      </c>
      <c r="G28" s="7">
        <v>173</v>
      </c>
      <c r="H28" s="7">
        <v>18.5</v>
      </c>
      <c r="I28" s="7">
        <v>0</v>
      </c>
      <c r="J28" s="8">
        <f t="shared" si="0"/>
        <v>18.5</v>
      </c>
      <c r="K28" s="9"/>
    </row>
    <row r="29" spans="1:11" s="10" customFormat="1" ht="16.5" customHeight="1" x14ac:dyDescent="0.3">
      <c r="A29" s="5">
        <v>27</v>
      </c>
      <c r="B29" s="5">
        <v>11246</v>
      </c>
      <c r="C29" s="6" t="s">
        <v>82</v>
      </c>
      <c r="D29" s="5" t="s">
        <v>83</v>
      </c>
      <c r="E29" s="5" t="s">
        <v>84</v>
      </c>
      <c r="F29" s="7">
        <v>11110</v>
      </c>
      <c r="G29" s="7">
        <v>185.17</v>
      </c>
      <c r="H29" s="7">
        <v>21.5</v>
      </c>
      <c r="I29" s="7">
        <v>0</v>
      </c>
      <c r="J29" s="8">
        <f t="shared" si="0"/>
        <v>21.5</v>
      </c>
      <c r="K29" s="9"/>
    </row>
    <row r="30" spans="1:11" s="10" customFormat="1" ht="16.5" customHeight="1" x14ac:dyDescent="0.3">
      <c r="A30" s="5">
        <v>28</v>
      </c>
      <c r="B30" s="5">
        <v>11247</v>
      </c>
      <c r="C30" s="6" t="s">
        <v>85</v>
      </c>
      <c r="D30" s="5" t="s">
        <v>86</v>
      </c>
      <c r="E30" s="5" t="s">
        <v>84</v>
      </c>
      <c r="F30" s="7">
        <v>10835</v>
      </c>
      <c r="G30" s="7">
        <v>180.58</v>
      </c>
      <c r="H30" s="7">
        <v>34.25</v>
      </c>
      <c r="I30" s="7">
        <v>0.75</v>
      </c>
      <c r="J30" s="8">
        <f t="shared" si="0"/>
        <v>35</v>
      </c>
      <c r="K30" s="9"/>
    </row>
    <row r="31" spans="1:11" s="10" customFormat="1" ht="16.5" customHeight="1" x14ac:dyDescent="0.3">
      <c r="A31" s="5">
        <v>29</v>
      </c>
      <c r="B31" s="5">
        <v>11269</v>
      </c>
      <c r="C31" s="6" t="s">
        <v>87</v>
      </c>
      <c r="D31" s="5" t="s">
        <v>88</v>
      </c>
      <c r="E31" s="5" t="s">
        <v>89</v>
      </c>
      <c r="F31" s="7">
        <v>11110</v>
      </c>
      <c r="G31" s="7">
        <v>185.17</v>
      </c>
      <c r="H31" s="7">
        <v>34</v>
      </c>
      <c r="I31" s="7">
        <v>0</v>
      </c>
      <c r="J31" s="8">
        <f t="shared" si="0"/>
        <v>34</v>
      </c>
      <c r="K31" s="9"/>
    </row>
    <row r="32" spans="1:11" s="10" customFormat="1" ht="16.5" customHeight="1" x14ac:dyDescent="0.3">
      <c r="A32" s="5">
        <v>30</v>
      </c>
      <c r="B32" s="5">
        <v>11325</v>
      </c>
      <c r="C32" s="6" t="s">
        <v>90</v>
      </c>
      <c r="D32" s="5" t="s">
        <v>16</v>
      </c>
      <c r="E32" s="5" t="s">
        <v>91</v>
      </c>
      <c r="F32" s="7">
        <v>10835</v>
      </c>
      <c r="G32" s="7">
        <v>180.58</v>
      </c>
      <c r="H32" s="7">
        <v>18.25</v>
      </c>
      <c r="I32" s="7">
        <v>0</v>
      </c>
      <c r="J32" s="8">
        <f t="shared" si="0"/>
        <v>18.25</v>
      </c>
      <c r="K32" s="9"/>
    </row>
    <row r="33" spans="1:11" s="10" customFormat="1" ht="16.5" customHeight="1" x14ac:dyDescent="0.3">
      <c r="A33" s="5">
        <v>31</v>
      </c>
      <c r="B33" s="5">
        <v>11390</v>
      </c>
      <c r="C33" s="6" t="s">
        <v>92</v>
      </c>
      <c r="D33" s="5" t="s">
        <v>93</v>
      </c>
      <c r="E33" s="5" t="s">
        <v>94</v>
      </c>
      <c r="F33" s="7">
        <v>11110</v>
      </c>
      <c r="G33" s="7">
        <v>185.17</v>
      </c>
      <c r="H33" s="7">
        <v>22</v>
      </c>
      <c r="I33" s="7">
        <v>0</v>
      </c>
      <c r="J33" s="8">
        <f t="shared" si="0"/>
        <v>22</v>
      </c>
      <c r="K33" s="9"/>
    </row>
    <row r="34" spans="1:11" s="10" customFormat="1" ht="16.5" customHeight="1" x14ac:dyDescent="0.3">
      <c r="A34" s="5">
        <v>32</v>
      </c>
      <c r="B34" s="5">
        <v>11444</v>
      </c>
      <c r="C34" s="6" t="s">
        <v>85</v>
      </c>
      <c r="D34" s="5" t="s">
        <v>43</v>
      </c>
      <c r="E34" s="5" t="s">
        <v>95</v>
      </c>
      <c r="F34" s="7">
        <v>10380</v>
      </c>
      <c r="G34" s="7">
        <v>173</v>
      </c>
      <c r="H34" s="7">
        <v>33.5</v>
      </c>
      <c r="I34" s="7">
        <v>0</v>
      </c>
      <c r="J34" s="8">
        <f t="shared" si="0"/>
        <v>33.5</v>
      </c>
      <c r="K34" s="9"/>
    </row>
    <row r="35" spans="1:11" s="10" customFormat="1" ht="16.5" customHeight="1" x14ac:dyDescent="0.3">
      <c r="A35" s="5">
        <v>33</v>
      </c>
      <c r="B35" s="5">
        <v>11447</v>
      </c>
      <c r="C35" s="6" t="s">
        <v>96</v>
      </c>
      <c r="D35" s="5" t="s">
        <v>61</v>
      </c>
      <c r="E35" s="5" t="s">
        <v>95</v>
      </c>
      <c r="F35" s="7">
        <v>7964</v>
      </c>
      <c r="G35" s="7">
        <v>132.72999999999999</v>
      </c>
      <c r="H35" s="7">
        <v>7.25</v>
      </c>
      <c r="I35" s="7">
        <v>0</v>
      </c>
      <c r="J35" s="8">
        <f t="shared" si="0"/>
        <v>7.25</v>
      </c>
      <c r="K35" s="9"/>
    </row>
    <row r="36" spans="1:11" s="10" customFormat="1" ht="16.5" customHeight="1" x14ac:dyDescent="0.3">
      <c r="A36" s="5">
        <v>34</v>
      </c>
      <c r="B36" s="5">
        <v>11484</v>
      </c>
      <c r="C36" s="6" t="s">
        <v>97</v>
      </c>
      <c r="D36" s="5" t="s">
        <v>98</v>
      </c>
      <c r="E36" s="5" t="s">
        <v>99</v>
      </c>
      <c r="F36" s="7">
        <v>10380</v>
      </c>
      <c r="G36" s="7">
        <v>173</v>
      </c>
      <c r="H36" s="7">
        <v>14.5</v>
      </c>
      <c r="I36" s="7">
        <v>0</v>
      </c>
      <c r="J36" s="8">
        <f t="shared" si="0"/>
        <v>14.5</v>
      </c>
      <c r="K36" s="9"/>
    </row>
    <row r="37" spans="1:11" s="10" customFormat="1" ht="16.5" customHeight="1" x14ac:dyDescent="0.3">
      <c r="A37" s="5">
        <v>35</v>
      </c>
      <c r="B37" s="5">
        <v>11517</v>
      </c>
      <c r="C37" s="6" t="s">
        <v>100</v>
      </c>
      <c r="D37" s="5" t="s">
        <v>101</v>
      </c>
      <c r="E37" s="5" t="s">
        <v>102</v>
      </c>
      <c r="F37" s="7">
        <v>10835</v>
      </c>
      <c r="G37" s="7">
        <v>180.58</v>
      </c>
      <c r="H37" s="7">
        <v>13.5</v>
      </c>
      <c r="I37" s="7">
        <v>0</v>
      </c>
      <c r="J37" s="8">
        <f t="shared" si="0"/>
        <v>13.5</v>
      </c>
      <c r="K37" s="9"/>
    </row>
    <row r="38" spans="1:11" s="10" customFormat="1" ht="16.5" customHeight="1" x14ac:dyDescent="0.3">
      <c r="A38" s="5">
        <v>36</v>
      </c>
      <c r="B38" s="5">
        <v>11518</v>
      </c>
      <c r="C38" s="6" t="s">
        <v>103</v>
      </c>
      <c r="D38" s="5" t="s">
        <v>104</v>
      </c>
      <c r="E38" s="5" t="s">
        <v>102</v>
      </c>
      <c r="F38" s="7">
        <v>10835</v>
      </c>
      <c r="G38" s="7">
        <v>180.58</v>
      </c>
      <c r="H38" s="7">
        <v>19.5</v>
      </c>
      <c r="I38" s="7">
        <v>0</v>
      </c>
      <c r="J38" s="8">
        <f t="shared" si="0"/>
        <v>19.5</v>
      </c>
      <c r="K38" s="9"/>
    </row>
    <row r="39" spans="1:11" s="10" customFormat="1" ht="16.5" customHeight="1" x14ac:dyDescent="0.3">
      <c r="A39" s="5">
        <v>37</v>
      </c>
      <c r="B39" s="5">
        <v>11537</v>
      </c>
      <c r="C39" s="6" t="s">
        <v>105</v>
      </c>
      <c r="D39" s="5" t="s">
        <v>52</v>
      </c>
      <c r="E39" s="5" t="s">
        <v>106</v>
      </c>
      <c r="F39" s="7">
        <v>10835</v>
      </c>
      <c r="G39" s="7">
        <v>180.58</v>
      </c>
      <c r="H39" s="7">
        <v>27.75</v>
      </c>
      <c r="I39" s="7">
        <v>0</v>
      </c>
      <c r="J39" s="8">
        <f t="shared" si="0"/>
        <v>27.75</v>
      </c>
      <c r="K39" s="9"/>
    </row>
    <row r="40" spans="1:11" s="10" customFormat="1" ht="16.5" customHeight="1" x14ac:dyDescent="0.3">
      <c r="A40" s="5">
        <v>38</v>
      </c>
      <c r="B40" s="5">
        <v>11538</v>
      </c>
      <c r="C40" s="6" t="s">
        <v>107</v>
      </c>
      <c r="D40" s="5" t="s">
        <v>108</v>
      </c>
      <c r="E40" s="5" t="s">
        <v>106</v>
      </c>
      <c r="F40" s="7">
        <v>10824</v>
      </c>
      <c r="G40" s="7">
        <v>180.4</v>
      </c>
      <c r="H40" s="7">
        <v>17.5</v>
      </c>
      <c r="I40" s="7">
        <v>0</v>
      </c>
      <c r="J40" s="8">
        <f t="shared" si="0"/>
        <v>17.5</v>
      </c>
      <c r="K40" s="9"/>
    </row>
    <row r="41" spans="1:11" s="10" customFormat="1" ht="16.5" customHeight="1" x14ac:dyDescent="0.3">
      <c r="A41" s="5">
        <v>39</v>
      </c>
      <c r="B41" s="5">
        <v>11547</v>
      </c>
      <c r="C41" s="6" t="s">
        <v>109</v>
      </c>
      <c r="D41" s="5" t="s">
        <v>110</v>
      </c>
      <c r="E41" s="5" t="s">
        <v>111</v>
      </c>
      <c r="F41" s="7">
        <v>11110</v>
      </c>
      <c r="G41" s="7">
        <v>185.17</v>
      </c>
      <c r="H41" s="7">
        <v>30.5</v>
      </c>
      <c r="I41" s="7">
        <v>0</v>
      </c>
      <c r="J41" s="8">
        <f t="shared" si="0"/>
        <v>30.5</v>
      </c>
      <c r="K41" s="9"/>
    </row>
    <row r="42" spans="1:11" s="10" customFormat="1" ht="16.5" customHeight="1" x14ac:dyDescent="0.3">
      <c r="A42" s="5">
        <v>40</v>
      </c>
      <c r="B42" s="5">
        <v>11550</v>
      </c>
      <c r="C42" s="6" t="s">
        <v>75</v>
      </c>
      <c r="D42" s="5" t="s">
        <v>112</v>
      </c>
      <c r="E42" s="5" t="s">
        <v>113</v>
      </c>
      <c r="F42" s="7">
        <v>10105</v>
      </c>
      <c r="G42" s="7">
        <v>168.42</v>
      </c>
      <c r="H42" s="7">
        <v>17</v>
      </c>
      <c r="I42" s="7">
        <v>0</v>
      </c>
      <c r="J42" s="8">
        <f t="shared" si="0"/>
        <v>17</v>
      </c>
      <c r="K42" s="9"/>
    </row>
    <row r="43" spans="1:11" s="10" customFormat="1" ht="16.5" customHeight="1" x14ac:dyDescent="0.3">
      <c r="A43" s="5">
        <v>41</v>
      </c>
      <c r="B43" s="5">
        <v>11553</v>
      </c>
      <c r="C43" s="6" t="s">
        <v>114</v>
      </c>
      <c r="D43" s="5" t="s">
        <v>115</v>
      </c>
      <c r="E43" s="5" t="s">
        <v>113</v>
      </c>
      <c r="F43" s="7">
        <v>10835</v>
      </c>
      <c r="G43" s="7">
        <v>180.58</v>
      </c>
      <c r="H43" s="7">
        <v>17.5</v>
      </c>
      <c r="I43" s="7">
        <v>0</v>
      </c>
      <c r="J43" s="8">
        <f t="shared" si="0"/>
        <v>17.5</v>
      </c>
      <c r="K43" s="9"/>
    </row>
    <row r="44" spans="1:11" s="10" customFormat="1" ht="16.5" customHeight="1" x14ac:dyDescent="0.3">
      <c r="A44" s="5">
        <v>42</v>
      </c>
      <c r="B44" s="5">
        <v>11554</v>
      </c>
      <c r="C44" s="6" t="s">
        <v>116</v>
      </c>
      <c r="D44" s="5" t="s">
        <v>117</v>
      </c>
      <c r="E44" s="5" t="s">
        <v>113</v>
      </c>
      <c r="F44" s="7">
        <v>10835</v>
      </c>
      <c r="G44" s="7">
        <v>180.58</v>
      </c>
      <c r="H44" s="7">
        <v>19.5</v>
      </c>
      <c r="I44" s="7">
        <v>0</v>
      </c>
      <c r="J44" s="8">
        <f t="shared" si="0"/>
        <v>19.5</v>
      </c>
      <c r="K44" s="9"/>
    </row>
    <row r="45" spans="1:11" s="10" customFormat="1" ht="16.5" customHeight="1" x14ac:dyDescent="0.3">
      <c r="A45" s="5">
        <v>43</v>
      </c>
      <c r="B45" s="5">
        <v>11589</v>
      </c>
      <c r="C45" s="6" t="s">
        <v>118</v>
      </c>
      <c r="D45" s="5" t="s">
        <v>119</v>
      </c>
      <c r="E45" s="5" t="s">
        <v>120</v>
      </c>
      <c r="F45" s="7">
        <v>11110</v>
      </c>
      <c r="G45" s="7">
        <v>185.17</v>
      </c>
      <c r="H45" s="7">
        <v>22</v>
      </c>
      <c r="I45" s="7">
        <v>0</v>
      </c>
      <c r="J45" s="8">
        <f t="shared" si="0"/>
        <v>22</v>
      </c>
      <c r="K45" s="9"/>
    </row>
    <row r="46" spans="1:11" s="10" customFormat="1" ht="16.5" customHeight="1" x14ac:dyDescent="0.3">
      <c r="A46" s="5">
        <v>44</v>
      </c>
      <c r="B46" s="5">
        <v>11590</v>
      </c>
      <c r="C46" s="6" t="s">
        <v>121</v>
      </c>
      <c r="D46" s="5" t="s">
        <v>122</v>
      </c>
      <c r="E46" s="5" t="s">
        <v>120</v>
      </c>
      <c r="F46" s="7">
        <v>9015</v>
      </c>
      <c r="G46" s="7">
        <v>150.25</v>
      </c>
      <c r="H46" s="7">
        <v>14.5</v>
      </c>
      <c r="I46" s="7">
        <v>0</v>
      </c>
      <c r="J46" s="8">
        <f t="shared" si="0"/>
        <v>14.5</v>
      </c>
      <c r="K46" s="9"/>
    </row>
    <row r="47" spans="1:11" s="10" customFormat="1" ht="16.5" customHeight="1" x14ac:dyDescent="0.3">
      <c r="A47" s="5">
        <v>45</v>
      </c>
      <c r="B47" s="5">
        <v>11656</v>
      </c>
      <c r="C47" s="6" t="s">
        <v>57</v>
      </c>
      <c r="D47" s="5" t="s">
        <v>123</v>
      </c>
      <c r="E47" s="5" t="s">
        <v>124</v>
      </c>
      <c r="F47" s="7">
        <v>10835</v>
      </c>
      <c r="G47" s="7">
        <v>180.58</v>
      </c>
      <c r="H47" s="7">
        <v>27.5</v>
      </c>
      <c r="I47" s="7">
        <v>0</v>
      </c>
      <c r="J47" s="8">
        <f t="shared" si="0"/>
        <v>27.5</v>
      </c>
      <c r="K47" s="9"/>
    </row>
    <row r="48" spans="1:11" s="10" customFormat="1" ht="16.5" customHeight="1" x14ac:dyDescent="0.3">
      <c r="A48" s="5">
        <v>46</v>
      </c>
      <c r="B48" s="5">
        <v>11723</v>
      </c>
      <c r="C48" s="6" t="s">
        <v>125</v>
      </c>
      <c r="D48" s="5" t="s">
        <v>110</v>
      </c>
      <c r="E48" s="5" t="s">
        <v>126</v>
      </c>
      <c r="F48" s="7">
        <v>10809</v>
      </c>
      <c r="G48" s="7">
        <v>180.15</v>
      </c>
      <c r="H48" s="7">
        <v>17.5</v>
      </c>
      <c r="I48" s="7">
        <v>0</v>
      </c>
      <c r="J48" s="8">
        <f t="shared" si="0"/>
        <v>17.5</v>
      </c>
      <c r="K48" s="9"/>
    </row>
    <row r="49" spans="1:11" s="10" customFormat="1" ht="16.5" customHeight="1" x14ac:dyDescent="0.3">
      <c r="A49" s="5">
        <v>47</v>
      </c>
      <c r="B49" s="5">
        <v>11739</v>
      </c>
      <c r="C49" s="6" t="s">
        <v>127</v>
      </c>
      <c r="D49" s="5" t="s">
        <v>128</v>
      </c>
      <c r="E49" s="5" t="s">
        <v>129</v>
      </c>
      <c r="F49" s="7">
        <v>11889.4</v>
      </c>
      <c r="G49" s="7">
        <v>198.16</v>
      </c>
      <c r="H49" s="7">
        <v>27.259999999999998</v>
      </c>
      <c r="I49" s="7">
        <v>0</v>
      </c>
      <c r="J49" s="8">
        <f t="shared" si="0"/>
        <v>27.259999999999998</v>
      </c>
      <c r="K49" s="9"/>
    </row>
    <row r="50" spans="1:11" s="10" customFormat="1" ht="16.5" customHeight="1" x14ac:dyDescent="0.3">
      <c r="A50" s="5">
        <v>48</v>
      </c>
      <c r="B50" s="5">
        <v>11802</v>
      </c>
      <c r="C50" s="6" t="s">
        <v>130</v>
      </c>
      <c r="D50" s="5" t="s">
        <v>131</v>
      </c>
      <c r="E50" s="5" t="s">
        <v>132</v>
      </c>
      <c r="F50" s="7">
        <v>10655</v>
      </c>
      <c r="G50" s="7">
        <v>177.58</v>
      </c>
      <c r="H50" s="7">
        <v>28.75</v>
      </c>
      <c r="I50" s="7">
        <v>0</v>
      </c>
      <c r="J50" s="8">
        <f t="shared" si="0"/>
        <v>28.75</v>
      </c>
      <c r="K50" s="9"/>
    </row>
    <row r="51" spans="1:11" s="10" customFormat="1" ht="16.5" customHeight="1" x14ac:dyDescent="0.3">
      <c r="A51" s="5">
        <v>49</v>
      </c>
      <c r="B51" s="5">
        <v>11812</v>
      </c>
      <c r="C51" s="6" t="s">
        <v>31</v>
      </c>
      <c r="D51" s="5" t="s">
        <v>133</v>
      </c>
      <c r="E51" s="5" t="s">
        <v>134</v>
      </c>
      <c r="F51" s="7">
        <v>10380</v>
      </c>
      <c r="G51" s="7">
        <v>173</v>
      </c>
      <c r="H51" s="7">
        <v>16.5</v>
      </c>
      <c r="I51" s="7">
        <v>0</v>
      </c>
      <c r="J51" s="8">
        <f t="shared" si="0"/>
        <v>16.5</v>
      </c>
      <c r="K51" s="9"/>
    </row>
    <row r="52" spans="1:11" s="10" customFormat="1" ht="16.5" customHeight="1" x14ac:dyDescent="0.3">
      <c r="A52" s="5">
        <v>50</v>
      </c>
      <c r="B52" s="5">
        <v>11813</v>
      </c>
      <c r="C52" s="6" t="s">
        <v>85</v>
      </c>
      <c r="D52" s="5" t="s">
        <v>135</v>
      </c>
      <c r="E52" s="5" t="s">
        <v>134</v>
      </c>
      <c r="F52" s="7">
        <v>10835</v>
      </c>
      <c r="G52" s="7">
        <v>180.58</v>
      </c>
      <c r="H52" s="7">
        <v>19.5</v>
      </c>
      <c r="I52" s="7">
        <v>0</v>
      </c>
      <c r="J52" s="8">
        <f t="shared" si="0"/>
        <v>19.5</v>
      </c>
      <c r="K52" s="9"/>
    </row>
    <row r="53" spans="1:11" s="10" customFormat="1" ht="16.5" customHeight="1" x14ac:dyDescent="0.3">
      <c r="A53" s="5">
        <v>51</v>
      </c>
      <c r="B53" s="5">
        <v>11852</v>
      </c>
      <c r="C53" s="6" t="s">
        <v>136</v>
      </c>
      <c r="D53" s="5" t="s">
        <v>137</v>
      </c>
      <c r="E53" s="5" t="s">
        <v>138</v>
      </c>
      <c r="F53" s="7">
        <v>10835</v>
      </c>
      <c r="G53" s="7">
        <v>180.58</v>
      </c>
      <c r="H53" s="7">
        <v>17.25</v>
      </c>
      <c r="I53" s="7">
        <v>0</v>
      </c>
      <c r="J53" s="8">
        <f t="shared" si="0"/>
        <v>17.25</v>
      </c>
      <c r="K53" s="9"/>
    </row>
    <row r="54" spans="1:11" s="10" customFormat="1" ht="16.5" customHeight="1" x14ac:dyDescent="0.3">
      <c r="A54" s="5">
        <v>52</v>
      </c>
      <c r="B54" s="5">
        <v>11869</v>
      </c>
      <c r="C54" s="6" t="s">
        <v>96</v>
      </c>
      <c r="D54" s="5" t="s">
        <v>61</v>
      </c>
      <c r="E54" s="5" t="s">
        <v>139</v>
      </c>
      <c r="F54" s="7">
        <v>10835</v>
      </c>
      <c r="G54" s="7">
        <v>180.58</v>
      </c>
      <c r="H54" s="7">
        <v>19.5</v>
      </c>
      <c r="I54" s="7">
        <v>0</v>
      </c>
      <c r="J54" s="8">
        <f t="shared" si="0"/>
        <v>19.5</v>
      </c>
      <c r="K54" s="9"/>
    </row>
    <row r="55" spans="1:11" s="10" customFormat="1" ht="16.5" customHeight="1" x14ac:dyDescent="0.3">
      <c r="A55" s="5">
        <v>53</v>
      </c>
      <c r="B55" s="5">
        <v>11925</v>
      </c>
      <c r="C55" s="6" t="s">
        <v>140</v>
      </c>
      <c r="D55" s="5" t="s">
        <v>29</v>
      </c>
      <c r="E55" s="5" t="s">
        <v>141</v>
      </c>
      <c r="F55" s="7">
        <v>11110</v>
      </c>
      <c r="G55" s="7">
        <v>185.17</v>
      </c>
      <c r="H55" s="7">
        <v>34</v>
      </c>
      <c r="I55" s="7">
        <v>0.5</v>
      </c>
      <c r="J55" s="8">
        <f t="shared" si="0"/>
        <v>34.5</v>
      </c>
      <c r="K55" s="9"/>
    </row>
    <row r="56" spans="1:11" s="10" customFormat="1" ht="16.5" customHeight="1" x14ac:dyDescent="0.3">
      <c r="A56" s="5">
        <v>54</v>
      </c>
      <c r="B56" s="5">
        <v>11928</v>
      </c>
      <c r="C56" s="6" t="s">
        <v>142</v>
      </c>
      <c r="D56" s="5" t="s">
        <v>143</v>
      </c>
      <c r="E56" s="5" t="s">
        <v>141</v>
      </c>
      <c r="F56" s="7">
        <v>12259.2</v>
      </c>
      <c r="G56" s="7">
        <v>204.32</v>
      </c>
      <c r="H56" s="7">
        <v>17.68</v>
      </c>
      <c r="I56" s="7">
        <v>0</v>
      </c>
      <c r="J56" s="8">
        <f t="shared" si="0"/>
        <v>17.68</v>
      </c>
      <c r="K56" s="9"/>
    </row>
    <row r="57" spans="1:11" s="10" customFormat="1" ht="16.5" customHeight="1" x14ac:dyDescent="0.3">
      <c r="A57" s="5">
        <v>55</v>
      </c>
      <c r="B57" s="5">
        <v>11943</v>
      </c>
      <c r="C57" s="6" t="s">
        <v>144</v>
      </c>
      <c r="D57" s="5" t="s">
        <v>43</v>
      </c>
      <c r="E57" s="5" t="s">
        <v>145</v>
      </c>
      <c r="F57" s="7">
        <v>10655</v>
      </c>
      <c r="G57" s="7">
        <v>177.58</v>
      </c>
      <c r="H57" s="7">
        <v>33</v>
      </c>
      <c r="I57" s="7">
        <v>0.5</v>
      </c>
      <c r="J57" s="8">
        <f t="shared" si="0"/>
        <v>33.5</v>
      </c>
      <c r="K57" s="9"/>
    </row>
    <row r="58" spans="1:11" s="10" customFormat="1" ht="16.5" customHeight="1" x14ac:dyDescent="0.3">
      <c r="A58" s="5">
        <v>56</v>
      </c>
      <c r="B58" s="5">
        <v>11957</v>
      </c>
      <c r="C58" s="6" t="s">
        <v>146</v>
      </c>
      <c r="D58" s="5" t="s">
        <v>147</v>
      </c>
      <c r="E58" s="5" t="s">
        <v>148</v>
      </c>
      <c r="F58" s="7">
        <v>8560</v>
      </c>
      <c r="G58" s="7">
        <v>142.66999999999999</v>
      </c>
      <c r="H58" s="7">
        <v>15.5</v>
      </c>
      <c r="I58" s="7">
        <v>0</v>
      </c>
      <c r="J58" s="8">
        <f t="shared" si="0"/>
        <v>15.5</v>
      </c>
      <c r="K58" s="9"/>
    </row>
    <row r="59" spans="1:11" s="10" customFormat="1" ht="16.5" customHeight="1" x14ac:dyDescent="0.3">
      <c r="A59" s="5">
        <v>57</v>
      </c>
      <c r="B59" s="5">
        <v>11963</v>
      </c>
      <c r="C59" s="6" t="s">
        <v>149</v>
      </c>
      <c r="D59" s="5" t="s">
        <v>150</v>
      </c>
      <c r="E59" s="5" t="s">
        <v>151</v>
      </c>
      <c r="F59" s="7">
        <v>11110</v>
      </c>
      <c r="G59" s="7">
        <v>185.17</v>
      </c>
      <c r="H59" s="7">
        <v>36</v>
      </c>
      <c r="I59" s="7">
        <v>0</v>
      </c>
      <c r="J59" s="8">
        <f t="shared" si="0"/>
        <v>36</v>
      </c>
      <c r="K59" s="9"/>
    </row>
    <row r="60" spans="1:11" s="10" customFormat="1" ht="16.5" customHeight="1" x14ac:dyDescent="0.3">
      <c r="A60" s="5">
        <v>58</v>
      </c>
      <c r="B60" s="5">
        <v>11996</v>
      </c>
      <c r="C60" s="6" t="s">
        <v>152</v>
      </c>
      <c r="D60" s="5" t="s">
        <v>13</v>
      </c>
      <c r="E60" s="5" t="s">
        <v>153</v>
      </c>
      <c r="F60" s="7">
        <v>10835</v>
      </c>
      <c r="G60" s="7">
        <v>180.58</v>
      </c>
      <c r="H60" s="7">
        <v>18.5</v>
      </c>
      <c r="I60" s="7">
        <v>0</v>
      </c>
      <c r="J60" s="8">
        <f t="shared" si="0"/>
        <v>18.5</v>
      </c>
      <c r="K60" s="9"/>
    </row>
    <row r="61" spans="1:11" s="10" customFormat="1" ht="16.5" customHeight="1" x14ac:dyDescent="0.3">
      <c r="A61" s="5">
        <v>59</v>
      </c>
      <c r="B61" s="5">
        <v>12072</v>
      </c>
      <c r="C61" s="6" t="s">
        <v>154</v>
      </c>
      <c r="D61" s="5" t="s">
        <v>155</v>
      </c>
      <c r="E61" s="5" t="s">
        <v>156</v>
      </c>
      <c r="F61" s="7">
        <v>10105</v>
      </c>
      <c r="G61" s="7">
        <v>168.42</v>
      </c>
      <c r="H61" s="7">
        <v>15.25</v>
      </c>
      <c r="I61" s="7">
        <v>0</v>
      </c>
      <c r="J61" s="8">
        <f t="shared" si="0"/>
        <v>15.25</v>
      </c>
      <c r="K61" s="9"/>
    </row>
    <row r="62" spans="1:11" s="10" customFormat="1" ht="16.5" customHeight="1" x14ac:dyDescent="0.3">
      <c r="A62" s="5">
        <v>60</v>
      </c>
      <c r="B62" s="5">
        <v>12073</v>
      </c>
      <c r="C62" s="6" t="s">
        <v>142</v>
      </c>
      <c r="D62" s="5" t="s">
        <v>157</v>
      </c>
      <c r="E62" s="5" t="s">
        <v>156</v>
      </c>
      <c r="F62" s="7">
        <v>10835</v>
      </c>
      <c r="G62" s="7">
        <v>180.58</v>
      </c>
      <c r="H62" s="7">
        <v>25.5</v>
      </c>
      <c r="I62" s="7">
        <v>0</v>
      </c>
      <c r="J62" s="8">
        <f t="shared" si="0"/>
        <v>25.5</v>
      </c>
      <c r="K62" s="9"/>
    </row>
    <row r="63" spans="1:11" s="10" customFormat="1" ht="16.5" customHeight="1" x14ac:dyDescent="0.3">
      <c r="A63" s="5">
        <v>61</v>
      </c>
      <c r="B63" s="5">
        <v>12149</v>
      </c>
      <c r="C63" s="6" t="s">
        <v>158</v>
      </c>
      <c r="D63" s="5" t="s">
        <v>112</v>
      </c>
      <c r="E63" s="5" t="s">
        <v>159</v>
      </c>
      <c r="F63" s="7">
        <v>10835</v>
      </c>
      <c r="G63" s="7">
        <v>180.58</v>
      </c>
      <c r="H63" s="7">
        <v>16.5</v>
      </c>
      <c r="I63" s="7">
        <v>0</v>
      </c>
      <c r="J63" s="8">
        <f t="shared" si="0"/>
        <v>16.5</v>
      </c>
      <c r="K63" s="9"/>
    </row>
    <row r="64" spans="1:11" s="10" customFormat="1" ht="16.5" customHeight="1" x14ac:dyDescent="0.3">
      <c r="A64" s="5">
        <v>62</v>
      </c>
      <c r="B64" s="5">
        <v>12157</v>
      </c>
      <c r="C64" s="6" t="s">
        <v>31</v>
      </c>
      <c r="D64" s="5" t="s">
        <v>160</v>
      </c>
      <c r="E64" s="5" t="s">
        <v>161</v>
      </c>
      <c r="F64" s="7">
        <v>11399.4</v>
      </c>
      <c r="G64" s="7">
        <v>189.99</v>
      </c>
      <c r="H64" s="7">
        <v>16.509999999999998</v>
      </c>
      <c r="I64" s="7">
        <v>0</v>
      </c>
      <c r="J64" s="8">
        <f t="shared" si="0"/>
        <v>16.509999999999998</v>
      </c>
      <c r="K64" s="9"/>
    </row>
    <row r="65" spans="1:11" s="10" customFormat="1" ht="16.5" customHeight="1" x14ac:dyDescent="0.3">
      <c r="A65" s="5">
        <v>63</v>
      </c>
      <c r="B65" s="5">
        <v>12206</v>
      </c>
      <c r="C65" s="6" t="s">
        <v>48</v>
      </c>
      <c r="D65" s="5" t="s">
        <v>162</v>
      </c>
      <c r="E65" s="5" t="s">
        <v>163</v>
      </c>
      <c r="F65" s="7">
        <v>11110</v>
      </c>
      <c r="G65" s="7">
        <v>185.17</v>
      </c>
      <c r="H65" s="7">
        <v>22</v>
      </c>
      <c r="I65" s="7">
        <v>0</v>
      </c>
      <c r="J65" s="8">
        <f t="shared" si="0"/>
        <v>22</v>
      </c>
      <c r="K65" s="9"/>
    </row>
    <row r="66" spans="1:11" s="10" customFormat="1" ht="16.5" customHeight="1" x14ac:dyDescent="0.3">
      <c r="A66" s="5">
        <v>64</v>
      </c>
      <c r="B66" s="5">
        <v>12244</v>
      </c>
      <c r="C66" s="6" t="s">
        <v>164</v>
      </c>
      <c r="D66" s="5" t="s">
        <v>83</v>
      </c>
      <c r="E66" s="5" t="s">
        <v>165</v>
      </c>
      <c r="F66" s="7">
        <v>10380</v>
      </c>
      <c r="G66" s="7">
        <v>173</v>
      </c>
      <c r="H66" s="7">
        <v>35.5</v>
      </c>
      <c r="I66" s="7">
        <v>0.5</v>
      </c>
      <c r="J66" s="8">
        <f t="shared" si="0"/>
        <v>36</v>
      </c>
      <c r="K66" s="9"/>
    </row>
    <row r="67" spans="1:11" s="10" customFormat="1" ht="16.5" customHeight="1" x14ac:dyDescent="0.3">
      <c r="A67" s="5">
        <v>65</v>
      </c>
      <c r="B67" s="5">
        <v>12283</v>
      </c>
      <c r="C67" s="6" t="s">
        <v>166</v>
      </c>
      <c r="D67" s="5" t="s">
        <v>167</v>
      </c>
      <c r="E67" s="5" t="s">
        <v>168</v>
      </c>
      <c r="F67" s="7">
        <v>10380</v>
      </c>
      <c r="G67" s="7">
        <v>173</v>
      </c>
      <c r="H67" s="7">
        <v>25.5</v>
      </c>
      <c r="I67" s="7">
        <v>0</v>
      </c>
      <c r="J67" s="8">
        <f t="shared" ref="J67:J93" si="1">H67+I67</f>
        <v>25.5</v>
      </c>
      <c r="K67" s="9"/>
    </row>
    <row r="68" spans="1:11" s="10" customFormat="1" ht="16.5" customHeight="1" x14ac:dyDescent="0.3">
      <c r="A68" s="5">
        <v>66</v>
      </c>
      <c r="B68" s="5">
        <v>12290</v>
      </c>
      <c r="C68" s="6" t="s">
        <v>169</v>
      </c>
      <c r="D68" s="5" t="s">
        <v>170</v>
      </c>
      <c r="E68" s="5" t="s">
        <v>171</v>
      </c>
      <c r="F68" s="7">
        <v>11110</v>
      </c>
      <c r="G68" s="7">
        <v>185.17</v>
      </c>
      <c r="H68" s="7">
        <v>28</v>
      </c>
      <c r="I68" s="7">
        <v>0</v>
      </c>
      <c r="J68" s="8">
        <f t="shared" si="1"/>
        <v>28</v>
      </c>
      <c r="K68" s="9"/>
    </row>
    <row r="69" spans="1:11" s="10" customFormat="1" ht="16.5" customHeight="1" x14ac:dyDescent="0.3">
      <c r="A69" s="5">
        <v>67</v>
      </c>
      <c r="B69" s="5">
        <v>12291</v>
      </c>
      <c r="C69" s="6" t="s">
        <v>172</v>
      </c>
      <c r="D69" s="5" t="s">
        <v>88</v>
      </c>
      <c r="E69" s="5" t="s">
        <v>171</v>
      </c>
      <c r="F69" s="7">
        <v>10560</v>
      </c>
      <c r="G69" s="7">
        <v>176</v>
      </c>
      <c r="H69" s="7">
        <v>17</v>
      </c>
      <c r="I69" s="7">
        <v>0</v>
      </c>
      <c r="J69" s="8">
        <f t="shared" si="1"/>
        <v>17</v>
      </c>
      <c r="K69" s="9"/>
    </row>
    <row r="70" spans="1:11" s="10" customFormat="1" ht="16.5" customHeight="1" x14ac:dyDescent="0.3">
      <c r="A70" s="5">
        <v>68</v>
      </c>
      <c r="B70" s="5">
        <v>12322</v>
      </c>
      <c r="C70" s="6" t="s">
        <v>173</v>
      </c>
      <c r="D70" s="5" t="s">
        <v>174</v>
      </c>
      <c r="E70" s="5" t="s">
        <v>175</v>
      </c>
      <c r="F70" s="7">
        <v>10655</v>
      </c>
      <c r="G70" s="7">
        <v>177.58</v>
      </c>
      <c r="H70" s="7">
        <v>22</v>
      </c>
      <c r="I70" s="7">
        <v>0</v>
      </c>
      <c r="J70" s="8">
        <f t="shared" si="1"/>
        <v>22</v>
      </c>
      <c r="K70" s="9"/>
    </row>
    <row r="71" spans="1:11" s="10" customFormat="1" ht="16.5" customHeight="1" x14ac:dyDescent="0.3">
      <c r="A71" s="5">
        <v>69</v>
      </c>
      <c r="B71" s="5">
        <v>12329</v>
      </c>
      <c r="C71" s="6" t="s">
        <v>176</v>
      </c>
      <c r="D71" s="5" t="s">
        <v>52</v>
      </c>
      <c r="E71" s="5" t="s">
        <v>177</v>
      </c>
      <c r="F71" s="7">
        <v>10909.4</v>
      </c>
      <c r="G71" s="7">
        <v>181.82</v>
      </c>
      <c r="H71" s="7">
        <v>33.51</v>
      </c>
      <c r="I71" s="7">
        <v>0</v>
      </c>
      <c r="J71" s="8">
        <f t="shared" si="1"/>
        <v>33.51</v>
      </c>
      <c r="K71" s="9"/>
    </row>
    <row r="72" spans="1:11" s="10" customFormat="1" ht="16.5" customHeight="1" x14ac:dyDescent="0.3">
      <c r="A72" s="5">
        <v>70</v>
      </c>
      <c r="B72" s="5">
        <v>12409</v>
      </c>
      <c r="C72" s="6" t="s">
        <v>178</v>
      </c>
      <c r="D72" s="5" t="s">
        <v>179</v>
      </c>
      <c r="E72" s="5" t="s">
        <v>180</v>
      </c>
      <c r="F72" s="7">
        <v>10655</v>
      </c>
      <c r="G72" s="7">
        <v>177.58</v>
      </c>
      <c r="H72" s="7">
        <v>29</v>
      </c>
      <c r="I72" s="7">
        <v>0</v>
      </c>
      <c r="J72" s="8">
        <f t="shared" si="1"/>
        <v>29</v>
      </c>
      <c r="K72" s="9"/>
    </row>
    <row r="73" spans="1:11" s="10" customFormat="1" ht="16.5" customHeight="1" x14ac:dyDescent="0.3">
      <c r="A73" s="5">
        <v>71</v>
      </c>
      <c r="B73" s="5">
        <v>12443</v>
      </c>
      <c r="C73" s="6" t="s">
        <v>164</v>
      </c>
      <c r="D73" s="5" t="s">
        <v>181</v>
      </c>
      <c r="E73" s="5" t="s">
        <v>182</v>
      </c>
      <c r="F73" s="7">
        <v>11149.8</v>
      </c>
      <c r="G73" s="7">
        <v>185.83</v>
      </c>
      <c r="H73" s="7">
        <v>25.92</v>
      </c>
      <c r="I73" s="7">
        <v>0</v>
      </c>
      <c r="J73" s="8">
        <f t="shared" si="1"/>
        <v>25.92</v>
      </c>
      <c r="K73" s="9"/>
    </row>
    <row r="74" spans="1:11" s="10" customFormat="1" ht="16.5" customHeight="1" x14ac:dyDescent="0.3">
      <c r="A74" s="5">
        <v>72</v>
      </c>
      <c r="B74" s="5">
        <v>12640</v>
      </c>
      <c r="C74" s="6" t="s">
        <v>183</v>
      </c>
      <c r="D74" s="5" t="s">
        <v>184</v>
      </c>
      <c r="E74" s="5" t="s">
        <v>185</v>
      </c>
      <c r="F74" s="7">
        <v>10560</v>
      </c>
      <c r="G74" s="7">
        <v>176</v>
      </c>
      <c r="H74" s="7">
        <v>15</v>
      </c>
      <c r="I74" s="7">
        <v>0</v>
      </c>
      <c r="J74" s="8">
        <f t="shared" si="1"/>
        <v>15</v>
      </c>
      <c r="K74" s="9"/>
    </row>
    <row r="75" spans="1:11" s="10" customFormat="1" ht="16.5" customHeight="1" x14ac:dyDescent="0.3">
      <c r="A75" s="5">
        <v>73</v>
      </c>
      <c r="B75" s="5">
        <v>12691</v>
      </c>
      <c r="C75" s="6" t="s">
        <v>18</v>
      </c>
      <c r="D75" s="5" t="s">
        <v>186</v>
      </c>
      <c r="E75" s="5" t="s">
        <v>187</v>
      </c>
      <c r="F75" s="7">
        <v>10835</v>
      </c>
      <c r="G75" s="7">
        <v>180.58</v>
      </c>
      <c r="H75" s="7">
        <v>19.5</v>
      </c>
      <c r="I75" s="7">
        <v>0</v>
      </c>
      <c r="J75" s="8">
        <f t="shared" si="1"/>
        <v>19.5</v>
      </c>
      <c r="K75" s="9"/>
    </row>
    <row r="76" spans="1:11" s="10" customFormat="1" ht="16.5" customHeight="1" x14ac:dyDescent="0.3">
      <c r="A76" s="5">
        <v>74</v>
      </c>
      <c r="B76" s="5">
        <v>12848</v>
      </c>
      <c r="C76" s="6" t="s">
        <v>48</v>
      </c>
      <c r="D76" s="5" t="s">
        <v>188</v>
      </c>
      <c r="E76" s="5" t="s">
        <v>189</v>
      </c>
      <c r="F76" s="7">
        <v>11110</v>
      </c>
      <c r="G76" s="7">
        <v>185.17</v>
      </c>
      <c r="H76" s="7">
        <v>28</v>
      </c>
      <c r="I76" s="7">
        <v>0</v>
      </c>
      <c r="J76" s="8">
        <f t="shared" si="1"/>
        <v>28</v>
      </c>
      <c r="K76" s="9"/>
    </row>
    <row r="77" spans="1:11" s="10" customFormat="1" ht="16.5" customHeight="1" x14ac:dyDescent="0.3">
      <c r="A77" s="5">
        <v>75</v>
      </c>
      <c r="B77" s="5">
        <v>12860</v>
      </c>
      <c r="C77" s="6" t="s">
        <v>142</v>
      </c>
      <c r="D77" s="5" t="s">
        <v>190</v>
      </c>
      <c r="E77" s="5" t="s">
        <v>191</v>
      </c>
      <c r="F77" s="7">
        <v>10655</v>
      </c>
      <c r="G77" s="7">
        <v>177.58</v>
      </c>
      <c r="H77" s="7">
        <v>27</v>
      </c>
      <c r="I77" s="7">
        <v>0</v>
      </c>
      <c r="J77" s="8">
        <f t="shared" si="1"/>
        <v>27</v>
      </c>
      <c r="K77" s="9"/>
    </row>
    <row r="78" spans="1:11" s="10" customFormat="1" ht="16.5" customHeight="1" x14ac:dyDescent="0.3">
      <c r="A78" s="5">
        <v>76</v>
      </c>
      <c r="B78" s="5">
        <v>12893</v>
      </c>
      <c r="C78" s="6" t="s">
        <v>192</v>
      </c>
      <c r="D78" s="5" t="s">
        <v>193</v>
      </c>
      <c r="E78" s="5" t="s">
        <v>194</v>
      </c>
      <c r="F78" s="7">
        <v>10980</v>
      </c>
      <c r="G78" s="7">
        <v>183</v>
      </c>
      <c r="H78" s="7">
        <v>15.25</v>
      </c>
      <c r="I78" s="7">
        <v>0</v>
      </c>
      <c r="J78" s="8">
        <f t="shared" si="1"/>
        <v>15.25</v>
      </c>
      <c r="K78" s="9" t="s">
        <v>236</v>
      </c>
    </row>
    <row r="79" spans="1:11" s="10" customFormat="1" ht="16.5" customHeight="1" x14ac:dyDescent="0.3">
      <c r="A79" s="5">
        <v>77</v>
      </c>
      <c r="B79" s="5">
        <v>12899</v>
      </c>
      <c r="C79" s="6" t="s">
        <v>195</v>
      </c>
      <c r="D79" s="5" t="s">
        <v>196</v>
      </c>
      <c r="E79" s="5" t="s">
        <v>197</v>
      </c>
      <c r="F79" s="7">
        <v>11889.4</v>
      </c>
      <c r="G79" s="7">
        <v>198.16</v>
      </c>
      <c r="H79" s="7">
        <v>27.009999999999998</v>
      </c>
      <c r="I79" s="7">
        <v>0</v>
      </c>
      <c r="J79" s="8">
        <f t="shared" si="1"/>
        <v>27.009999999999998</v>
      </c>
      <c r="K79" s="9"/>
    </row>
    <row r="80" spans="1:11" s="10" customFormat="1" ht="16.5" customHeight="1" x14ac:dyDescent="0.3">
      <c r="A80" s="5">
        <v>78</v>
      </c>
      <c r="B80" s="5">
        <v>12900</v>
      </c>
      <c r="C80" s="6" t="s">
        <v>198</v>
      </c>
      <c r="D80" s="5" t="s">
        <v>199</v>
      </c>
      <c r="E80" s="5" t="s">
        <v>197</v>
      </c>
      <c r="F80" s="7">
        <v>11110</v>
      </c>
      <c r="G80" s="7">
        <v>185.17</v>
      </c>
      <c r="H80" s="7">
        <v>38</v>
      </c>
      <c r="I80" s="7">
        <v>0.25</v>
      </c>
      <c r="J80" s="8">
        <f t="shared" si="1"/>
        <v>38.25</v>
      </c>
      <c r="K80" s="9"/>
    </row>
    <row r="81" spans="1:11" s="10" customFormat="1" ht="16.5" customHeight="1" x14ac:dyDescent="0.3">
      <c r="A81" s="5">
        <v>79</v>
      </c>
      <c r="B81" s="5">
        <v>12993</v>
      </c>
      <c r="C81" s="6" t="s">
        <v>31</v>
      </c>
      <c r="D81" s="5" t="s">
        <v>200</v>
      </c>
      <c r="E81" s="5" t="s">
        <v>201</v>
      </c>
      <c r="F81" s="7">
        <v>10835</v>
      </c>
      <c r="G81" s="7">
        <v>180.58</v>
      </c>
      <c r="H81" s="7">
        <v>17.75</v>
      </c>
      <c r="I81" s="7">
        <v>0</v>
      </c>
      <c r="J81" s="8">
        <f t="shared" si="1"/>
        <v>17.75</v>
      </c>
      <c r="K81" s="9"/>
    </row>
    <row r="82" spans="1:11" s="10" customFormat="1" ht="16.5" customHeight="1" x14ac:dyDescent="0.3">
      <c r="A82" s="5">
        <v>80</v>
      </c>
      <c r="B82" s="5">
        <v>20132</v>
      </c>
      <c r="C82" s="6" t="s">
        <v>202</v>
      </c>
      <c r="D82" s="5" t="s">
        <v>203</v>
      </c>
      <c r="E82" s="5" t="s">
        <v>204</v>
      </c>
      <c r="F82" s="7">
        <v>10539.6</v>
      </c>
      <c r="G82" s="7">
        <v>175.66</v>
      </c>
      <c r="H82" s="7">
        <v>20.09</v>
      </c>
      <c r="I82" s="7">
        <v>0</v>
      </c>
      <c r="J82" s="8">
        <f t="shared" si="1"/>
        <v>20.09</v>
      </c>
      <c r="K82" s="9"/>
    </row>
    <row r="83" spans="1:11" s="10" customFormat="1" ht="16.5" customHeight="1" x14ac:dyDescent="0.3">
      <c r="A83" s="5">
        <v>81</v>
      </c>
      <c r="B83" s="5">
        <v>20219</v>
      </c>
      <c r="C83" s="6" t="s">
        <v>205</v>
      </c>
      <c r="D83" s="5" t="s">
        <v>206</v>
      </c>
      <c r="E83" s="5" t="s">
        <v>207</v>
      </c>
      <c r="F83" s="7">
        <v>11110</v>
      </c>
      <c r="G83" s="7">
        <v>185.17</v>
      </c>
      <c r="H83" s="7">
        <v>20</v>
      </c>
      <c r="I83" s="7">
        <v>0</v>
      </c>
      <c r="J83" s="8">
        <f t="shared" si="1"/>
        <v>20</v>
      </c>
      <c r="K83" s="9"/>
    </row>
    <row r="84" spans="1:11" s="10" customFormat="1" ht="16.5" customHeight="1" x14ac:dyDescent="0.3">
      <c r="A84" s="5">
        <v>82</v>
      </c>
      <c r="B84" s="5">
        <v>20839</v>
      </c>
      <c r="C84" s="6" t="s">
        <v>208</v>
      </c>
      <c r="D84" s="5" t="s">
        <v>49</v>
      </c>
      <c r="E84" s="5" t="s">
        <v>209</v>
      </c>
      <c r="F84" s="7">
        <v>11519.6</v>
      </c>
      <c r="G84" s="7">
        <v>191.99</v>
      </c>
      <c r="H84" s="7">
        <v>25.59</v>
      </c>
      <c r="I84" s="7">
        <v>0</v>
      </c>
      <c r="J84" s="8">
        <f t="shared" si="1"/>
        <v>25.59</v>
      </c>
      <c r="K84" s="9"/>
    </row>
    <row r="85" spans="1:11" s="10" customFormat="1" ht="16.5" customHeight="1" x14ac:dyDescent="0.3">
      <c r="A85" s="5">
        <v>83</v>
      </c>
      <c r="B85" s="5">
        <v>39661</v>
      </c>
      <c r="C85" s="6" t="s">
        <v>210</v>
      </c>
      <c r="D85" s="5" t="s">
        <v>211</v>
      </c>
      <c r="E85" s="5" t="s">
        <v>212</v>
      </c>
      <c r="F85" s="7">
        <v>11110</v>
      </c>
      <c r="G85" s="7">
        <v>185.17</v>
      </c>
      <c r="H85" s="7">
        <v>21</v>
      </c>
      <c r="I85" s="7">
        <v>0</v>
      </c>
      <c r="J85" s="8">
        <f t="shared" si="1"/>
        <v>21</v>
      </c>
      <c r="K85" s="9"/>
    </row>
    <row r="86" spans="1:11" s="10" customFormat="1" ht="16.5" customHeight="1" x14ac:dyDescent="0.3">
      <c r="A86" s="5">
        <v>84</v>
      </c>
      <c r="B86" s="5">
        <v>45033</v>
      </c>
      <c r="C86" s="6" t="s">
        <v>213</v>
      </c>
      <c r="D86" s="5" t="s">
        <v>214</v>
      </c>
      <c r="E86" s="5" t="s">
        <v>215</v>
      </c>
      <c r="F86" s="7">
        <v>11110</v>
      </c>
      <c r="G86" s="7">
        <v>185.17</v>
      </c>
      <c r="H86" s="7">
        <v>21</v>
      </c>
      <c r="I86" s="7">
        <v>0</v>
      </c>
      <c r="J86" s="8">
        <f t="shared" si="1"/>
        <v>21</v>
      </c>
      <c r="K86" s="9"/>
    </row>
    <row r="87" spans="1:11" s="10" customFormat="1" ht="16.5" customHeight="1" x14ac:dyDescent="0.3">
      <c r="A87" s="5">
        <v>85</v>
      </c>
      <c r="B87" s="5">
        <v>47172</v>
      </c>
      <c r="C87" s="6" t="s">
        <v>216</v>
      </c>
      <c r="D87" s="5" t="s">
        <v>217</v>
      </c>
      <c r="E87" s="5" t="s">
        <v>218</v>
      </c>
      <c r="F87" s="7">
        <v>0</v>
      </c>
      <c r="G87" s="7">
        <v>0</v>
      </c>
      <c r="H87" s="7">
        <v>0</v>
      </c>
      <c r="I87" s="7">
        <v>0</v>
      </c>
      <c r="J87" s="8">
        <f t="shared" si="1"/>
        <v>0</v>
      </c>
      <c r="K87" s="9" t="s">
        <v>235</v>
      </c>
    </row>
    <row r="88" spans="1:11" s="10" customFormat="1" ht="16.5" customHeight="1" x14ac:dyDescent="0.3">
      <c r="A88" s="5">
        <v>86</v>
      </c>
      <c r="B88" s="5">
        <v>48173</v>
      </c>
      <c r="C88" s="6" t="s">
        <v>219</v>
      </c>
      <c r="D88" s="5" t="s">
        <v>211</v>
      </c>
      <c r="E88" s="5" t="s">
        <v>220</v>
      </c>
      <c r="F88" s="7">
        <v>6759.6</v>
      </c>
      <c r="G88" s="7">
        <v>112.66</v>
      </c>
      <c r="H88" s="7">
        <v>3.34</v>
      </c>
      <c r="I88" s="7">
        <v>0</v>
      </c>
      <c r="J88" s="8">
        <f t="shared" si="1"/>
        <v>3.34</v>
      </c>
      <c r="K88" s="9"/>
    </row>
    <row r="89" spans="1:11" s="10" customFormat="1" ht="16.5" customHeight="1" x14ac:dyDescent="0.3">
      <c r="A89" s="5">
        <v>87</v>
      </c>
      <c r="B89" s="5">
        <v>48174</v>
      </c>
      <c r="C89" s="6" t="s">
        <v>221</v>
      </c>
      <c r="D89" s="5" t="s">
        <v>222</v>
      </c>
      <c r="E89" s="5" t="s">
        <v>220</v>
      </c>
      <c r="F89" s="7">
        <v>8099</v>
      </c>
      <c r="G89" s="7">
        <v>134.97999999999999</v>
      </c>
      <c r="H89" s="7">
        <v>5</v>
      </c>
      <c r="I89" s="7">
        <v>0</v>
      </c>
      <c r="J89" s="8">
        <f t="shared" si="1"/>
        <v>5</v>
      </c>
      <c r="K89" s="9"/>
    </row>
    <row r="90" spans="1:11" s="10" customFormat="1" ht="16.5" customHeight="1" x14ac:dyDescent="0.3">
      <c r="A90" s="5">
        <v>88</v>
      </c>
      <c r="B90" s="5">
        <v>49370</v>
      </c>
      <c r="C90" s="6" t="s">
        <v>223</v>
      </c>
      <c r="D90" s="5" t="s">
        <v>224</v>
      </c>
      <c r="E90" s="5" t="s">
        <v>225</v>
      </c>
      <c r="F90" s="7">
        <v>11110</v>
      </c>
      <c r="G90" s="7">
        <v>185.17</v>
      </c>
      <c r="H90" s="7">
        <v>22</v>
      </c>
      <c r="I90" s="7">
        <v>0.25</v>
      </c>
      <c r="J90" s="8">
        <f t="shared" si="1"/>
        <v>22.25</v>
      </c>
      <c r="K90" s="9"/>
    </row>
    <row r="91" spans="1:11" s="10" customFormat="1" ht="16.5" customHeight="1" x14ac:dyDescent="0.3">
      <c r="A91" s="5">
        <v>89</v>
      </c>
      <c r="B91" s="5">
        <v>49543</v>
      </c>
      <c r="C91" s="6" t="s">
        <v>226</v>
      </c>
      <c r="D91" s="5" t="s">
        <v>227</v>
      </c>
      <c r="E91" s="5" t="s">
        <v>228</v>
      </c>
      <c r="F91" s="7">
        <v>10049.6</v>
      </c>
      <c r="G91" s="7">
        <v>167.49</v>
      </c>
      <c r="H91" s="7">
        <v>20.34</v>
      </c>
      <c r="I91" s="7">
        <v>0</v>
      </c>
      <c r="J91" s="8">
        <f t="shared" si="1"/>
        <v>20.34</v>
      </c>
      <c r="K91" s="9"/>
    </row>
    <row r="92" spans="1:11" s="10" customFormat="1" ht="16.5" customHeight="1" x14ac:dyDescent="0.3">
      <c r="A92" s="5">
        <v>90</v>
      </c>
      <c r="B92" s="5">
        <v>51455</v>
      </c>
      <c r="C92" s="6" t="s">
        <v>229</v>
      </c>
      <c r="D92" s="5" t="s">
        <v>230</v>
      </c>
      <c r="E92" s="5" t="s">
        <v>165</v>
      </c>
      <c r="F92" s="7">
        <v>11110</v>
      </c>
      <c r="G92" s="7">
        <v>185.17</v>
      </c>
      <c r="H92" s="7">
        <v>20</v>
      </c>
      <c r="I92" s="7">
        <v>0</v>
      </c>
      <c r="J92" s="8">
        <f t="shared" si="1"/>
        <v>20</v>
      </c>
      <c r="K92" s="9"/>
    </row>
    <row r="93" spans="1:11" s="10" customFormat="1" ht="16.5" customHeight="1" x14ac:dyDescent="0.3">
      <c r="A93" s="5">
        <v>91</v>
      </c>
      <c r="B93" s="5">
        <v>51964</v>
      </c>
      <c r="C93" s="6" t="s">
        <v>231</v>
      </c>
      <c r="D93" s="5" t="s">
        <v>162</v>
      </c>
      <c r="E93" s="5" t="s">
        <v>232</v>
      </c>
      <c r="F93" s="7">
        <v>10655</v>
      </c>
      <c r="G93" s="7">
        <v>177.58</v>
      </c>
      <c r="H93" s="7">
        <v>19</v>
      </c>
      <c r="I93" s="7">
        <v>0</v>
      </c>
      <c r="J93" s="8">
        <f t="shared" si="1"/>
        <v>19</v>
      </c>
      <c r="K93" s="9"/>
    </row>
    <row r="94" spans="1:11" ht="15.6" x14ac:dyDescent="0.3">
      <c r="A94" s="11"/>
      <c r="B94" s="12"/>
      <c r="C94" s="12" t="s">
        <v>233</v>
      </c>
      <c r="D94" s="12"/>
      <c r="E94" s="12"/>
      <c r="F94" s="13">
        <f>SUM(F3:F93)</f>
        <v>947396.4</v>
      </c>
      <c r="G94" s="13">
        <f>SUM(G3:G93)</f>
        <v>15789.919999999996</v>
      </c>
      <c r="H94" s="13">
        <f>SUM(H3:H93)</f>
        <v>1900.8599999999997</v>
      </c>
      <c r="I94" s="13">
        <f>SUM(I3:I93)</f>
        <v>5.5</v>
      </c>
      <c r="J94" s="13">
        <f>SUM(J3:J93)</f>
        <v>1906.3599999999997</v>
      </c>
      <c r="K94" s="9"/>
    </row>
    <row r="95" spans="1:11" x14ac:dyDescent="0.3">
      <c r="F95" s="14"/>
      <c r="G95" s="14"/>
      <c r="H95" s="14"/>
      <c r="I95" s="14"/>
      <c r="J95" s="14"/>
    </row>
    <row r="96" spans="1:11" x14ac:dyDescent="0.3">
      <c r="F96" s="14"/>
      <c r="G96" s="14"/>
      <c r="H96" s="14"/>
      <c r="I96" s="14"/>
      <c r="J96" s="14"/>
    </row>
  </sheetData>
  <autoFilter ref="A2:K94" xr:uid="{9EAF04E5-6430-401D-B4CC-7E7C8C387D3A}"/>
  <mergeCells count="1">
    <mergeCell ref="A1:J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4C67-C645-4AD7-BD79-1DD881E5669E}">
  <dimension ref="A1:C73"/>
  <sheetViews>
    <sheetView topLeftCell="A38" workbookViewId="0">
      <selection activeCell="I73" sqref="I73"/>
    </sheetView>
  </sheetViews>
  <sheetFormatPr defaultRowHeight="14.4" x14ac:dyDescent="0.3"/>
  <sheetData>
    <row r="1" spans="1:3" x14ac:dyDescent="0.3">
      <c r="A1">
        <v>10206</v>
      </c>
      <c r="B1" t="str">
        <f>TRIM(A1)</f>
        <v>10206</v>
      </c>
      <c r="C1" t="s">
        <v>234</v>
      </c>
    </row>
    <row r="2" spans="1:3" x14ac:dyDescent="0.3">
      <c r="A2">
        <v>10325</v>
      </c>
      <c r="B2" t="str">
        <f t="shared" ref="B2:B65" si="0">TRIM(A2)</f>
        <v>10325</v>
      </c>
      <c r="C2" t="s">
        <v>234</v>
      </c>
    </row>
    <row r="3" spans="1:3" x14ac:dyDescent="0.3">
      <c r="A3">
        <v>10475</v>
      </c>
      <c r="B3" t="str">
        <f t="shared" si="0"/>
        <v>10475</v>
      </c>
      <c r="C3" t="s">
        <v>234</v>
      </c>
    </row>
    <row r="4" spans="1:3" x14ac:dyDescent="0.3">
      <c r="A4">
        <v>10546</v>
      </c>
      <c r="B4" t="str">
        <f t="shared" si="0"/>
        <v>10546</v>
      </c>
      <c r="C4" t="s">
        <v>234</v>
      </c>
    </row>
    <row r="5" spans="1:3" x14ac:dyDescent="0.3">
      <c r="A5">
        <v>10622</v>
      </c>
      <c r="B5" t="str">
        <f t="shared" si="0"/>
        <v>10622</v>
      </c>
      <c r="C5" t="s">
        <v>234</v>
      </c>
    </row>
    <row r="6" spans="1:3" x14ac:dyDescent="0.3">
      <c r="A6">
        <v>10652</v>
      </c>
      <c r="B6" t="str">
        <f t="shared" si="0"/>
        <v>10652</v>
      </c>
      <c r="C6" t="s">
        <v>234</v>
      </c>
    </row>
    <row r="7" spans="1:3" x14ac:dyDescent="0.3">
      <c r="A7">
        <v>10660</v>
      </c>
      <c r="B7" t="str">
        <f t="shared" si="0"/>
        <v>10660</v>
      </c>
      <c r="C7" t="s">
        <v>234</v>
      </c>
    </row>
    <row r="8" spans="1:3" x14ac:dyDescent="0.3">
      <c r="A8">
        <v>10667</v>
      </c>
      <c r="B8" t="str">
        <f t="shared" si="0"/>
        <v>10667</v>
      </c>
      <c r="C8" t="s">
        <v>234</v>
      </c>
    </row>
    <row r="9" spans="1:3" x14ac:dyDescent="0.3">
      <c r="A9">
        <v>11124</v>
      </c>
      <c r="B9" t="str">
        <f t="shared" si="0"/>
        <v>11124</v>
      </c>
      <c r="C9" t="s">
        <v>234</v>
      </c>
    </row>
    <row r="10" spans="1:3" x14ac:dyDescent="0.3">
      <c r="A10">
        <v>11215</v>
      </c>
      <c r="B10" t="str">
        <f t="shared" si="0"/>
        <v>11215</v>
      </c>
      <c r="C10" t="s">
        <v>234</v>
      </c>
    </row>
    <row r="11" spans="1:3" x14ac:dyDescent="0.3">
      <c r="A11">
        <v>11235</v>
      </c>
      <c r="B11" t="str">
        <f t="shared" si="0"/>
        <v>11235</v>
      </c>
      <c r="C11" t="s">
        <v>234</v>
      </c>
    </row>
    <row r="12" spans="1:3" x14ac:dyDescent="0.3">
      <c r="A12">
        <v>11246</v>
      </c>
      <c r="B12" t="str">
        <f t="shared" si="0"/>
        <v>11246</v>
      </c>
      <c r="C12" t="s">
        <v>234</v>
      </c>
    </row>
    <row r="13" spans="1:3" x14ac:dyDescent="0.3">
      <c r="A13">
        <v>11269</v>
      </c>
      <c r="B13" t="str">
        <f t="shared" si="0"/>
        <v>11269</v>
      </c>
      <c r="C13" t="s">
        <v>234</v>
      </c>
    </row>
    <row r="14" spans="1:3" x14ac:dyDescent="0.3">
      <c r="A14">
        <v>11325</v>
      </c>
      <c r="B14" t="str">
        <f t="shared" si="0"/>
        <v>11325</v>
      </c>
      <c r="C14" t="s">
        <v>234</v>
      </c>
    </row>
    <row r="15" spans="1:3" x14ac:dyDescent="0.3">
      <c r="A15">
        <v>11390</v>
      </c>
      <c r="B15" t="str">
        <f t="shared" si="0"/>
        <v>11390</v>
      </c>
      <c r="C15" t="s">
        <v>234</v>
      </c>
    </row>
    <row r="16" spans="1:3" x14ac:dyDescent="0.3">
      <c r="A16">
        <v>11444</v>
      </c>
      <c r="B16" t="str">
        <f t="shared" si="0"/>
        <v>11444</v>
      </c>
      <c r="C16" t="s">
        <v>234</v>
      </c>
    </row>
    <row r="17" spans="1:3" x14ac:dyDescent="0.3">
      <c r="A17">
        <v>11447</v>
      </c>
      <c r="B17" t="str">
        <f t="shared" si="0"/>
        <v>11447</v>
      </c>
      <c r="C17" t="s">
        <v>234</v>
      </c>
    </row>
    <row r="18" spans="1:3" x14ac:dyDescent="0.3">
      <c r="A18">
        <v>11484</v>
      </c>
      <c r="B18" t="str">
        <f t="shared" si="0"/>
        <v>11484</v>
      </c>
      <c r="C18" t="s">
        <v>234</v>
      </c>
    </row>
    <row r="19" spans="1:3" x14ac:dyDescent="0.3">
      <c r="A19">
        <v>11517</v>
      </c>
      <c r="B19" t="str">
        <f t="shared" si="0"/>
        <v>11517</v>
      </c>
      <c r="C19" t="s">
        <v>234</v>
      </c>
    </row>
    <row r="20" spans="1:3" x14ac:dyDescent="0.3">
      <c r="A20">
        <v>11518</v>
      </c>
      <c r="B20" t="str">
        <f t="shared" si="0"/>
        <v>11518</v>
      </c>
      <c r="C20" t="s">
        <v>234</v>
      </c>
    </row>
    <row r="21" spans="1:3" x14ac:dyDescent="0.3">
      <c r="A21">
        <v>11537</v>
      </c>
      <c r="B21" t="str">
        <f t="shared" si="0"/>
        <v>11537</v>
      </c>
      <c r="C21" t="s">
        <v>234</v>
      </c>
    </row>
    <row r="22" spans="1:3" x14ac:dyDescent="0.3">
      <c r="A22">
        <v>11538</v>
      </c>
      <c r="B22" t="str">
        <f t="shared" si="0"/>
        <v>11538</v>
      </c>
      <c r="C22" t="s">
        <v>234</v>
      </c>
    </row>
    <row r="23" spans="1:3" x14ac:dyDescent="0.3">
      <c r="A23">
        <v>11547</v>
      </c>
      <c r="B23" t="str">
        <f t="shared" si="0"/>
        <v>11547</v>
      </c>
      <c r="C23" t="s">
        <v>234</v>
      </c>
    </row>
    <row r="24" spans="1:3" x14ac:dyDescent="0.3">
      <c r="A24">
        <v>11550</v>
      </c>
      <c r="B24" t="str">
        <f t="shared" si="0"/>
        <v>11550</v>
      </c>
      <c r="C24" t="s">
        <v>234</v>
      </c>
    </row>
    <row r="25" spans="1:3" x14ac:dyDescent="0.3">
      <c r="A25">
        <v>11553</v>
      </c>
      <c r="B25" t="str">
        <f t="shared" si="0"/>
        <v>11553</v>
      </c>
      <c r="C25" t="s">
        <v>234</v>
      </c>
    </row>
    <row r="26" spans="1:3" x14ac:dyDescent="0.3">
      <c r="A26">
        <v>11554</v>
      </c>
      <c r="B26" t="str">
        <f t="shared" si="0"/>
        <v>11554</v>
      </c>
      <c r="C26" t="s">
        <v>234</v>
      </c>
    </row>
    <row r="27" spans="1:3" x14ac:dyDescent="0.3">
      <c r="A27">
        <v>11589</v>
      </c>
      <c r="B27" t="str">
        <f t="shared" si="0"/>
        <v>11589</v>
      </c>
      <c r="C27" t="s">
        <v>234</v>
      </c>
    </row>
    <row r="28" spans="1:3" x14ac:dyDescent="0.3">
      <c r="A28">
        <v>11590</v>
      </c>
      <c r="B28" t="str">
        <f t="shared" si="0"/>
        <v>11590</v>
      </c>
      <c r="C28" t="s">
        <v>234</v>
      </c>
    </row>
    <row r="29" spans="1:3" x14ac:dyDescent="0.3">
      <c r="A29">
        <v>11656</v>
      </c>
      <c r="B29" t="str">
        <f t="shared" si="0"/>
        <v>11656</v>
      </c>
      <c r="C29" t="s">
        <v>234</v>
      </c>
    </row>
    <row r="30" spans="1:3" x14ac:dyDescent="0.3">
      <c r="A30">
        <v>11723</v>
      </c>
      <c r="B30" t="str">
        <f t="shared" si="0"/>
        <v>11723</v>
      </c>
      <c r="C30" t="s">
        <v>234</v>
      </c>
    </row>
    <row r="31" spans="1:3" x14ac:dyDescent="0.3">
      <c r="A31">
        <v>11739</v>
      </c>
      <c r="B31" t="str">
        <f t="shared" si="0"/>
        <v>11739</v>
      </c>
      <c r="C31" t="s">
        <v>234</v>
      </c>
    </row>
    <row r="32" spans="1:3" x14ac:dyDescent="0.3">
      <c r="A32">
        <v>11802</v>
      </c>
      <c r="B32" t="str">
        <f t="shared" si="0"/>
        <v>11802</v>
      </c>
      <c r="C32" t="s">
        <v>234</v>
      </c>
    </row>
    <row r="33" spans="1:3" x14ac:dyDescent="0.3">
      <c r="A33">
        <v>11812</v>
      </c>
      <c r="B33" t="str">
        <f t="shared" si="0"/>
        <v>11812</v>
      </c>
      <c r="C33" t="s">
        <v>234</v>
      </c>
    </row>
    <row r="34" spans="1:3" x14ac:dyDescent="0.3">
      <c r="A34">
        <v>11813</v>
      </c>
      <c r="B34" t="str">
        <f t="shared" si="0"/>
        <v>11813</v>
      </c>
      <c r="C34" t="s">
        <v>234</v>
      </c>
    </row>
    <row r="35" spans="1:3" x14ac:dyDescent="0.3">
      <c r="A35">
        <v>11852</v>
      </c>
      <c r="B35" t="str">
        <f t="shared" si="0"/>
        <v>11852</v>
      </c>
      <c r="C35" t="s">
        <v>234</v>
      </c>
    </row>
    <row r="36" spans="1:3" x14ac:dyDescent="0.3">
      <c r="A36">
        <v>11869</v>
      </c>
      <c r="B36" t="str">
        <f t="shared" si="0"/>
        <v>11869</v>
      </c>
      <c r="C36" t="s">
        <v>234</v>
      </c>
    </row>
    <row r="37" spans="1:3" x14ac:dyDescent="0.3">
      <c r="A37">
        <v>11925</v>
      </c>
      <c r="B37" t="str">
        <f t="shared" si="0"/>
        <v>11925</v>
      </c>
      <c r="C37" t="s">
        <v>234</v>
      </c>
    </row>
    <row r="38" spans="1:3" x14ac:dyDescent="0.3">
      <c r="A38">
        <v>11928</v>
      </c>
      <c r="B38" t="str">
        <f t="shared" si="0"/>
        <v>11928</v>
      </c>
      <c r="C38" t="s">
        <v>234</v>
      </c>
    </row>
    <row r="39" spans="1:3" x14ac:dyDescent="0.3">
      <c r="A39">
        <v>11943</v>
      </c>
      <c r="B39" t="str">
        <f t="shared" si="0"/>
        <v>11943</v>
      </c>
      <c r="C39" t="s">
        <v>234</v>
      </c>
    </row>
    <row r="40" spans="1:3" x14ac:dyDescent="0.3">
      <c r="A40">
        <v>11957</v>
      </c>
      <c r="B40" t="str">
        <f t="shared" si="0"/>
        <v>11957</v>
      </c>
      <c r="C40" t="s">
        <v>234</v>
      </c>
    </row>
    <row r="41" spans="1:3" x14ac:dyDescent="0.3">
      <c r="A41">
        <v>11963</v>
      </c>
      <c r="B41" t="str">
        <f t="shared" si="0"/>
        <v>11963</v>
      </c>
      <c r="C41" t="s">
        <v>234</v>
      </c>
    </row>
    <row r="42" spans="1:3" x14ac:dyDescent="0.3">
      <c r="A42">
        <v>11996</v>
      </c>
      <c r="B42" t="str">
        <f t="shared" si="0"/>
        <v>11996</v>
      </c>
      <c r="C42" t="s">
        <v>234</v>
      </c>
    </row>
    <row r="43" spans="1:3" x14ac:dyDescent="0.3">
      <c r="A43">
        <v>12072</v>
      </c>
      <c r="B43" t="str">
        <f t="shared" si="0"/>
        <v>12072</v>
      </c>
      <c r="C43" t="s">
        <v>234</v>
      </c>
    </row>
    <row r="44" spans="1:3" x14ac:dyDescent="0.3">
      <c r="A44">
        <v>12073</v>
      </c>
      <c r="B44" t="str">
        <f t="shared" si="0"/>
        <v>12073</v>
      </c>
      <c r="C44" t="s">
        <v>234</v>
      </c>
    </row>
    <row r="45" spans="1:3" x14ac:dyDescent="0.3">
      <c r="A45">
        <v>12149</v>
      </c>
      <c r="B45" t="str">
        <f t="shared" si="0"/>
        <v>12149</v>
      </c>
      <c r="C45" t="s">
        <v>234</v>
      </c>
    </row>
    <row r="46" spans="1:3" x14ac:dyDescent="0.3">
      <c r="A46">
        <v>12157</v>
      </c>
      <c r="B46" t="str">
        <f t="shared" si="0"/>
        <v>12157</v>
      </c>
      <c r="C46" t="s">
        <v>234</v>
      </c>
    </row>
    <row r="47" spans="1:3" x14ac:dyDescent="0.3">
      <c r="A47">
        <v>12206</v>
      </c>
      <c r="B47" t="str">
        <f t="shared" si="0"/>
        <v>12206</v>
      </c>
      <c r="C47" t="s">
        <v>234</v>
      </c>
    </row>
    <row r="48" spans="1:3" x14ac:dyDescent="0.3">
      <c r="A48">
        <v>12244</v>
      </c>
      <c r="B48" t="str">
        <f t="shared" si="0"/>
        <v>12244</v>
      </c>
      <c r="C48" t="s">
        <v>234</v>
      </c>
    </row>
    <row r="49" spans="1:3" x14ac:dyDescent="0.3">
      <c r="A49">
        <v>12283</v>
      </c>
      <c r="B49" t="str">
        <f t="shared" si="0"/>
        <v>12283</v>
      </c>
      <c r="C49" t="s">
        <v>234</v>
      </c>
    </row>
    <row r="50" spans="1:3" x14ac:dyDescent="0.3">
      <c r="A50">
        <v>12290</v>
      </c>
      <c r="B50" t="str">
        <f t="shared" si="0"/>
        <v>12290</v>
      </c>
      <c r="C50" t="s">
        <v>234</v>
      </c>
    </row>
    <row r="51" spans="1:3" x14ac:dyDescent="0.3">
      <c r="A51">
        <v>12291</v>
      </c>
      <c r="B51" t="str">
        <f t="shared" si="0"/>
        <v>12291</v>
      </c>
      <c r="C51" t="s">
        <v>234</v>
      </c>
    </row>
    <row r="52" spans="1:3" x14ac:dyDescent="0.3">
      <c r="A52">
        <v>12322</v>
      </c>
      <c r="B52" t="str">
        <f t="shared" si="0"/>
        <v>12322</v>
      </c>
      <c r="C52" t="s">
        <v>234</v>
      </c>
    </row>
    <row r="53" spans="1:3" x14ac:dyDescent="0.3">
      <c r="A53">
        <v>12409</v>
      </c>
      <c r="B53" t="str">
        <f t="shared" si="0"/>
        <v>12409</v>
      </c>
      <c r="C53" t="s">
        <v>234</v>
      </c>
    </row>
    <row r="54" spans="1:3" x14ac:dyDescent="0.3">
      <c r="A54">
        <v>12640</v>
      </c>
      <c r="B54" t="str">
        <f t="shared" si="0"/>
        <v>12640</v>
      </c>
      <c r="C54" t="s">
        <v>234</v>
      </c>
    </row>
    <row r="55" spans="1:3" x14ac:dyDescent="0.3">
      <c r="A55">
        <v>12691</v>
      </c>
      <c r="B55" t="str">
        <f t="shared" si="0"/>
        <v>12691</v>
      </c>
      <c r="C55" t="s">
        <v>234</v>
      </c>
    </row>
    <row r="56" spans="1:3" x14ac:dyDescent="0.3">
      <c r="A56">
        <v>12848</v>
      </c>
      <c r="B56" t="str">
        <f t="shared" si="0"/>
        <v>12848</v>
      </c>
      <c r="C56" t="s">
        <v>234</v>
      </c>
    </row>
    <row r="57" spans="1:3" x14ac:dyDescent="0.3">
      <c r="A57">
        <v>12860</v>
      </c>
      <c r="B57" t="str">
        <f t="shared" si="0"/>
        <v>12860</v>
      </c>
      <c r="C57" t="s">
        <v>234</v>
      </c>
    </row>
    <row r="58" spans="1:3" x14ac:dyDescent="0.3">
      <c r="A58">
        <v>12893</v>
      </c>
      <c r="B58" t="str">
        <f t="shared" si="0"/>
        <v>12893</v>
      </c>
      <c r="C58" t="s">
        <v>234</v>
      </c>
    </row>
    <row r="59" spans="1:3" x14ac:dyDescent="0.3">
      <c r="A59">
        <v>12899</v>
      </c>
      <c r="B59" t="str">
        <f t="shared" si="0"/>
        <v>12899</v>
      </c>
      <c r="C59" t="s">
        <v>234</v>
      </c>
    </row>
    <row r="60" spans="1:3" x14ac:dyDescent="0.3">
      <c r="A60">
        <v>12900</v>
      </c>
      <c r="B60" t="str">
        <f t="shared" si="0"/>
        <v>12900</v>
      </c>
      <c r="C60" t="s">
        <v>234</v>
      </c>
    </row>
    <row r="61" spans="1:3" x14ac:dyDescent="0.3">
      <c r="A61">
        <v>12993</v>
      </c>
      <c r="B61" t="str">
        <f t="shared" si="0"/>
        <v>12993</v>
      </c>
      <c r="C61" t="s">
        <v>234</v>
      </c>
    </row>
    <row r="62" spans="1:3" x14ac:dyDescent="0.3">
      <c r="A62">
        <v>20219</v>
      </c>
      <c r="B62" t="str">
        <f t="shared" si="0"/>
        <v>20219</v>
      </c>
      <c r="C62" t="s">
        <v>234</v>
      </c>
    </row>
    <row r="63" spans="1:3" x14ac:dyDescent="0.3">
      <c r="A63">
        <v>39661</v>
      </c>
      <c r="B63" t="str">
        <f t="shared" si="0"/>
        <v>39661</v>
      </c>
      <c r="C63" t="s">
        <v>234</v>
      </c>
    </row>
    <row r="64" spans="1:3" x14ac:dyDescent="0.3">
      <c r="A64">
        <v>45033</v>
      </c>
      <c r="B64" t="str">
        <f t="shared" si="0"/>
        <v>45033</v>
      </c>
      <c r="C64" t="s">
        <v>234</v>
      </c>
    </row>
    <row r="65" spans="1:3" x14ac:dyDescent="0.3">
      <c r="A65">
        <v>48174</v>
      </c>
      <c r="B65" t="str">
        <f t="shared" si="0"/>
        <v>48174</v>
      </c>
      <c r="C65" t="s">
        <v>234</v>
      </c>
    </row>
    <row r="66" spans="1:3" x14ac:dyDescent="0.3">
      <c r="A66">
        <v>49370</v>
      </c>
      <c r="B66" t="str">
        <f t="shared" ref="B66:B73" si="1">TRIM(A66)</f>
        <v>49370</v>
      </c>
      <c r="C66" t="s">
        <v>234</v>
      </c>
    </row>
    <row r="67" spans="1:3" x14ac:dyDescent="0.3">
      <c r="A67">
        <v>51455</v>
      </c>
      <c r="B67" t="str">
        <f t="shared" si="1"/>
        <v>51455</v>
      </c>
      <c r="C67" t="s">
        <v>234</v>
      </c>
    </row>
    <row r="68" spans="1:3" x14ac:dyDescent="0.3">
      <c r="A68">
        <v>51964</v>
      </c>
      <c r="B68" t="str">
        <f t="shared" si="1"/>
        <v>51964</v>
      </c>
      <c r="C68" t="s">
        <v>234</v>
      </c>
    </row>
    <row r="69" spans="1:3" x14ac:dyDescent="0.3">
      <c r="A69">
        <v>10200</v>
      </c>
      <c r="B69" t="str">
        <f t="shared" si="1"/>
        <v>10200</v>
      </c>
      <c r="C69" t="s">
        <v>234</v>
      </c>
    </row>
    <row r="70" spans="1:3" x14ac:dyDescent="0.3">
      <c r="A70">
        <v>10642</v>
      </c>
      <c r="B70" t="str">
        <f t="shared" si="1"/>
        <v>10642</v>
      </c>
      <c r="C70" t="s">
        <v>234</v>
      </c>
    </row>
    <row r="71" spans="1:3" x14ac:dyDescent="0.3">
      <c r="A71">
        <v>10637</v>
      </c>
      <c r="B71" t="str">
        <f t="shared" si="1"/>
        <v>10637</v>
      </c>
      <c r="C71" t="s">
        <v>234</v>
      </c>
    </row>
    <row r="72" spans="1:3" x14ac:dyDescent="0.3">
      <c r="A72">
        <v>10446</v>
      </c>
      <c r="B72" t="str">
        <f t="shared" si="1"/>
        <v>10446</v>
      </c>
      <c r="C72" t="s">
        <v>234</v>
      </c>
    </row>
    <row r="73" spans="1:3" x14ac:dyDescent="0.3">
      <c r="A73">
        <v>48173</v>
      </c>
      <c r="B73" t="str">
        <f t="shared" si="1"/>
        <v>48173</v>
      </c>
      <c r="C73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4683-FB09-4F38-A77D-74A0A8A56057}">
  <sheetPr>
    <outlinePr summaryBelow="0"/>
  </sheetPr>
  <dimension ref="A1:L95"/>
  <sheetViews>
    <sheetView zoomScaleNormal="100" workbookViewId="0">
      <pane xSplit="5" ySplit="7" topLeftCell="F84" activePane="bottomRight" state="frozen"/>
      <selection pane="topRight" activeCell="F1" sqref="F1"/>
      <selection pane="bottomLeft" activeCell="A10" sqref="A10"/>
      <selection pane="bottomRight" activeCell="G93" sqref="G93:H93"/>
    </sheetView>
  </sheetViews>
  <sheetFormatPr defaultColWidth="9.109375" defaultRowHeight="14.4" x14ac:dyDescent="0.3"/>
  <cols>
    <col min="2" max="2" width="6.88671875" customWidth="1"/>
    <col min="3" max="3" width="24.6640625" customWidth="1"/>
    <col min="4" max="4" width="12.33203125" customWidth="1"/>
    <col min="5" max="5" width="12.6640625" customWidth="1"/>
    <col min="6" max="9" width="19.6640625" customWidth="1"/>
    <col min="10" max="10" width="13.44140625" customWidth="1"/>
    <col min="11" max="11" width="35.109375" customWidth="1"/>
    <col min="12" max="12" width="11.109375" customWidth="1"/>
  </cols>
  <sheetData>
    <row r="1" spans="1:12" s="1" customFormat="1" ht="32.2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2" s="4" customFormat="1" ht="63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</row>
    <row r="3" spans="1:12" s="10" customFormat="1" ht="16.5" customHeight="1" x14ac:dyDescent="0.3">
      <c r="A3" s="5">
        <v>1</v>
      </c>
      <c r="B3" s="5">
        <v>10064</v>
      </c>
      <c r="C3" s="6" t="s">
        <v>12</v>
      </c>
      <c r="D3" s="5" t="s">
        <v>13</v>
      </c>
      <c r="E3" s="5" t="s">
        <v>14</v>
      </c>
      <c r="F3" s="7">
        <v>10290</v>
      </c>
      <c r="G3" s="7">
        <v>171.5</v>
      </c>
      <c r="H3" s="7">
        <v>0</v>
      </c>
      <c r="I3" s="7">
        <v>0</v>
      </c>
      <c r="J3" s="8">
        <f t="shared" ref="J3:J66" si="0">H3+I3</f>
        <v>0</v>
      </c>
      <c r="K3" s="9"/>
      <c r="L3" s="15">
        <f>G3+H3</f>
        <v>171.5</v>
      </c>
    </row>
    <row r="4" spans="1:12" s="10" customFormat="1" ht="16.5" customHeight="1" x14ac:dyDescent="0.3">
      <c r="A4" s="5">
        <v>2</v>
      </c>
      <c r="B4" s="5">
        <v>10135</v>
      </c>
      <c r="C4" s="6" t="s">
        <v>15</v>
      </c>
      <c r="D4" s="5" t="s">
        <v>16</v>
      </c>
      <c r="E4" s="5" t="s">
        <v>17</v>
      </c>
      <c r="F4" s="7">
        <v>11029.6</v>
      </c>
      <c r="G4" s="7">
        <v>183.83</v>
      </c>
      <c r="H4" s="7">
        <v>21.59</v>
      </c>
      <c r="I4" s="7">
        <v>0</v>
      </c>
      <c r="J4" s="8">
        <f t="shared" si="0"/>
        <v>21.59</v>
      </c>
      <c r="K4" s="9"/>
      <c r="L4" s="15">
        <f t="shared" ref="L4:L67" si="1">G4+H4</f>
        <v>205.42000000000002</v>
      </c>
    </row>
    <row r="5" spans="1:12" s="10" customFormat="1" ht="16.5" customHeight="1" x14ac:dyDescent="0.3">
      <c r="A5" s="5">
        <v>3</v>
      </c>
      <c r="B5" s="5">
        <v>10197</v>
      </c>
      <c r="C5" s="6" t="s">
        <v>18</v>
      </c>
      <c r="D5" s="5" t="s">
        <v>19</v>
      </c>
      <c r="E5" s="5" t="s">
        <v>20</v>
      </c>
      <c r="F5" s="7">
        <v>11519.6</v>
      </c>
      <c r="G5" s="7">
        <v>191.99</v>
      </c>
      <c r="H5" s="7">
        <v>19.84</v>
      </c>
      <c r="I5" s="7">
        <v>0</v>
      </c>
      <c r="J5" s="8">
        <f t="shared" si="0"/>
        <v>19.84</v>
      </c>
      <c r="K5" s="9"/>
      <c r="L5" s="15">
        <f t="shared" si="1"/>
        <v>211.83</v>
      </c>
    </row>
    <row r="6" spans="1:12" s="10" customFormat="1" ht="16.5" customHeight="1" x14ac:dyDescent="0.3">
      <c r="A6" s="5">
        <v>4</v>
      </c>
      <c r="B6" s="5">
        <v>10200</v>
      </c>
      <c r="C6" s="6" t="s">
        <v>21</v>
      </c>
      <c r="D6" s="5" t="s">
        <v>22</v>
      </c>
      <c r="E6" s="5" t="s">
        <v>20</v>
      </c>
      <c r="F6" s="7">
        <v>11110</v>
      </c>
      <c r="G6" s="7">
        <v>185.17</v>
      </c>
      <c r="H6" s="7">
        <v>22</v>
      </c>
      <c r="I6" s="7">
        <v>0</v>
      </c>
      <c r="J6" s="8">
        <f t="shared" si="0"/>
        <v>22</v>
      </c>
      <c r="K6" s="9"/>
      <c r="L6" s="15">
        <f t="shared" si="1"/>
        <v>207.17</v>
      </c>
    </row>
    <row r="7" spans="1:12" s="10" customFormat="1" ht="16.5" customHeight="1" x14ac:dyDescent="0.3">
      <c r="A7" s="5">
        <v>5</v>
      </c>
      <c r="B7" s="5">
        <v>10202</v>
      </c>
      <c r="C7" s="6" t="s">
        <v>23</v>
      </c>
      <c r="D7" s="5" t="s">
        <v>24</v>
      </c>
      <c r="E7" s="5" t="s">
        <v>20</v>
      </c>
      <c r="F7" s="7">
        <v>11029.6</v>
      </c>
      <c r="G7" s="7">
        <v>183.83</v>
      </c>
      <c r="H7" s="7">
        <v>20.84</v>
      </c>
      <c r="I7" s="7">
        <v>0</v>
      </c>
      <c r="J7" s="8">
        <f t="shared" si="0"/>
        <v>20.84</v>
      </c>
      <c r="K7" s="9"/>
      <c r="L7" s="15">
        <f t="shared" si="1"/>
        <v>204.67000000000002</v>
      </c>
    </row>
    <row r="8" spans="1:12" s="10" customFormat="1" ht="16.5" customHeight="1" x14ac:dyDescent="0.3">
      <c r="A8" s="5">
        <v>6</v>
      </c>
      <c r="B8" s="5">
        <v>10206</v>
      </c>
      <c r="C8" s="6" t="s">
        <v>25</v>
      </c>
      <c r="D8" s="5" t="s">
        <v>26</v>
      </c>
      <c r="E8" s="5" t="s">
        <v>27</v>
      </c>
      <c r="F8" s="7">
        <v>8120</v>
      </c>
      <c r="G8" s="7">
        <v>135.33000000000001</v>
      </c>
      <c r="H8" s="7">
        <v>0</v>
      </c>
      <c r="I8" s="7">
        <v>0</v>
      </c>
      <c r="J8" s="8">
        <f t="shared" si="0"/>
        <v>0</v>
      </c>
      <c r="K8" s="9"/>
      <c r="L8" s="15">
        <f t="shared" si="1"/>
        <v>135.33000000000001</v>
      </c>
    </row>
    <row r="9" spans="1:12" s="10" customFormat="1" ht="16.5" customHeight="1" x14ac:dyDescent="0.3">
      <c r="A9" s="5">
        <v>7</v>
      </c>
      <c r="B9" s="5">
        <v>10297</v>
      </c>
      <c r="C9" s="6" t="s">
        <v>28</v>
      </c>
      <c r="D9" s="5" t="s">
        <v>29</v>
      </c>
      <c r="E9" s="5" t="s">
        <v>30</v>
      </c>
      <c r="F9" s="7">
        <v>10380</v>
      </c>
      <c r="G9" s="7">
        <v>173</v>
      </c>
      <c r="H9" s="7">
        <v>24</v>
      </c>
      <c r="I9" s="7">
        <v>0</v>
      </c>
      <c r="J9" s="8">
        <f t="shared" si="0"/>
        <v>24</v>
      </c>
      <c r="K9" s="9"/>
      <c r="L9" s="15">
        <f t="shared" si="1"/>
        <v>197</v>
      </c>
    </row>
    <row r="10" spans="1:12" s="10" customFormat="1" ht="16.5" customHeight="1" x14ac:dyDescent="0.3">
      <c r="A10" s="5">
        <v>8</v>
      </c>
      <c r="B10" s="5">
        <v>10325</v>
      </c>
      <c r="C10" s="6" t="s">
        <v>31</v>
      </c>
      <c r="D10" s="5" t="s">
        <v>32</v>
      </c>
      <c r="E10" s="5" t="s">
        <v>33</v>
      </c>
      <c r="F10" s="7">
        <v>10835</v>
      </c>
      <c r="G10" s="7">
        <v>180.58</v>
      </c>
      <c r="H10" s="7">
        <v>18.75</v>
      </c>
      <c r="I10" s="7">
        <v>0</v>
      </c>
      <c r="J10" s="8">
        <f t="shared" si="0"/>
        <v>18.75</v>
      </c>
      <c r="K10" s="9"/>
      <c r="L10" s="15">
        <f t="shared" si="1"/>
        <v>199.33</v>
      </c>
    </row>
    <row r="11" spans="1:12" s="10" customFormat="1" ht="16.5" customHeight="1" x14ac:dyDescent="0.3">
      <c r="A11" s="5">
        <v>9</v>
      </c>
      <c r="B11" s="5">
        <v>10444</v>
      </c>
      <c r="C11" s="6" t="s">
        <v>34</v>
      </c>
      <c r="D11" s="5" t="s">
        <v>35</v>
      </c>
      <c r="E11" s="5" t="s">
        <v>36</v>
      </c>
      <c r="F11" s="7">
        <v>10237</v>
      </c>
      <c r="G11" s="7">
        <v>170.62</v>
      </c>
      <c r="H11" s="7">
        <v>24.75</v>
      </c>
      <c r="I11" s="7">
        <v>0</v>
      </c>
      <c r="J11" s="8">
        <f t="shared" si="0"/>
        <v>24.75</v>
      </c>
      <c r="K11" s="9"/>
      <c r="L11" s="15">
        <f t="shared" si="1"/>
        <v>195.37</v>
      </c>
    </row>
    <row r="12" spans="1:12" s="10" customFormat="1" ht="16.5" customHeight="1" x14ac:dyDescent="0.3">
      <c r="A12" s="5">
        <v>10</v>
      </c>
      <c r="B12" s="5">
        <v>10446</v>
      </c>
      <c r="C12" s="6" t="s">
        <v>37</v>
      </c>
      <c r="D12" s="5" t="s">
        <v>38</v>
      </c>
      <c r="E12" s="5" t="s">
        <v>36</v>
      </c>
      <c r="F12" s="7">
        <v>11110</v>
      </c>
      <c r="G12" s="7">
        <v>185.17</v>
      </c>
      <c r="H12" s="7">
        <v>22</v>
      </c>
      <c r="I12" s="7">
        <v>0</v>
      </c>
      <c r="J12" s="8">
        <f t="shared" si="0"/>
        <v>22</v>
      </c>
      <c r="K12" s="9"/>
      <c r="L12" s="15">
        <f t="shared" si="1"/>
        <v>207.17</v>
      </c>
    </row>
    <row r="13" spans="1:12" s="10" customFormat="1" ht="16.5" customHeight="1" x14ac:dyDescent="0.3">
      <c r="A13" s="5">
        <v>11</v>
      </c>
      <c r="B13" s="5">
        <v>10447</v>
      </c>
      <c r="C13" s="6" t="s">
        <v>39</v>
      </c>
      <c r="D13" s="5" t="s">
        <v>40</v>
      </c>
      <c r="E13" s="5" t="s">
        <v>41</v>
      </c>
      <c r="F13" s="7">
        <v>10835</v>
      </c>
      <c r="G13" s="7">
        <v>180.58</v>
      </c>
      <c r="H13" s="7">
        <v>37</v>
      </c>
      <c r="I13" s="7">
        <v>1</v>
      </c>
      <c r="J13" s="8">
        <f t="shared" si="0"/>
        <v>38</v>
      </c>
      <c r="K13" s="9"/>
      <c r="L13" s="15">
        <f t="shared" si="1"/>
        <v>217.58</v>
      </c>
    </row>
    <row r="14" spans="1:12" s="10" customFormat="1" ht="16.5" customHeight="1" x14ac:dyDescent="0.3">
      <c r="A14" s="5">
        <v>12</v>
      </c>
      <c r="B14" s="5">
        <v>10475</v>
      </c>
      <c r="C14" s="6" t="s">
        <v>42</v>
      </c>
      <c r="D14" s="5" t="s">
        <v>43</v>
      </c>
      <c r="E14" s="5" t="s">
        <v>44</v>
      </c>
      <c r="F14" s="7">
        <v>9470</v>
      </c>
      <c r="G14" s="7">
        <v>157.83000000000001</v>
      </c>
      <c r="H14" s="7">
        <v>17.5</v>
      </c>
      <c r="I14" s="7">
        <v>0</v>
      </c>
      <c r="J14" s="8">
        <f t="shared" si="0"/>
        <v>17.5</v>
      </c>
      <c r="K14" s="9"/>
      <c r="L14" s="15">
        <f t="shared" si="1"/>
        <v>175.33</v>
      </c>
    </row>
    <row r="15" spans="1:12" s="10" customFormat="1" ht="16.5" customHeight="1" x14ac:dyDescent="0.3">
      <c r="A15" s="5">
        <v>13</v>
      </c>
      <c r="B15" s="5">
        <v>10546</v>
      </c>
      <c r="C15" s="6" t="s">
        <v>45</v>
      </c>
      <c r="D15" s="5" t="s">
        <v>46</v>
      </c>
      <c r="E15" s="5" t="s">
        <v>47</v>
      </c>
      <c r="F15" s="7">
        <v>10835</v>
      </c>
      <c r="G15" s="7">
        <v>180.58</v>
      </c>
      <c r="H15" s="7">
        <v>15.5</v>
      </c>
      <c r="I15" s="7">
        <v>0</v>
      </c>
      <c r="J15" s="8">
        <f t="shared" si="0"/>
        <v>15.5</v>
      </c>
      <c r="K15" s="9"/>
      <c r="L15" s="15">
        <f t="shared" si="1"/>
        <v>196.08</v>
      </c>
    </row>
    <row r="16" spans="1:12" s="10" customFormat="1" ht="16.5" customHeight="1" x14ac:dyDescent="0.3">
      <c r="A16" s="5">
        <v>14</v>
      </c>
      <c r="B16" s="5">
        <v>10597</v>
      </c>
      <c r="C16" s="6" t="s">
        <v>48</v>
      </c>
      <c r="D16" s="5" t="s">
        <v>49</v>
      </c>
      <c r="E16" s="5" t="s">
        <v>50</v>
      </c>
      <c r="F16" s="7">
        <v>10105</v>
      </c>
      <c r="G16" s="7">
        <v>168.42</v>
      </c>
      <c r="H16" s="7">
        <v>32.25</v>
      </c>
      <c r="I16" s="7">
        <v>1.25</v>
      </c>
      <c r="J16" s="8">
        <f t="shared" si="0"/>
        <v>33.5</v>
      </c>
      <c r="K16" s="9"/>
      <c r="L16" s="15">
        <f t="shared" si="1"/>
        <v>200.67</v>
      </c>
    </row>
    <row r="17" spans="1:12" s="10" customFormat="1" ht="16.5" customHeight="1" x14ac:dyDescent="0.3">
      <c r="A17" s="5">
        <v>15</v>
      </c>
      <c r="B17" s="5">
        <v>10622</v>
      </c>
      <c r="C17" s="6" t="s">
        <v>51</v>
      </c>
      <c r="D17" s="5" t="s">
        <v>52</v>
      </c>
      <c r="E17" s="5" t="s">
        <v>53</v>
      </c>
      <c r="F17" s="7">
        <v>11110</v>
      </c>
      <c r="G17" s="7">
        <v>185.17</v>
      </c>
      <c r="H17" s="7">
        <v>22</v>
      </c>
      <c r="I17" s="7">
        <v>0</v>
      </c>
      <c r="J17" s="8">
        <f t="shared" si="0"/>
        <v>22</v>
      </c>
      <c r="K17" s="9"/>
      <c r="L17" s="15">
        <f t="shared" si="1"/>
        <v>207.17</v>
      </c>
    </row>
    <row r="18" spans="1:12" s="10" customFormat="1" ht="16.5" customHeight="1" x14ac:dyDescent="0.3">
      <c r="A18" s="5">
        <v>16</v>
      </c>
      <c r="B18" s="5">
        <v>10637</v>
      </c>
      <c r="C18" s="6" t="s">
        <v>54</v>
      </c>
      <c r="D18" s="5" t="s">
        <v>55</v>
      </c>
      <c r="E18" s="5" t="s">
        <v>56</v>
      </c>
      <c r="F18" s="7">
        <v>9925</v>
      </c>
      <c r="G18" s="7">
        <v>165.42</v>
      </c>
      <c r="H18" s="7">
        <v>7.5</v>
      </c>
      <c r="I18" s="7">
        <v>0</v>
      </c>
      <c r="J18" s="8">
        <f t="shared" si="0"/>
        <v>7.5</v>
      </c>
      <c r="K18" s="9"/>
      <c r="L18" s="15">
        <f t="shared" si="1"/>
        <v>172.92</v>
      </c>
    </row>
    <row r="19" spans="1:12" s="10" customFormat="1" ht="16.5" customHeight="1" x14ac:dyDescent="0.3">
      <c r="A19" s="5">
        <v>17</v>
      </c>
      <c r="B19" s="5">
        <v>10642</v>
      </c>
      <c r="C19" s="6" t="s">
        <v>57</v>
      </c>
      <c r="D19" s="5" t="s">
        <v>58</v>
      </c>
      <c r="E19" s="5" t="s">
        <v>59</v>
      </c>
      <c r="F19" s="7">
        <v>10560</v>
      </c>
      <c r="G19" s="7">
        <v>176</v>
      </c>
      <c r="H19" s="7">
        <v>15</v>
      </c>
      <c r="I19" s="7">
        <v>0</v>
      </c>
      <c r="J19" s="8">
        <f t="shared" si="0"/>
        <v>15</v>
      </c>
      <c r="K19" s="9"/>
      <c r="L19" s="15">
        <f t="shared" si="1"/>
        <v>191</v>
      </c>
    </row>
    <row r="20" spans="1:12" s="10" customFormat="1" ht="16.5" customHeight="1" x14ac:dyDescent="0.3">
      <c r="A20" s="5">
        <v>18</v>
      </c>
      <c r="B20" s="5">
        <v>10649</v>
      </c>
      <c r="C20" s="6" t="s">
        <v>60</v>
      </c>
      <c r="D20" s="5" t="s">
        <v>61</v>
      </c>
      <c r="E20" s="5" t="s">
        <v>62</v>
      </c>
      <c r="F20" s="7">
        <v>11519.6</v>
      </c>
      <c r="G20" s="7">
        <v>191.99</v>
      </c>
      <c r="H20" s="7">
        <v>20.09</v>
      </c>
      <c r="I20" s="7">
        <v>0</v>
      </c>
      <c r="J20" s="8">
        <f t="shared" si="0"/>
        <v>20.09</v>
      </c>
      <c r="K20" s="9"/>
      <c r="L20" s="15">
        <f t="shared" si="1"/>
        <v>212.08</v>
      </c>
    </row>
    <row r="21" spans="1:12" s="10" customFormat="1" ht="16.5" customHeight="1" x14ac:dyDescent="0.3">
      <c r="A21" s="5">
        <v>19</v>
      </c>
      <c r="B21" s="5">
        <v>10652</v>
      </c>
      <c r="C21" s="6" t="s">
        <v>63</v>
      </c>
      <c r="D21" s="5" t="s">
        <v>64</v>
      </c>
      <c r="E21" s="5" t="s">
        <v>62</v>
      </c>
      <c r="F21" s="7">
        <v>10835</v>
      </c>
      <c r="G21" s="7">
        <v>180.58</v>
      </c>
      <c r="H21" s="7">
        <v>15.5</v>
      </c>
      <c r="I21" s="7">
        <v>0</v>
      </c>
      <c r="J21" s="8">
        <f t="shared" si="0"/>
        <v>15.5</v>
      </c>
      <c r="K21" s="9"/>
      <c r="L21" s="15">
        <f t="shared" si="1"/>
        <v>196.08</v>
      </c>
    </row>
    <row r="22" spans="1:12" s="10" customFormat="1" ht="16.5" customHeight="1" x14ac:dyDescent="0.3">
      <c r="A22" s="5">
        <v>20</v>
      </c>
      <c r="B22" s="5">
        <v>10660</v>
      </c>
      <c r="C22" s="6" t="s">
        <v>65</v>
      </c>
      <c r="D22" s="5" t="s">
        <v>29</v>
      </c>
      <c r="E22" s="5" t="s">
        <v>66</v>
      </c>
      <c r="F22" s="7">
        <v>11110</v>
      </c>
      <c r="G22" s="7">
        <v>185.17</v>
      </c>
      <c r="H22" s="7">
        <v>28</v>
      </c>
      <c r="I22" s="7">
        <v>0</v>
      </c>
      <c r="J22" s="8">
        <f t="shared" si="0"/>
        <v>28</v>
      </c>
      <c r="K22" s="9"/>
      <c r="L22" s="15">
        <f t="shared" si="1"/>
        <v>213.17</v>
      </c>
    </row>
    <row r="23" spans="1:12" s="10" customFormat="1" ht="16.5" customHeight="1" x14ac:dyDescent="0.3">
      <c r="A23" s="5">
        <v>21</v>
      </c>
      <c r="B23" s="5">
        <v>10667</v>
      </c>
      <c r="C23" s="6" t="s">
        <v>67</v>
      </c>
      <c r="D23" s="5" t="s">
        <v>68</v>
      </c>
      <c r="E23" s="5" t="s">
        <v>69</v>
      </c>
      <c r="F23" s="7">
        <v>10105</v>
      </c>
      <c r="G23" s="7">
        <v>168.42</v>
      </c>
      <c r="H23" s="7">
        <v>24</v>
      </c>
      <c r="I23" s="7">
        <v>0</v>
      </c>
      <c r="J23" s="8">
        <f t="shared" si="0"/>
        <v>24</v>
      </c>
      <c r="K23" s="9"/>
      <c r="L23" s="15">
        <f t="shared" si="1"/>
        <v>192.42</v>
      </c>
    </row>
    <row r="24" spans="1:12" s="10" customFormat="1" ht="16.5" customHeight="1" x14ac:dyDescent="0.3">
      <c r="A24" s="5">
        <v>22</v>
      </c>
      <c r="B24" s="5">
        <v>10713</v>
      </c>
      <c r="C24" s="6" t="s">
        <v>70</v>
      </c>
      <c r="D24" s="5" t="s">
        <v>71</v>
      </c>
      <c r="E24" s="5" t="s">
        <v>72</v>
      </c>
      <c r="F24" s="7">
        <v>10835</v>
      </c>
      <c r="G24" s="7">
        <v>180.58</v>
      </c>
      <c r="H24" s="7">
        <v>29.25</v>
      </c>
      <c r="I24" s="7">
        <v>0.5</v>
      </c>
      <c r="J24" s="8">
        <f t="shared" si="0"/>
        <v>29.75</v>
      </c>
      <c r="K24" s="9"/>
      <c r="L24" s="15">
        <f t="shared" si="1"/>
        <v>209.83</v>
      </c>
    </row>
    <row r="25" spans="1:12" s="10" customFormat="1" ht="16.5" customHeight="1" x14ac:dyDescent="0.3">
      <c r="A25" s="5">
        <v>23</v>
      </c>
      <c r="B25" s="5">
        <v>11124</v>
      </c>
      <c r="C25" s="6" t="s">
        <v>73</v>
      </c>
      <c r="D25" s="5" t="s">
        <v>49</v>
      </c>
      <c r="E25" s="5" t="s">
        <v>74</v>
      </c>
      <c r="F25" s="7">
        <v>10835</v>
      </c>
      <c r="G25" s="7">
        <v>180.58</v>
      </c>
      <c r="H25" s="7">
        <v>16.5</v>
      </c>
      <c r="I25" s="7">
        <v>0</v>
      </c>
      <c r="J25" s="8">
        <f t="shared" si="0"/>
        <v>16.5</v>
      </c>
      <c r="K25" s="9"/>
      <c r="L25" s="15">
        <f t="shared" si="1"/>
        <v>197.08</v>
      </c>
    </row>
    <row r="26" spans="1:12" s="10" customFormat="1" ht="16.5" customHeight="1" x14ac:dyDescent="0.3">
      <c r="A26" s="5">
        <v>24</v>
      </c>
      <c r="B26" s="5">
        <v>11139</v>
      </c>
      <c r="C26" s="6" t="s">
        <v>75</v>
      </c>
      <c r="D26" s="5" t="s">
        <v>76</v>
      </c>
      <c r="E26" s="5" t="s">
        <v>77</v>
      </c>
      <c r="F26" s="7">
        <v>0</v>
      </c>
      <c r="G26" s="7">
        <v>0</v>
      </c>
      <c r="H26" s="7">
        <v>0</v>
      </c>
      <c r="I26" s="7">
        <v>0</v>
      </c>
      <c r="J26" s="8">
        <f t="shared" si="0"/>
        <v>0</v>
      </c>
      <c r="K26" s="9"/>
      <c r="L26" s="15">
        <f t="shared" si="1"/>
        <v>0</v>
      </c>
    </row>
    <row r="27" spans="1:12" s="10" customFormat="1" ht="16.5" customHeight="1" x14ac:dyDescent="0.3">
      <c r="A27" s="5">
        <v>25</v>
      </c>
      <c r="B27" s="5">
        <v>11215</v>
      </c>
      <c r="C27" s="6" t="s">
        <v>31</v>
      </c>
      <c r="D27" s="5" t="s">
        <v>78</v>
      </c>
      <c r="E27" s="5" t="s">
        <v>79</v>
      </c>
      <c r="F27" s="7">
        <v>10380</v>
      </c>
      <c r="G27" s="7">
        <v>173</v>
      </c>
      <c r="H27" s="7">
        <v>18.5</v>
      </c>
      <c r="I27" s="7">
        <v>0</v>
      </c>
      <c r="J27" s="8">
        <f t="shared" si="0"/>
        <v>18.5</v>
      </c>
      <c r="K27" s="9"/>
      <c r="L27" s="15">
        <f t="shared" si="1"/>
        <v>191.5</v>
      </c>
    </row>
    <row r="28" spans="1:12" s="10" customFormat="1" ht="16.5" customHeight="1" x14ac:dyDescent="0.3">
      <c r="A28" s="5">
        <v>26</v>
      </c>
      <c r="B28" s="5">
        <v>11235</v>
      </c>
      <c r="C28" s="6" t="s">
        <v>80</v>
      </c>
      <c r="D28" s="5" t="s">
        <v>16</v>
      </c>
      <c r="E28" s="5" t="s">
        <v>81</v>
      </c>
      <c r="F28" s="7">
        <v>10380</v>
      </c>
      <c r="G28" s="7">
        <v>173</v>
      </c>
      <c r="H28" s="7">
        <v>18.5</v>
      </c>
      <c r="I28" s="7">
        <v>0</v>
      </c>
      <c r="J28" s="8">
        <f t="shared" si="0"/>
        <v>18.5</v>
      </c>
      <c r="K28" s="9"/>
      <c r="L28" s="15">
        <f t="shared" si="1"/>
        <v>191.5</v>
      </c>
    </row>
    <row r="29" spans="1:12" s="10" customFormat="1" ht="16.5" customHeight="1" x14ac:dyDescent="0.3">
      <c r="A29" s="5">
        <v>27</v>
      </c>
      <c r="B29" s="5">
        <v>11246</v>
      </c>
      <c r="C29" s="6" t="s">
        <v>82</v>
      </c>
      <c r="D29" s="5" t="s">
        <v>83</v>
      </c>
      <c r="E29" s="5" t="s">
        <v>84</v>
      </c>
      <c r="F29" s="7">
        <v>11110</v>
      </c>
      <c r="G29" s="7">
        <v>185.17</v>
      </c>
      <c r="H29" s="7">
        <v>21.5</v>
      </c>
      <c r="I29" s="7">
        <v>0</v>
      </c>
      <c r="J29" s="8">
        <f t="shared" si="0"/>
        <v>21.5</v>
      </c>
      <c r="K29" s="9"/>
      <c r="L29" s="15">
        <f t="shared" si="1"/>
        <v>206.67</v>
      </c>
    </row>
    <row r="30" spans="1:12" s="10" customFormat="1" ht="16.5" customHeight="1" x14ac:dyDescent="0.3">
      <c r="A30" s="5">
        <v>28</v>
      </c>
      <c r="B30" s="5">
        <v>11247</v>
      </c>
      <c r="C30" s="6" t="s">
        <v>85</v>
      </c>
      <c r="D30" s="5" t="s">
        <v>86</v>
      </c>
      <c r="E30" s="5" t="s">
        <v>84</v>
      </c>
      <c r="F30" s="7">
        <v>10835</v>
      </c>
      <c r="G30" s="7">
        <v>180.58</v>
      </c>
      <c r="H30" s="7">
        <v>34.25</v>
      </c>
      <c r="I30" s="7">
        <v>0.75</v>
      </c>
      <c r="J30" s="8">
        <f t="shared" si="0"/>
        <v>35</v>
      </c>
      <c r="K30" s="9"/>
      <c r="L30" s="15">
        <f t="shared" si="1"/>
        <v>214.83</v>
      </c>
    </row>
    <row r="31" spans="1:12" s="10" customFormat="1" ht="16.5" customHeight="1" x14ac:dyDescent="0.3">
      <c r="A31" s="5">
        <v>29</v>
      </c>
      <c r="B31" s="5">
        <v>11269</v>
      </c>
      <c r="C31" s="6" t="s">
        <v>87</v>
      </c>
      <c r="D31" s="5" t="s">
        <v>88</v>
      </c>
      <c r="E31" s="5" t="s">
        <v>89</v>
      </c>
      <c r="F31" s="7">
        <v>11110</v>
      </c>
      <c r="G31" s="7">
        <v>185.17</v>
      </c>
      <c r="H31" s="7">
        <v>34</v>
      </c>
      <c r="I31" s="7">
        <v>0</v>
      </c>
      <c r="J31" s="8">
        <f t="shared" si="0"/>
        <v>34</v>
      </c>
      <c r="K31" s="9"/>
      <c r="L31" s="15">
        <f t="shared" si="1"/>
        <v>219.17</v>
      </c>
    </row>
    <row r="32" spans="1:12" s="10" customFormat="1" ht="16.5" customHeight="1" x14ac:dyDescent="0.3">
      <c r="A32" s="5">
        <v>30</v>
      </c>
      <c r="B32" s="5">
        <v>11325</v>
      </c>
      <c r="C32" s="6" t="s">
        <v>90</v>
      </c>
      <c r="D32" s="5" t="s">
        <v>16</v>
      </c>
      <c r="E32" s="5" t="s">
        <v>91</v>
      </c>
      <c r="F32" s="7">
        <v>10835</v>
      </c>
      <c r="G32" s="7">
        <v>180.58</v>
      </c>
      <c r="H32" s="7">
        <v>18.25</v>
      </c>
      <c r="I32" s="7">
        <v>0</v>
      </c>
      <c r="J32" s="8">
        <f t="shared" si="0"/>
        <v>18.25</v>
      </c>
      <c r="K32" s="9"/>
      <c r="L32" s="15">
        <f t="shared" si="1"/>
        <v>198.83</v>
      </c>
    </row>
    <row r="33" spans="1:12" s="10" customFormat="1" ht="16.5" customHeight="1" x14ac:dyDescent="0.3">
      <c r="A33" s="5">
        <v>31</v>
      </c>
      <c r="B33" s="5">
        <v>11390</v>
      </c>
      <c r="C33" s="6" t="s">
        <v>92</v>
      </c>
      <c r="D33" s="5" t="s">
        <v>93</v>
      </c>
      <c r="E33" s="5" t="s">
        <v>94</v>
      </c>
      <c r="F33" s="7">
        <v>11110</v>
      </c>
      <c r="G33" s="7">
        <v>185.17</v>
      </c>
      <c r="H33" s="7">
        <v>22</v>
      </c>
      <c r="I33" s="7">
        <v>0</v>
      </c>
      <c r="J33" s="8">
        <f t="shared" si="0"/>
        <v>22</v>
      </c>
      <c r="K33" s="9"/>
      <c r="L33" s="15">
        <f t="shared" si="1"/>
        <v>207.17</v>
      </c>
    </row>
    <row r="34" spans="1:12" s="10" customFormat="1" ht="16.5" customHeight="1" x14ac:dyDescent="0.3">
      <c r="A34" s="5">
        <v>32</v>
      </c>
      <c r="B34" s="5">
        <v>11444</v>
      </c>
      <c r="C34" s="6" t="s">
        <v>85</v>
      </c>
      <c r="D34" s="5" t="s">
        <v>43</v>
      </c>
      <c r="E34" s="5" t="s">
        <v>95</v>
      </c>
      <c r="F34" s="7">
        <v>10380</v>
      </c>
      <c r="G34" s="7">
        <v>173</v>
      </c>
      <c r="H34" s="7">
        <v>33.5</v>
      </c>
      <c r="I34" s="7">
        <v>0</v>
      </c>
      <c r="J34" s="8">
        <f t="shared" si="0"/>
        <v>33.5</v>
      </c>
      <c r="K34" s="9"/>
      <c r="L34" s="15">
        <f t="shared" si="1"/>
        <v>206.5</v>
      </c>
    </row>
    <row r="35" spans="1:12" s="10" customFormat="1" ht="16.5" customHeight="1" x14ac:dyDescent="0.3">
      <c r="A35" s="5">
        <v>33</v>
      </c>
      <c r="B35" s="5">
        <v>11447</v>
      </c>
      <c r="C35" s="6" t="s">
        <v>96</v>
      </c>
      <c r="D35" s="5" t="s">
        <v>61</v>
      </c>
      <c r="E35" s="5" t="s">
        <v>95</v>
      </c>
      <c r="F35" s="7">
        <v>7964</v>
      </c>
      <c r="G35" s="7">
        <v>132.72999999999999</v>
      </c>
      <c r="H35" s="7">
        <v>7.25</v>
      </c>
      <c r="I35" s="7">
        <v>0</v>
      </c>
      <c r="J35" s="8">
        <f t="shared" si="0"/>
        <v>7.25</v>
      </c>
      <c r="K35" s="9"/>
      <c r="L35" s="15">
        <f t="shared" si="1"/>
        <v>139.97999999999999</v>
      </c>
    </row>
    <row r="36" spans="1:12" s="10" customFormat="1" ht="16.5" customHeight="1" x14ac:dyDescent="0.3">
      <c r="A36" s="5">
        <v>34</v>
      </c>
      <c r="B36" s="5">
        <v>11484</v>
      </c>
      <c r="C36" s="6" t="s">
        <v>97</v>
      </c>
      <c r="D36" s="5" t="s">
        <v>98</v>
      </c>
      <c r="E36" s="5" t="s">
        <v>99</v>
      </c>
      <c r="F36" s="7">
        <v>10380</v>
      </c>
      <c r="G36" s="7">
        <v>173</v>
      </c>
      <c r="H36" s="7">
        <v>14.5</v>
      </c>
      <c r="I36" s="7">
        <v>0</v>
      </c>
      <c r="J36" s="8">
        <f t="shared" si="0"/>
        <v>14.5</v>
      </c>
      <c r="K36" s="9"/>
      <c r="L36" s="15">
        <f t="shared" si="1"/>
        <v>187.5</v>
      </c>
    </row>
    <row r="37" spans="1:12" s="10" customFormat="1" ht="16.5" customHeight="1" x14ac:dyDescent="0.3">
      <c r="A37" s="5">
        <v>35</v>
      </c>
      <c r="B37" s="5">
        <v>11517</v>
      </c>
      <c r="C37" s="6" t="s">
        <v>100</v>
      </c>
      <c r="D37" s="5" t="s">
        <v>101</v>
      </c>
      <c r="E37" s="5" t="s">
        <v>102</v>
      </c>
      <c r="F37" s="7">
        <v>10835</v>
      </c>
      <c r="G37" s="7">
        <v>180.58</v>
      </c>
      <c r="H37" s="7">
        <v>13.5</v>
      </c>
      <c r="I37" s="7">
        <v>0</v>
      </c>
      <c r="J37" s="8">
        <f t="shared" si="0"/>
        <v>13.5</v>
      </c>
      <c r="K37" s="9"/>
      <c r="L37" s="15">
        <f t="shared" si="1"/>
        <v>194.08</v>
      </c>
    </row>
    <row r="38" spans="1:12" s="10" customFormat="1" ht="16.5" customHeight="1" x14ac:dyDescent="0.3">
      <c r="A38" s="5">
        <v>36</v>
      </c>
      <c r="B38" s="5">
        <v>11518</v>
      </c>
      <c r="C38" s="6" t="s">
        <v>103</v>
      </c>
      <c r="D38" s="5" t="s">
        <v>104</v>
      </c>
      <c r="E38" s="5" t="s">
        <v>102</v>
      </c>
      <c r="F38" s="7">
        <v>10835</v>
      </c>
      <c r="G38" s="7">
        <v>180.58</v>
      </c>
      <c r="H38" s="7">
        <v>19.5</v>
      </c>
      <c r="I38" s="7">
        <v>0</v>
      </c>
      <c r="J38" s="8">
        <f t="shared" si="0"/>
        <v>19.5</v>
      </c>
      <c r="K38" s="9"/>
      <c r="L38" s="15">
        <f t="shared" si="1"/>
        <v>200.08</v>
      </c>
    </row>
    <row r="39" spans="1:12" s="10" customFormat="1" ht="16.5" customHeight="1" x14ac:dyDescent="0.3">
      <c r="A39" s="5">
        <v>37</v>
      </c>
      <c r="B39" s="5">
        <v>11537</v>
      </c>
      <c r="C39" s="6" t="s">
        <v>105</v>
      </c>
      <c r="D39" s="5" t="s">
        <v>52</v>
      </c>
      <c r="E39" s="5" t="s">
        <v>106</v>
      </c>
      <c r="F39" s="7">
        <v>10835</v>
      </c>
      <c r="G39" s="7">
        <v>180.58</v>
      </c>
      <c r="H39" s="7">
        <v>27.75</v>
      </c>
      <c r="I39" s="7">
        <v>0</v>
      </c>
      <c r="J39" s="8">
        <f t="shared" si="0"/>
        <v>27.75</v>
      </c>
      <c r="K39" s="9"/>
      <c r="L39" s="15">
        <f t="shared" si="1"/>
        <v>208.33</v>
      </c>
    </row>
    <row r="40" spans="1:12" s="10" customFormat="1" ht="16.5" customHeight="1" x14ac:dyDescent="0.3">
      <c r="A40" s="5">
        <v>38</v>
      </c>
      <c r="B40" s="5">
        <v>11538</v>
      </c>
      <c r="C40" s="6" t="s">
        <v>107</v>
      </c>
      <c r="D40" s="5" t="s">
        <v>108</v>
      </c>
      <c r="E40" s="5" t="s">
        <v>106</v>
      </c>
      <c r="F40" s="7">
        <v>10824</v>
      </c>
      <c r="G40" s="7">
        <v>180.4</v>
      </c>
      <c r="H40" s="7">
        <v>17.5</v>
      </c>
      <c r="I40" s="7">
        <v>0</v>
      </c>
      <c r="J40" s="8">
        <f t="shared" si="0"/>
        <v>17.5</v>
      </c>
      <c r="K40" s="9"/>
      <c r="L40" s="15">
        <f t="shared" si="1"/>
        <v>197.9</v>
      </c>
    </row>
    <row r="41" spans="1:12" s="10" customFormat="1" ht="16.5" customHeight="1" x14ac:dyDescent="0.3">
      <c r="A41" s="5">
        <v>39</v>
      </c>
      <c r="B41" s="5">
        <v>11547</v>
      </c>
      <c r="C41" s="6" t="s">
        <v>109</v>
      </c>
      <c r="D41" s="5" t="s">
        <v>110</v>
      </c>
      <c r="E41" s="5" t="s">
        <v>111</v>
      </c>
      <c r="F41" s="7">
        <v>11110</v>
      </c>
      <c r="G41" s="7">
        <v>185.17</v>
      </c>
      <c r="H41" s="7">
        <v>30.5</v>
      </c>
      <c r="I41" s="7">
        <v>0</v>
      </c>
      <c r="J41" s="8">
        <f t="shared" si="0"/>
        <v>30.5</v>
      </c>
      <c r="K41" s="9"/>
      <c r="L41" s="15">
        <f t="shared" si="1"/>
        <v>215.67</v>
      </c>
    </row>
    <row r="42" spans="1:12" s="10" customFormat="1" ht="16.5" customHeight="1" x14ac:dyDescent="0.3">
      <c r="A42" s="5">
        <v>40</v>
      </c>
      <c r="B42" s="5">
        <v>11550</v>
      </c>
      <c r="C42" s="6" t="s">
        <v>75</v>
      </c>
      <c r="D42" s="5" t="s">
        <v>112</v>
      </c>
      <c r="E42" s="5" t="s">
        <v>113</v>
      </c>
      <c r="F42" s="7">
        <v>10105</v>
      </c>
      <c r="G42" s="7">
        <v>168.42</v>
      </c>
      <c r="H42" s="7">
        <v>17</v>
      </c>
      <c r="I42" s="7">
        <v>0</v>
      </c>
      <c r="J42" s="8">
        <f t="shared" si="0"/>
        <v>17</v>
      </c>
      <c r="K42" s="9"/>
      <c r="L42" s="15">
        <f t="shared" si="1"/>
        <v>185.42</v>
      </c>
    </row>
    <row r="43" spans="1:12" s="10" customFormat="1" ht="16.5" customHeight="1" x14ac:dyDescent="0.3">
      <c r="A43" s="5">
        <v>41</v>
      </c>
      <c r="B43" s="5">
        <v>11553</v>
      </c>
      <c r="C43" s="6" t="s">
        <v>114</v>
      </c>
      <c r="D43" s="5" t="s">
        <v>115</v>
      </c>
      <c r="E43" s="5" t="s">
        <v>113</v>
      </c>
      <c r="F43" s="7">
        <v>10835</v>
      </c>
      <c r="G43" s="7">
        <v>180.58</v>
      </c>
      <c r="H43" s="7">
        <v>17.5</v>
      </c>
      <c r="I43" s="7">
        <v>0</v>
      </c>
      <c r="J43" s="8">
        <f t="shared" si="0"/>
        <v>17.5</v>
      </c>
      <c r="K43" s="9"/>
      <c r="L43" s="15">
        <f t="shared" si="1"/>
        <v>198.08</v>
      </c>
    </row>
    <row r="44" spans="1:12" s="10" customFormat="1" ht="16.5" customHeight="1" x14ac:dyDescent="0.3">
      <c r="A44" s="5">
        <v>42</v>
      </c>
      <c r="B44" s="5">
        <v>11554</v>
      </c>
      <c r="C44" s="6" t="s">
        <v>116</v>
      </c>
      <c r="D44" s="5" t="s">
        <v>117</v>
      </c>
      <c r="E44" s="5" t="s">
        <v>113</v>
      </c>
      <c r="F44" s="7">
        <v>10835</v>
      </c>
      <c r="G44" s="7">
        <v>180.58</v>
      </c>
      <c r="H44" s="7">
        <v>19.5</v>
      </c>
      <c r="I44" s="7">
        <v>0</v>
      </c>
      <c r="J44" s="8">
        <f t="shared" si="0"/>
        <v>19.5</v>
      </c>
      <c r="K44" s="9"/>
      <c r="L44" s="15">
        <f t="shared" si="1"/>
        <v>200.08</v>
      </c>
    </row>
    <row r="45" spans="1:12" s="10" customFormat="1" ht="16.5" customHeight="1" x14ac:dyDescent="0.3">
      <c r="A45" s="5">
        <v>43</v>
      </c>
      <c r="B45" s="5">
        <v>11589</v>
      </c>
      <c r="C45" s="6" t="s">
        <v>118</v>
      </c>
      <c r="D45" s="5" t="s">
        <v>119</v>
      </c>
      <c r="E45" s="5" t="s">
        <v>120</v>
      </c>
      <c r="F45" s="7">
        <v>11110</v>
      </c>
      <c r="G45" s="7">
        <v>185.17</v>
      </c>
      <c r="H45" s="7">
        <v>22</v>
      </c>
      <c r="I45" s="7">
        <v>0</v>
      </c>
      <c r="J45" s="8">
        <f t="shared" si="0"/>
        <v>22</v>
      </c>
      <c r="K45" s="9"/>
      <c r="L45" s="15">
        <f t="shared" si="1"/>
        <v>207.17</v>
      </c>
    </row>
    <row r="46" spans="1:12" s="10" customFormat="1" ht="16.5" customHeight="1" x14ac:dyDescent="0.3">
      <c r="A46" s="5">
        <v>44</v>
      </c>
      <c r="B46" s="5">
        <v>11590</v>
      </c>
      <c r="C46" s="6" t="s">
        <v>121</v>
      </c>
      <c r="D46" s="5" t="s">
        <v>122</v>
      </c>
      <c r="E46" s="5" t="s">
        <v>120</v>
      </c>
      <c r="F46" s="7">
        <v>9015</v>
      </c>
      <c r="G46" s="7">
        <v>150.25</v>
      </c>
      <c r="H46" s="7">
        <v>14.5</v>
      </c>
      <c r="I46" s="7">
        <v>0</v>
      </c>
      <c r="J46" s="8">
        <f t="shared" si="0"/>
        <v>14.5</v>
      </c>
      <c r="K46" s="9"/>
      <c r="L46" s="15">
        <f t="shared" si="1"/>
        <v>164.75</v>
      </c>
    </row>
    <row r="47" spans="1:12" s="10" customFormat="1" ht="16.5" customHeight="1" x14ac:dyDescent="0.3">
      <c r="A47" s="5">
        <v>45</v>
      </c>
      <c r="B47" s="5">
        <v>11656</v>
      </c>
      <c r="C47" s="6" t="s">
        <v>57</v>
      </c>
      <c r="D47" s="5" t="s">
        <v>123</v>
      </c>
      <c r="E47" s="5" t="s">
        <v>124</v>
      </c>
      <c r="F47" s="7">
        <v>10835</v>
      </c>
      <c r="G47" s="7">
        <v>180.58</v>
      </c>
      <c r="H47" s="7">
        <v>27.5</v>
      </c>
      <c r="I47" s="7">
        <v>0</v>
      </c>
      <c r="J47" s="8">
        <f t="shared" si="0"/>
        <v>27.5</v>
      </c>
      <c r="K47" s="9"/>
      <c r="L47" s="15">
        <f t="shared" si="1"/>
        <v>208.08</v>
      </c>
    </row>
    <row r="48" spans="1:12" s="10" customFormat="1" ht="16.5" customHeight="1" x14ac:dyDescent="0.3">
      <c r="A48" s="5">
        <v>46</v>
      </c>
      <c r="B48" s="5">
        <v>11723</v>
      </c>
      <c r="C48" s="6" t="s">
        <v>125</v>
      </c>
      <c r="D48" s="5" t="s">
        <v>110</v>
      </c>
      <c r="E48" s="5" t="s">
        <v>126</v>
      </c>
      <c r="F48" s="7">
        <v>10809</v>
      </c>
      <c r="G48" s="7">
        <v>180.15</v>
      </c>
      <c r="H48" s="7">
        <v>17.5</v>
      </c>
      <c r="I48" s="7">
        <v>0</v>
      </c>
      <c r="J48" s="8">
        <f t="shared" si="0"/>
        <v>17.5</v>
      </c>
      <c r="K48" s="9"/>
      <c r="L48" s="15">
        <f t="shared" si="1"/>
        <v>197.65</v>
      </c>
    </row>
    <row r="49" spans="1:12" s="10" customFormat="1" ht="16.5" customHeight="1" x14ac:dyDescent="0.3">
      <c r="A49" s="5">
        <v>47</v>
      </c>
      <c r="B49" s="5">
        <v>11739</v>
      </c>
      <c r="C49" s="6" t="s">
        <v>127</v>
      </c>
      <c r="D49" s="5" t="s">
        <v>128</v>
      </c>
      <c r="E49" s="5" t="s">
        <v>129</v>
      </c>
      <c r="F49" s="7">
        <v>11889.4</v>
      </c>
      <c r="G49" s="7">
        <v>198.16</v>
      </c>
      <c r="H49" s="7">
        <v>27.259999999999998</v>
      </c>
      <c r="I49" s="7">
        <v>0</v>
      </c>
      <c r="J49" s="8">
        <f t="shared" si="0"/>
        <v>27.259999999999998</v>
      </c>
      <c r="K49" s="9"/>
      <c r="L49" s="15">
        <f t="shared" si="1"/>
        <v>225.42</v>
      </c>
    </row>
    <row r="50" spans="1:12" s="10" customFormat="1" ht="16.5" customHeight="1" x14ac:dyDescent="0.3">
      <c r="A50" s="5">
        <v>48</v>
      </c>
      <c r="B50" s="5">
        <v>11802</v>
      </c>
      <c r="C50" s="6" t="s">
        <v>130</v>
      </c>
      <c r="D50" s="5" t="s">
        <v>131</v>
      </c>
      <c r="E50" s="5" t="s">
        <v>132</v>
      </c>
      <c r="F50" s="7">
        <v>10655</v>
      </c>
      <c r="G50" s="7">
        <v>177.58</v>
      </c>
      <c r="H50" s="7">
        <v>28.75</v>
      </c>
      <c r="I50" s="7">
        <v>0</v>
      </c>
      <c r="J50" s="8">
        <f t="shared" si="0"/>
        <v>28.75</v>
      </c>
      <c r="K50" s="9"/>
      <c r="L50" s="15">
        <f t="shared" si="1"/>
        <v>206.33</v>
      </c>
    </row>
    <row r="51" spans="1:12" s="10" customFormat="1" ht="16.5" customHeight="1" x14ac:dyDescent="0.3">
      <c r="A51" s="5">
        <v>49</v>
      </c>
      <c r="B51" s="5">
        <v>11812</v>
      </c>
      <c r="C51" s="6" t="s">
        <v>31</v>
      </c>
      <c r="D51" s="5" t="s">
        <v>133</v>
      </c>
      <c r="E51" s="5" t="s">
        <v>134</v>
      </c>
      <c r="F51" s="7">
        <v>10380</v>
      </c>
      <c r="G51" s="7">
        <v>173</v>
      </c>
      <c r="H51" s="7">
        <v>16.5</v>
      </c>
      <c r="I51" s="7">
        <v>0</v>
      </c>
      <c r="J51" s="8">
        <f t="shared" si="0"/>
        <v>16.5</v>
      </c>
      <c r="K51" s="9"/>
      <c r="L51" s="15">
        <f t="shared" si="1"/>
        <v>189.5</v>
      </c>
    </row>
    <row r="52" spans="1:12" s="10" customFormat="1" ht="16.5" customHeight="1" x14ac:dyDescent="0.3">
      <c r="A52" s="5">
        <v>50</v>
      </c>
      <c r="B52" s="5">
        <v>11813</v>
      </c>
      <c r="C52" s="6" t="s">
        <v>85</v>
      </c>
      <c r="D52" s="5" t="s">
        <v>135</v>
      </c>
      <c r="E52" s="5" t="s">
        <v>134</v>
      </c>
      <c r="F52" s="7">
        <v>10835</v>
      </c>
      <c r="G52" s="7">
        <v>180.58</v>
      </c>
      <c r="H52" s="7">
        <v>19.5</v>
      </c>
      <c r="I52" s="7">
        <v>0</v>
      </c>
      <c r="J52" s="8">
        <f t="shared" si="0"/>
        <v>19.5</v>
      </c>
      <c r="K52" s="9"/>
      <c r="L52" s="15">
        <f t="shared" si="1"/>
        <v>200.08</v>
      </c>
    </row>
    <row r="53" spans="1:12" s="10" customFormat="1" ht="16.5" customHeight="1" x14ac:dyDescent="0.3">
      <c r="A53" s="5">
        <v>51</v>
      </c>
      <c r="B53" s="5">
        <v>11852</v>
      </c>
      <c r="C53" s="6" t="s">
        <v>136</v>
      </c>
      <c r="D53" s="5" t="s">
        <v>137</v>
      </c>
      <c r="E53" s="5" t="s">
        <v>138</v>
      </c>
      <c r="F53" s="7">
        <v>10835</v>
      </c>
      <c r="G53" s="7">
        <v>180.58</v>
      </c>
      <c r="H53" s="7">
        <v>17.25</v>
      </c>
      <c r="I53" s="7">
        <v>0</v>
      </c>
      <c r="J53" s="8">
        <f t="shared" si="0"/>
        <v>17.25</v>
      </c>
      <c r="K53" s="9"/>
      <c r="L53" s="15">
        <f t="shared" si="1"/>
        <v>197.83</v>
      </c>
    </row>
    <row r="54" spans="1:12" s="10" customFormat="1" ht="16.5" customHeight="1" x14ac:dyDescent="0.3">
      <c r="A54" s="5">
        <v>52</v>
      </c>
      <c r="B54" s="5">
        <v>11869</v>
      </c>
      <c r="C54" s="6" t="s">
        <v>96</v>
      </c>
      <c r="D54" s="5" t="s">
        <v>61</v>
      </c>
      <c r="E54" s="5" t="s">
        <v>139</v>
      </c>
      <c r="F54" s="7">
        <v>10835</v>
      </c>
      <c r="G54" s="7">
        <v>180.58</v>
      </c>
      <c r="H54" s="7">
        <v>19.5</v>
      </c>
      <c r="I54" s="7">
        <v>0</v>
      </c>
      <c r="J54" s="8">
        <f t="shared" si="0"/>
        <v>19.5</v>
      </c>
      <c r="K54" s="9"/>
      <c r="L54" s="15">
        <f t="shared" si="1"/>
        <v>200.08</v>
      </c>
    </row>
    <row r="55" spans="1:12" s="10" customFormat="1" ht="16.5" customHeight="1" x14ac:dyDescent="0.3">
      <c r="A55" s="5">
        <v>53</v>
      </c>
      <c r="B55" s="5">
        <v>11925</v>
      </c>
      <c r="C55" s="6" t="s">
        <v>140</v>
      </c>
      <c r="D55" s="5" t="s">
        <v>29</v>
      </c>
      <c r="E55" s="5" t="s">
        <v>141</v>
      </c>
      <c r="F55" s="7">
        <v>11110</v>
      </c>
      <c r="G55" s="7">
        <v>185.17</v>
      </c>
      <c r="H55" s="7">
        <v>34</v>
      </c>
      <c r="I55" s="7">
        <v>0.5</v>
      </c>
      <c r="J55" s="8">
        <f t="shared" si="0"/>
        <v>34.5</v>
      </c>
      <c r="K55" s="9"/>
      <c r="L55" s="15">
        <f t="shared" si="1"/>
        <v>219.17</v>
      </c>
    </row>
    <row r="56" spans="1:12" s="10" customFormat="1" ht="16.5" customHeight="1" x14ac:dyDescent="0.3">
      <c r="A56" s="5">
        <v>54</v>
      </c>
      <c r="B56" s="5">
        <v>11928</v>
      </c>
      <c r="C56" s="6" t="s">
        <v>142</v>
      </c>
      <c r="D56" s="5" t="s">
        <v>143</v>
      </c>
      <c r="E56" s="5" t="s">
        <v>141</v>
      </c>
      <c r="F56" s="7">
        <v>12259.2</v>
      </c>
      <c r="G56" s="7">
        <v>204.32</v>
      </c>
      <c r="H56" s="7">
        <v>17.68</v>
      </c>
      <c r="I56" s="7">
        <v>0</v>
      </c>
      <c r="J56" s="8">
        <f t="shared" si="0"/>
        <v>17.68</v>
      </c>
      <c r="K56" s="9"/>
      <c r="L56" s="15">
        <f t="shared" si="1"/>
        <v>222</v>
      </c>
    </row>
    <row r="57" spans="1:12" s="10" customFormat="1" ht="16.5" customHeight="1" x14ac:dyDescent="0.3">
      <c r="A57" s="5">
        <v>55</v>
      </c>
      <c r="B57" s="5">
        <v>11943</v>
      </c>
      <c r="C57" s="6" t="s">
        <v>144</v>
      </c>
      <c r="D57" s="5" t="s">
        <v>43</v>
      </c>
      <c r="E57" s="5" t="s">
        <v>145</v>
      </c>
      <c r="F57" s="7">
        <v>10655</v>
      </c>
      <c r="G57" s="7">
        <v>177.58</v>
      </c>
      <c r="H57" s="7">
        <v>33</v>
      </c>
      <c r="I57" s="7">
        <v>0.5</v>
      </c>
      <c r="J57" s="8">
        <f t="shared" si="0"/>
        <v>33.5</v>
      </c>
      <c r="K57" s="9"/>
      <c r="L57" s="15">
        <f t="shared" si="1"/>
        <v>210.58</v>
      </c>
    </row>
    <row r="58" spans="1:12" s="10" customFormat="1" ht="16.5" customHeight="1" x14ac:dyDescent="0.3">
      <c r="A58" s="5">
        <v>56</v>
      </c>
      <c r="B58" s="5">
        <v>11957</v>
      </c>
      <c r="C58" s="6" t="s">
        <v>146</v>
      </c>
      <c r="D58" s="5" t="s">
        <v>147</v>
      </c>
      <c r="E58" s="5" t="s">
        <v>148</v>
      </c>
      <c r="F58" s="7">
        <v>8560</v>
      </c>
      <c r="G58" s="7">
        <v>142.66999999999999</v>
      </c>
      <c r="H58" s="7">
        <v>15.5</v>
      </c>
      <c r="I58" s="7">
        <v>0</v>
      </c>
      <c r="J58" s="8">
        <f t="shared" si="0"/>
        <v>15.5</v>
      </c>
      <c r="K58" s="9"/>
      <c r="L58" s="15">
        <f t="shared" si="1"/>
        <v>158.16999999999999</v>
      </c>
    </row>
    <row r="59" spans="1:12" s="10" customFormat="1" ht="16.5" customHeight="1" x14ac:dyDescent="0.3">
      <c r="A59" s="5">
        <v>57</v>
      </c>
      <c r="B59" s="5">
        <v>11963</v>
      </c>
      <c r="C59" s="6" t="s">
        <v>149</v>
      </c>
      <c r="D59" s="5" t="s">
        <v>150</v>
      </c>
      <c r="E59" s="5" t="s">
        <v>151</v>
      </c>
      <c r="F59" s="7">
        <v>11110</v>
      </c>
      <c r="G59" s="7">
        <v>185.17</v>
      </c>
      <c r="H59" s="7">
        <v>36</v>
      </c>
      <c r="I59" s="7">
        <v>0</v>
      </c>
      <c r="J59" s="8">
        <f t="shared" si="0"/>
        <v>36</v>
      </c>
      <c r="K59" s="9"/>
      <c r="L59" s="15">
        <f t="shared" si="1"/>
        <v>221.17</v>
      </c>
    </row>
    <row r="60" spans="1:12" s="10" customFormat="1" ht="16.5" customHeight="1" x14ac:dyDescent="0.3">
      <c r="A60" s="5">
        <v>58</v>
      </c>
      <c r="B60" s="5">
        <v>11996</v>
      </c>
      <c r="C60" s="6" t="s">
        <v>152</v>
      </c>
      <c r="D60" s="5" t="s">
        <v>13</v>
      </c>
      <c r="E60" s="5" t="s">
        <v>153</v>
      </c>
      <c r="F60" s="7">
        <v>10835</v>
      </c>
      <c r="G60" s="7">
        <v>180.58</v>
      </c>
      <c r="H60" s="7">
        <v>18.5</v>
      </c>
      <c r="I60" s="7">
        <v>0</v>
      </c>
      <c r="J60" s="8">
        <f t="shared" si="0"/>
        <v>18.5</v>
      </c>
      <c r="K60" s="9"/>
      <c r="L60" s="15">
        <f t="shared" si="1"/>
        <v>199.08</v>
      </c>
    </row>
    <row r="61" spans="1:12" s="10" customFormat="1" ht="16.5" customHeight="1" x14ac:dyDescent="0.3">
      <c r="A61" s="5">
        <v>59</v>
      </c>
      <c r="B61" s="5">
        <v>12072</v>
      </c>
      <c r="C61" s="6" t="s">
        <v>154</v>
      </c>
      <c r="D61" s="5" t="s">
        <v>155</v>
      </c>
      <c r="E61" s="5" t="s">
        <v>156</v>
      </c>
      <c r="F61" s="7">
        <v>10105</v>
      </c>
      <c r="G61" s="7">
        <v>168.42</v>
      </c>
      <c r="H61" s="7">
        <v>15.25</v>
      </c>
      <c r="I61" s="7">
        <v>0</v>
      </c>
      <c r="J61" s="8">
        <f t="shared" si="0"/>
        <v>15.25</v>
      </c>
      <c r="K61" s="9"/>
      <c r="L61" s="15">
        <f t="shared" si="1"/>
        <v>183.67</v>
      </c>
    </row>
    <row r="62" spans="1:12" s="10" customFormat="1" ht="16.5" customHeight="1" x14ac:dyDescent="0.3">
      <c r="A62" s="5">
        <v>60</v>
      </c>
      <c r="B62" s="5">
        <v>12073</v>
      </c>
      <c r="C62" s="6" t="s">
        <v>142</v>
      </c>
      <c r="D62" s="5" t="s">
        <v>157</v>
      </c>
      <c r="E62" s="5" t="s">
        <v>156</v>
      </c>
      <c r="F62" s="7">
        <v>10835</v>
      </c>
      <c r="G62" s="7">
        <v>180.58</v>
      </c>
      <c r="H62" s="7">
        <v>25.5</v>
      </c>
      <c r="I62" s="7">
        <v>0</v>
      </c>
      <c r="J62" s="8">
        <f t="shared" si="0"/>
        <v>25.5</v>
      </c>
      <c r="K62" s="9"/>
      <c r="L62" s="15">
        <f t="shared" si="1"/>
        <v>206.08</v>
      </c>
    </row>
    <row r="63" spans="1:12" s="10" customFormat="1" ht="16.5" customHeight="1" x14ac:dyDescent="0.3">
      <c r="A63" s="5">
        <v>61</v>
      </c>
      <c r="B63" s="5">
        <v>12149</v>
      </c>
      <c r="C63" s="6" t="s">
        <v>158</v>
      </c>
      <c r="D63" s="5" t="s">
        <v>112</v>
      </c>
      <c r="E63" s="5" t="s">
        <v>159</v>
      </c>
      <c r="F63" s="7">
        <v>10835</v>
      </c>
      <c r="G63" s="7">
        <v>180.58</v>
      </c>
      <c r="H63" s="7">
        <v>16.5</v>
      </c>
      <c r="I63" s="7">
        <v>0</v>
      </c>
      <c r="J63" s="8">
        <f t="shared" si="0"/>
        <v>16.5</v>
      </c>
      <c r="K63" s="9"/>
      <c r="L63" s="15">
        <f t="shared" si="1"/>
        <v>197.08</v>
      </c>
    </row>
    <row r="64" spans="1:12" s="10" customFormat="1" ht="16.5" customHeight="1" x14ac:dyDescent="0.3">
      <c r="A64" s="5">
        <v>62</v>
      </c>
      <c r="B64" s="5">
        <v>12157</v>
      </c>
      <c r="C64" s="6" t="s">
        <v>31</v>
      </c>
      <c r="D64" s="5" t="s">
        <v>160</v>
      </c>
      <c r="E64" s="5" t="s">
        <v>161</v>
      </c>
      <c r="F64" s="7">
        <v>11399.4</v>
      </c>
      <c r="G64" s="7">
        <v>189.99</v>
      </c>
      <c r="H64" s="7">
        <v>16.509999999999998</v>
      </c>
      <c r="I64" s="7">
        <v>0</v>
      </c>
      <c r="J64" s="8">
        <f t="shared" si="0"/>
        <v>16.509999999999998</v>
      </c>
      <c r="K64" s="9"/>
      <c r="L64" s="15">
        <f t="shared" si="1"/>
        <v>206.5</v>
      </c>
    </row>
    <row r="65" spans="1:12" s="10" customFormat="1" ht="16.5" customHeight="1" x14ac:dyDescent="0.3">
      <c r="A65" s="5">
        <v>63</v>
      </c>
      <c r="B65" s="5">
        <v>12206</v>
      </c>
      <c r="C65" s="6" t="s">
        <v>48</v>
      </c>
      <c r="D65" s="5" t="s">
        <v>162</v>
      </c>
      <c r="E65" s="5" t="s">
        <v>163</v>
      </c>
      <c r="F65" s="7">
        <v>11110</v>
      </c>
      <c r="G65" s="7">
        <v>185.17</v>
      </c>
      <c r="H65" s="7">
        <v>22</v>
      </c>
      <c r="I65" s="7">
        <v>0</v>
      </c>
      <c r="J65" s="8">
        <f t="shared" si="0"/>
        <v>22</v>
      </c>
      <c r="K65" s="9"/>
      <c r="L65" s="15">
        <f t="shared" si="1"/>
        <v>207.17</v>
      </c>
    </row>
    <row r="66" spans="1:12" s="10" customFormat="1" ht="16.5" customHeight="1" x14ac:dyDescent="0.3">
      <c r="A66" s="5">
        <v>64</v>
      </c>
      <c r="B66" s="5">
        <v>12244</v>
      </c>
      <c r="C66" s="6" t="s">
        <v>164</v>
      </c>
      <c r="D66" s="5" t="s">
        <v>83</v>
      </c>
      <c r="E66" s="5" t="s">
        <v>165</v>
      </c>
      <c r="F66" s="7">
        <v>10380</v>
      </c>
      <c r="G66" s="7">
        <v>173</v>
      </c>
      <c r="H66" s="7">
        <v>35.5</v>
      </c>
      <c r="I66" s="7">
        <v>0.5</v>
      </c>
      <c r="J66" s="8">
        <f t="shared" si="0"/>
        <v>36</v>
      </c>
      <c r="K66" s="9"/>
      <c r="L66" s="15">
        <f t="shared" si="1"/>
        <v>208.5</v>
      </c>
    </row>
    <row r="67" spans="1:12" s="10" customFormat="1" ht="16.5" customHeight="1" x14ac:dyDescent="0.3">
      <c r="A67" s="5">
        <v>65</v>
      </c>
      <c r="B67" s="5">
        <v>12283</v>
      </c>
      <c r="C67" s="6" t="s">
        <v>166</v>
      </c>
      <c r="D67" s="5" t="s">
        <v>167</v>
      </c>
      <c r="E67" s="5" t="s">
        <v>168</v>
      </c>
      <c r="F67" s="7">
        <v>10380</v>
      </c>
      <c r="G67" s="7">
        <v>173</v>
      </c>
      <c r="H67" s="7">
        <v>25.5</v>
      </c>
      <c r="I67" s="7">
        <v>0</v>
      </c>
      <c r="J67" s="8">
        <f t="shared" ref="J67:J92" si="2">H67+I67</f>
        <v>25.5</v>
      </c>
      <c r="K67" s="9"/>
      <c r="L67" s="15">
        <f t="shared" si="1"/>
        <v>198.5</v>
      </c>
    </row>
    <row r="68" spans="1:12" s="10" customFormat="1" ht="16.5" customHeight="1" x14ac:dyDescent="0.3">
      <c r="A68" s="5">
        <v>66</v>
      </c>
      <c r="B68" s="5">
        <v>12290</v>
      </c>
      <c r="C68" s="6" t="s">
        <v>169</v>
      </c>
      <c r="D68" s="5" t="s">
        <v>170</v>
      </c>
      <c r="E68" s="5" t="s">
        <v>171</v>
      </c>
      <c r="F68" s="7">
        <v>11110</v>
      </c>
      <c r="G68" s="7">
        <v>185.17</v>
      </c>
      <c r="H68" s="7">
        <v>28</v>
      </c>
      <c r="I68" s="7">
        <v>0</v>
      </c>
      <c r="J68" s="8">
        <f t="shared" si="2"/>
        <v>28</v>
      </c>
      <c r="K68" s="9"/>
      <c r="L68" s="15">
        <f t="shared" ref="L68:L92" si="3">G68+H68</f>
        <v>213.17</v>
      </c>
    </row>
    <row r="69" spans="1:12" s="10" customFormat="1" ht="16.5" customHeight="1" x14ac:dyDescent="0.3">
      <c r="A69" s="5">
        <v>67</v>
      </c>
      <c r="B69" s="5">
        <v>12291</v>
      </c>
      <c r="C69" s="6" t="s">
        <v>172</v>
      </c>
      <c r="D69" s="5" t="s">
        <v>88</v>
      </c>
      <c r="E69" s="5" t="s">
        <v>171</v>
      </c>
      <c r="F69" s="7">
        <v>10560</v>
      </c>
      <c r="G69" s="7">
        <v>176</v>
      </c>
      <c r="H69" s="7">
        <v>17</v>
      </c>
      <c r="I69" s="7">
        <v>0</v>
      </c>
      <c r="J69" s="8">
        <f t="shared" si="2"/>
        <v>17</v>
      </c>
      <c r="K69" s="9"/>
      <c r="L69" s="15">
        <f t="shared" si="3"/>
        <v>193</v>
      </c>
    </row>
    <row r="70" spans="1:12" s="10" customFormat="1" ht="16.5" customHeight="1" x14ac:dyDescent="0.3">
      <c r="A70" s="5">
        <v>68</v>
      </c>
      <c r="B70" s="5">
        <v>12322</v>
      </c>
      <c r="C70" s="6" t="s">
        <v>173</v>
      </c>
      <c r="D70" s="5" t="s">
        <v>174</v>
      </c>
      <c r="E70" s="5" t="s">
        <v>175</v>
      </c>
      <c r="F70" s="7">
        <v>10655</v>
      </c>
      <c r="G70" s="7">
        <v>177.58</v>
      </c>
      <c r="H70" s="7">
        <v>22</v>
      </c>
      <c r="I70" s="7">
        <v>0</v>
      </c>
      <c r="J70" s="8">
        <f t="shared" si="2"/>
        <v>22</v>
      </c>
      <c r="K70" s="9"/>
      <c r="L70" s="15">
        <f t="shared" si="3"/>
        <v>199.58</v>
      </c>
    </row>
    <row r="71" spans="1:12" s="10" customFormat="1" ht="16.5" customHeight="1" x14ac:dyDescent="0.3">
      <c r="A71" s="5">
        <v>69</v>
      </c>
      <c r="B71" s="5">
        <v>12329</v>
      </c>
      <c r="C71" s="6" t="s">
        <v>176</v>
      </c>
      <c r="D71" s="5" t="s">
        <v>52</v>
      </c>
      <c r="E71" s="5" t="s">
        <v>177</v>
      </c>
      <c r="F71" s="7">
        <v>10909.4</v>
      </c>
      <c r="G71" s="7">
        <v>181.82</v>
      </c>
      <c r="H71" s="7">
        <v>33.51</v>
      </c>
      <c r="I71" s="7">
        <v>0</v>
      </c>
      <c r="J71" s="8">
        <f t="shared" si="2"/>
        <v>33.51</v>
      </c>
      <c r="K71" s="9"/>
      <c r="L71" s="15">
        <f t="shared" si="3"/>
        <v>215.32999999999998</v>
      </c>
    </row>
    <row r="72" spans="1:12" s="10" customFormat="1" ht="16.5" customHeight="1" x14ac:dyDescent="0.3">
      <c r="A72" s="5">
        <v>70</v>
      </c>
      <c r="B72" s="5">
        <v>12409</v>
      </c>
      <c r="C72" s="6" t="s">
        <v>178</v>
      </c>
      <c r="D72" s="5" t="s">
        <v>179</v>
      </c>
      <c r="E72" s="5" t="s">
        <v>180</v>
      </c>
      <c r="F72" s="7">
        <v>10655</v>
      </c>
      <c r="G72" s="7">
        <v>177.58</v>
      </c>
      <c r="H72" s="7">
        <v>29</v>
      </c>
      <c r="I72" s="7">
        <v>0</v>
      </c>
      <c r="J72" s="8">
        <f t="shared" si="2"/>
        <v>29</v>
      </c>
      <c r="K72" s="9"/>
      <c r="L72" s="15">
        <f t="shared" si="3"/>
        <v>206.58</v>
      </c>
    </row>
    <row r="73" spans="1:12" s="10" customFormat="1" ht="16.5" customHeight="1" x14ac:dyDescent="0.3">
      <c r="A73" s="5">
        <v>71</v>
      </c>
      <c r="B73" s="5">
        <v>12443</v>
      </c>
      <c r="C73" s="6" t="s">
        <v>164</v>
      </c>
      <c r="D73" s="5" t="s">
        <v>181</v>
      </c>
      <c r="E73" s="5" t="s">
        <v>182</v>
      </c>
      <c r="F73" s="7">
        <v>11149.8</v>
      </c>
      <c r="G73" s="7">
        <v>185.83</v>
      </c>
      <c r="H73" s="7">
        <v>25.92</v>
      </c>
      <c r="I73" s="7">
        <v>0</v>
      </c>
      <c r="J73" s="8">
        <f t="shared" si="2"/>
        <v>25.92</v>
      </c>
      <c r="K73" s="9"/>
      <c r="L73" s="15">
        <f t="shared" si="3"/>
        <v>211.75</v>
      </c>
    </row>
    <row r="74" spans="1:12" s="10" customFormat="1" ht="16.5" customHeight="1" x14ac:dyDescent="0.3">
      <c r="A74" s="5">
        <v>72</v>
      </c>
      <c r="B74" s="5">
        <v>12640</v>
      </c>
      <c r="C74" s="6" t="s">
        <v>183</v>
      </c>
      <c r="D74" s="5" t="s">
        <v>184</v>
      </c>
      <c r="E74" s="5" t="s">
        <v>185</v>
      </c>
      <c r="F74" s="7">
        <v>10560</v>
      </c>
      <c r="G74" s="7">
        <v>176</v>
      </c>
      <c r="H74" s="7">
        <v>15</v>
      </c>
      <c r="I74" s="7">
        <v>0</v>
      </c>
      <c r="J74" s="8">
        <f t="shared" si="2"/>
        <v>15</v>
      </c>
      <c r="K74" s="9"/>
      <c r="L74" s="15">
        <f t="shared" si="3"/>
        <v>191</v>
      </c>
    </row>
    <row r="75" spans="1:12" s="10" customFormat="1" ht="16.5" customHeight="1" x14ac:dyDescent="0.3">
      <c r="A75" s="5">
        <v>73</v>
      </c>
      <c r="B75" s="5">
        <v>12691</v>
      </c>
      <c r="C75" s="6" t="s">
        <v>18</v>
      </c>
      <c r="D75" s="5" t="s">
        <v>186</v>
      </c>
      <c r="E75" s="5" t="s">
        <v>187</v>
      </c>
      <c r="F75" s="7">
        <v>10835</v>
      </c>
      <c r="G75" s="7">
        <v>180.58</v>
      </c>
      <c r="H75" s="7">
        <v>19.5</v>
      </c>
      <c r="I75" s="7">
        <v>0</v>
      </c>
      <c r="J75" s="8">
        <f t="shared" si="2"/>
        <v>19.5</v>
      </c>
      <c r="K75" s="9"/>
      <c r="L75" s="15">
        <f t="shared" si="3"/>
        <v>200.08</v>
      </c>
    </row>
    <row r="76" spans="1:12" s="10" customFormat="1" ht="16.5" customHeight="1" x14ac:dyDescent="0.3">
      <c r="A76" s="5">
        <v>74</v>
      </c>
      <c r="B76" s="5">
        <v>12848</v>
      </c>
      <c r="C76" s="6" t="s">
        <v>48</v>
      </c>
      <c r="D76" s="5" t="s">
        <v>188</v>
      </c>
      <c r="E76" s="5" t="s">
        <v>189</v>
      </c>
      <c r="F76" s="7">
        <v>11110</v>
      </c>
      <c r="G76" s="7">
        <v>185.17</v>
      </c>
      <c r="H76" s="7">
        <v>28</v>
      </c>
      <c r="I76" s="7">
        <v>0</v>
      </c>
      <c r="J76" s="8">
        <f t="shared" si="2"/>
        <v>28</v>
      </c>
      <c r="K76" s="9"/>
      <c r="L76" s="15">
        <f t="shared" si="3"/>
        <v>213.17</v>
      </c>
    </row>
    <row r="77" spans="1:12" s="10" customFormat="1" ht="16.5" customHeight="1" x14ac:dyDescent="0.3">
      <c r="A77" s="5">
        <v>75</v>
      </c>
      <c r="B77" s="5">
        <v>12860</v>
      </c>
      <c r="C77" s="6" t="s">
        <v>142</v>
      </c>
      <c r="D77" s="5" t="s">
        <v>190</v>
      </c>
      <c r="E77" s="5" t="s">
        <v>191</v>
      </c>
      <c r="F77" s="7">
        <v>10655</v>
      </c>
      <c r="G77" s="7">
        <v>177.58</v>
      </c>
      <c r="H77" s="7">
        <v>27</v>
      </c>
      <c r="I77" s="7">
        <v>0</v>
      </c>
      <c r="J77" s="8">
        <f t="shared" si="2"/>
        <v>27</v>
      </c>
      <c r="K77" s="9"/>
      <c r="L77" s="15">
        <f t="shared" si="3"/>
        <v>204.58</v>
      </c>
    </row>
    <row r="78" spans="1:12" s="10" customFormat="1" ht="16.5" customHeight="1" x14ac:dyDescent="0.3">
      <c r="A78" s="5">
        <v>76</v>
      </c>
      <c r="B78" s="5">
        <v>12893</v>
      </c>
      <c r="C78" s="6" t="s">
        <v>192</v>
      </c>
      <c r="D78" s="5" t="s">
        <v>193</v>
      </c>
      <c r="E78" s="5" t="s">
        <v>194</v>
      </c>
      <c r="F78" s="7">
        <v>10980</v>
      </c>
      <c r="G78" s="7">
        <v>183</v>
      </c>
      <c r="H78" s="7">
        <v>15.25</v>
      </c>
      <c r="I78" s="7">
        <v>0</v>
      </c>
      <c r="J78" s="8">
        <f t="shared" si="2"/>
        <v>15.25</v>
      </c>
      <c r="K78" s="9"/>
      <c r="L78" s="15">
        <f t="shared" si="3"/>
        <v>198.25</v>
      </c>
    </row>
    <row r="79" spans="1:12" s="10" customFormat="1" ht="16.5" customHeight="1" x14ac:dyDescent="0.3">
      <c r="A79" s="5">
        <v>77</v>
      </c>
      <c r="B79" s="5">
        <v>12899</v>
      </c>
      <c r="C79" s="6" t="s">
        <v>195</v>
      </c>
      <c r="D79" s="5" t="s">
        <v>196</v>
      </c>
      <c r="E79" s="5" t="s">
        <v>197</v>
      </c>
      <c r="F79" s="7">
        <v>11889.4</v>
      </c>
      <c r="G79" s="7">
        <v>198.16</v>
      </c>
      <c r="H79" s="7">
        <v>27.009999999999998</v>
      </c>
      <c r="I79" s="7">
        <v>0</v>
      </c>
      <c r="J79" s="8">
        <f t="shared" si="2"/>
        <v>27.009999999999998</v>
      </c>
      <c r="K79" s="9"/>
      <c r="L79" s="15">
        <f t="shared" si="3"/>
        <v>225.17</v>
      </c>
    </row>
    <row r="80" spans="1:12" s="10" customFormat="1" ht="16.5" customHeight="1" x14ac:dyDescent="0.3">
      <c r="A80" s="5">
        <v>78</v>
      </c>
      <c r="B80" s="5">
        <v>12900</v>
      </c>
      <c r="C80" s="6" t="s">
        <v>198</v>
      </c>
      <c r="D80" s="5" t="s">
        <v>199</v>
      </c>
      <c r="E80" s="5" t="s">
        <v>197</v>
      </c>
      <c r="F80" s="7">
        <v>11110</v>
      </c>
      <c r="G80" s="7">
        <v>185.17</v>
      </c>
      <c r="H80" s="7">
        <v>38</v>
      </c>
      <c r="I80" s="7">
        <v>0.25</v>
      </c>
      <c r="J80" s="8">
        <f t="shared" si="2"/>
        <v>38.25</v>
      </c>
      <c r="K80" s="9"/>
      <c r="L80" s="15">
        <f t="shared" si="3"/>
        <v>223.17</v>
      </c>
    </row>
    <row r="81" spans="1:12" s="10" customFormat="1" ht="16.5" customHeight="1" x14ac:dyDescent="0.3">
      <c r="A81" s="5">
        <v>79</v>
      </c>
      <c r="B81" s="5">
        <v>12993</v>
      </c>
      <c r="C81" s="6" t="s">
        <v>31</v>
      </c>
      <c r="D81" s="5" t="s">
        <v>200</v>
      </c>
      <c r="E81" s="5" t="s">
        <v>201</v>
      </c>
      <c r="F81" s="7">
        <v>10835</v>
      </c>
      <c r="G81" s="7">
        <v>180.58</v>
      </c>
      <c r="H81" s="7">
        <v>17.75</v>
      </c>
      <c r="I81" s="7">
        <v>0</v>
      </c>
      <c r="J81" s="8">
        <f t="shared" si="2"/>
        <v>17.75</v>
      </c>
      <c r="K81" s="9"/>
      <c r="L81" s="15">
        <f t="shared" si="3"/>
        <v>198.33</v>
      </c>
    </row>
    <row r="82" spans="1:12" s="10" customFormat="1" ht="16.5" customHeight="1" x14ac:dyDescent="0.3">
      <c r="A82" s="5">
        <v>80</v>
      </c>
      <c r="B82" s="5">
        <v>20132</v>
      </c>
      <c r="C82" s="6" t="s">
        <v>202</v>
      </c>
      <c r="D82" s="5" t="s">
        <v>203</v>
      </c>
      <c r="E82" s="5" t="s">
        <v>204</v>
      </c>
      <c r="F82" s="7">
        <v>10539.6</v>
      </c>
      <c r="G82" s="7">
        <v>175.66</v>
      </c>
      <c r="H82" s="7">
        <v>20.09</v>
      </c>
      <c r="I82" s="7">
        <v>0</v>
      </c>
      <c r="J82" s="8">
        <f t="shared" si="2"/>
        <v>20.09</v>
      </c>
      <c r="K82" s="9"/>
      <c r="L82" s="15">
        <f t="shared" si="3"/>
        <v>195.75</v>
      </c>
    </row>
    <row r="83" spans="1:12" s="10" customFormat="1" ht="16.5" customHeight="1" x14ac:dyDescent="0.3">
      <c r="A83" s="5">
        <v>81</v>
      </c>
      <c r="B83" s="5">
        <v>20219</v>
      </c>
      <c r="C83" s="6" t="s">
        <v>205</v>
      </c>
      <c r="D83" s="5" t="s">
        <v>206</v>
      </c>
      <c r="E83" s="5" t="s">
        <v>207</v>
      </c>
      <c r="F83" s="7">
        <v>11110</v>
      </c>
      <c r="G83" s="7">
        <v>185.17</v>
      </c>
      <c r="H83" s="7">
        <v>20</v>
      </c>
      <c r="I83" s="7">
        <v>0</v>
      </c>
      <c r="J83" s="8">
        <f t="shared" si="2"/>
        <v>20</v>
      </c>
      <c r="K83" s="9"/>
      <c r="L83" s="15">
        <f t="shared" si="3"/>
        <v>205.17</v>
      </c>
    </row>
    <row r="84" spans="1:12" s="10" customFormat="1" ht="16.5" customHeight="1" x14ac:dyDescent="0.3">
      <c r="A84" s="5">
        <v>82</v>
      </c>
      <c r="B84" s="5">
        <v>20839</v>
      </c>
      <c r="C84" s="6" t="s">
        <v>208</v>
      </c>
      <c r="D84" s="5" t="s">
        <v>49</v>
      </c>
      <c r="E84" s="5" t="s">
        <v>209</v>
      </c>
      <c r="F84" s="7">
        <v>11519.6</v>
      </c>
      <c r="G84" s="7">
        <v>191.99</v>
      </c>
      <c r="H84" s="7">
        <v>25.59</v>
      </c>
      <c r="I84" s="7">
        <v>0</v>
      </c>
      <c r="J84" s="8">
        <f t="shared" si="2"/>
        <v>25.59</v>
      </c>
      <c r="K84" s="9"/>
      <c r="L84" s="15">
        <f t="shared" si="3"/>
        <v>217.58</v>
      </c>
    </row>
    <row r="85" spans="1:12" s="10" customFormat="1" ht="16.5" customHeight="1" x14ac:dyDescent="0.3">
      <c r="A85" s="5">
        <v>83</v>
      </c>
      <c r="B85" s="5">
        <v>39661</v>
      </c>
      <c r="C85" s="6" t="s">
        <v>210</v>
      </c>
      <c r="D85" s="5" t="s">
        <v>211</v>
      </c>
      <c r="E85" s="5" t="s">
        <v>212</v>
      </c>
      <c r="F85" s="7">
        <v>11110</v>
      </c>
      <c r="G85" s="7">
        <v>185.17</v>
      </c>
      <c r="H85" s="7">
        <v>21</v>
      </c>
      <c r="I85" s="7">
        <v>0</v>
      </c>
      <c r="J85" s="8">
        <f t="shared" si="2"/>
        <v>21</v>
      </c>
      <c r="K85" s="9"/>
      <c r="L85" s="15">
        <f t="shared" si="3"/>
        <v>206.17</v>
      </c>
    </row>
    <row r="86" spans="1:12" s="10" customFormat="1" ht="16.5" customHeight="1" x14ac:dyDescent="0.3">
      <c r="A86" s="5">
        <v>84</v>
      </c>
      <c r="B86" s="5">
        <v>45033</v>
      </c>
      <c r="C86" s="6" t="s">
        <v>213</v>
      </c>
      <c r="D86" s="5" t="s">
        <v>214</v>
      </c>
      <c r="E86" s="5" t="s">
        <v>215</v>
      </c>
      <c r="F86" s="7">
        <v>11110</v>
      </c>
      <c r="G86" s="7">
        <v>185.17</v>
      </c>
      <c r="H86" s="7">
        <v>21</v>
      </c>
      <c r="I86" s="7">
        <v>0</v>
      </c>
      <c r="J86" s="8">
        <f t="shared" si="2"/>
        <v>21</v>
      </c>
      <c r="K86" s="9"/>
      <c r="L86" s="15">
        <f t="shared" si="3"/>
        <v>206.17</v>
      </c>
    </row>
    <row r="87" spans="1:12" s="10" customFormat="1" ht="16.5" customHeight="1" x14ac:dyDescent="0.3">
      <c r="A87" s="5">
        <v>85</v>
      </c>
      <c r="B87" s="5">
        <v>48173</v>
      </c>
      <c r="C87" s="6" t="s">
        <v>219</v>
      </c>
      <c r="D87" s="5" t="s">
        <v>211</v>
      </c>
      <c r="E87" s="5" t="s">
        <v>220</v>
      </c>
      <c r="F87" s="7">
        <v>6759.6</v>
      </c>
      <c r="G87" s="7">
        <v>112.66</v>
      </c>
      <c r="H87" s="7">
        <v>3.34</v>
      </c>
      <c r="I87" s="7">
        <v>0</v>
      </c>
      <c r="J87" s="8">
        <f t="shared" si="2"/>
        <v>3.34</v>
      </c>
      <c r="K87" s="9"/>
      <c r="L87" s="15">
        <f t="shared" si="3"/>
        <v>116</v>
      </c>
    </row>
    <row r="88" spans="1:12" s="10" customFormat="1" ht="16.5" customHeight="1" x14ac:dyDescent="0.3">
      <c r="A88" s="5">
        <v>86</v>
      </c>
      <c r="B88" s="5">
        <v>48174</v>
      </c>
      <c r="C88" s="6" t="s">
        <v>221</v>
      </c>
      <c r="D88" s="5" t="s">
        <v>222</v>
      </c>
      <c r="E88" s="5" t="s">
        <v>220</v>
      </c>
      <c r="F88" s="7">
        <v>8099</v>
      </c>
      <c r="G88" s="7">
        <v>134.97999999999999</v>
      </c>
      <c r="H88" s="7">
        <v>5</v>
      </c>
      <c r="I88" s="7">
        <v>0</v>
      </c>
      <c r="J88" s="8">
        <f t="shared" si="2"/>
        <v>5</v>
      </c>
      <c r="K88" s="9"/>
      <c r="L88" s="15">
        <f t="shared" si="3"/>
        <v>139.97999999999999</v>
      </c>
    </row>
    <row r="89" spans="1:12" s="10" customFormat="1" ht="16.5" customHeight="1" x14ac:dyDescent="0.3">
      <c r="A89" s="5">
        <v>87</v>
      </c>
      <c r="B89" s="5">
        <v>49370</v>
      </c>
      <c r="C89" s="6" t="s">
        <v>223</v>
      </c>
      <c r="D89" s="5" t="s">
        <v>224</v>
      </c>
      <c r="E89" s="5" t="s">
        <v>225</v>
      </c>
      <c r="F89" s="7">
        <v>11110</v>
      </c>
      <c r="G89" s="7">
        <v>185.17</v>
      </c>
      <c r="H89" s="7">
        <v>22</v>
      </c>
      <c r="I89" s="7">
        <v>0.25</v>
      </c>
      <c r="J89" s="8">
        <f t="shared" si="2"/>
        <v>22.25</v>
      </c>
      <c r="K89" s="9"/>
      <c r="L89" s="15">
        <f t="shared" si="3"/>
        <v>207.17</v>
      </c>
    </row>
    <row r="90" spans="1:12" s="10" customFormat="1" ht="16.5" customHeight="1" x14ac:dyDescent="0.3">
      <c r="A90" s="5">
        <v>88</v>
      </c>
      <c r="B90" s="5">
        <v>49543</v>
      </c>
      <c r="C90" s="6" t="s">
        <v>226</v>
      </c>
      <c r="D90" s="5" t="s">
        <v>227</v>
      </c>
      <c r="E90" s="5" t="s">
        <v>228</v>
      </c>
      <c r="F90" s="7">
        <v>10049.6</v>
      </c>
      <c r="G90" s="7">
        <v>167.49</v>
      </c>
      <c r="H90" s="7">
        <v>20.34</v>
      </c>
      <c r="I90" s="7">
        <v>0</v>
      </c>
      <c r="J90" s="8">
        <f t="shared" si="2"/>
        <v>20.34</v>
      </c>
      <c r="K90" s="9"/>
      <c r="L90" s="15">
        <f t="shared" si="3"/>
        <v>187.83</v>
      </c>
    </row>
    <row r="91" spans="1:12" s="10" customFormat="1" ht="16.5" customHeight="1" x14ac:dyDescent="0.3">
      <c r="A91" s="5">
        <v>89</v>
      </c>
      <c r="B91" s="5">
        <v>51455</v>
      </c>
      <c r="C91" s="6" t="s">
        <v>229</v>
      </c>
      <c r="D91" s="5" t="s">
        <v>230</v>
      </c>
      <c r="E91" s="5" t="s">
        <v>165</v>
      </c>
      <c r="F91" s="7">
        <v>11110</v>
      </c>
      <c r="G91" s="7">
        <v>185.17</v>
      </c>
      <c r="H91" s="7">
        <v>20</v>
      </c>
      <c r="I91" s="7">
        <v>0</v>
      </c>
      <c r="J91" s="8">
        <f t="shared" si="2"/>
        <v>20</v>
      </c>
      <c r="K91" s="9"/>
      <c r="L91" s="15">
        <f t="shared" si="3"/>
        <v>205.17</v>
      </c>
    </row>
    <row r="92" spans="1:12" s="10" customFormat="1" ht="16.5" customHeight="1" x14ac:dyDescent="0.3">
      <c r="A92" s="5">
        <v>90</v>
      </c>
      <c r="B92" s="5">
        <v>51964</v>
      </c>
      <c r="C92" s="6" t="s">
        <v>231</v>
      </c>
      <c r="D92" s="5" t="s">
        <v>162</v>
      </c>
      <c r="E92" s="5" t="s">
        <v>232</v>
      </c>
      <c r="F92" s="7">
        <v>10655</v>
      </c>
      <c r="G92" s="7">
        <v>177.58</v>
      </c>
      <c r="H92" s="7">
        <v>19</v>
      </c>
      <c r="I92" s="7">
        <v>0</v>
      </c>
      <c r="J92" s="8">
        <f t="shared" si="2"/>
        <v>19</v>
      </c>
      <c r="K92" s="9"/>
      <c r="L92" s="15">
        <f t="shared" si="3"/>
        <v>196.58</v>
      </c>
    </row>
    <row r="93" spans="1:12" ht="15.6" x14ac:dyDescent="0.3">
      <c r="A93" s="11"/>
      <c r="B93" s="12"/>
      <c r="C93" s="12" t="s">
        <v>233</v>
      </c>
      <c r="D93" s="12"/>
      <c r="E93" s="12"/>
      <c r="F93" s="13">
        <f>SUM(F3:F92)</f>
        <v>947396.4</v>
      </c>
      <c r="G93" s="13">
        <f>SUM(G3:G92)</f>
        <v>15789.919999999996</v>
      </c>
      <c r="H93" s="13">
        <f>SUM(H3:H92)</f>
        <v>1900.8599999999997</v>
      </c>
      <c r="I93" s="13">
        <f>SUM(I3:I92)</f>
        <v>5.5</v>
      </c>
      <c r="J93" s="13">
        <f>SUM(J3:J92)</f>
        <v>1906.3599999999997</v>
      </c>
      <c r="K93" s="9"/>
      <c r="L93" s="16">
        <f>SUM(L3:L92)</f>
        <v>17690.779999999995</v>
      </c>
    </row>
    <row r="94" spans="1:12" x14ac:dyDescent="0.3">
      <c r="F94" s="14"/>
      <c r="G94" s="14"/>
      <c r="H94" s="14"/>
      <c r="I94" s="14"/>
      <c r="J94" s="14"/>
    </row>
    <row r="95" spans="1:12" x14ac:dyDescent="0.3">
      <c r="F95" s="14"/>
      <c r="G95" s="14"/>
      <c r="H95" s="14"/>
      <c r="I95" s="14"/>
      <c r="J95" s="14"/>
    </row>
  </sheetData>
  <mergeCells count="1">
    <mergeCell ref="A1:J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796C-7698-4DC3-BC9D-6321816BD41F}">
  <sheetPr>
    <outlinePr summaryBelow="0"/>
  </sheetPr>
  <dimension ref="A1:L76"/>
  <sheetViews>
    <sheetView zoomScaleNormal="100" workbookViewId="0">
      <pane xSplit="5" ySplit="6" topLeftCell="F61" activePane="bottomRight" state="frozen"/>
      <selection pane="topRight" activeCell="F1" sqref="F1"/>
      <selection pane="bottomLeft" activeCell="A10" sqref="A10"/>
      <selection pane="bottomRight" activeCell="G74" sqref="G74:H74"/>
    </sheetView>
  </sheetViews>
  <sheetFormatPr defaultColWidth="9.109375" defaultRowHeight="14.4" x14ac:dyDescent="0.3"/>
  <cols>
    <col min="2" max="2" width="6.88671875" customWidth="1"/>
    <col min="3" max="3" width="18.44140625" customWidth="1"/>
    <col min="4" max="4" width="13.5546875" customWidth="1"/>
    <col min="5" max="5" width="12.6640625" customWidth="1"/>
    <col min="6" max="9" width="19.6640625" customWidth="1"/>
    <col min="10" max="10" width="13.44140625" customWidth="1"/>
    <col min="11" max="11" width="25.109375" customWidth="1"/>
    <col min="12" max="12" width="11.5546875" bestFit="1" customWidth="1"/>
  </cols>
  <sheetData>
    <row r="1" spans="1:12" s="1" customFormat="1" ht="32.2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2" s="4" customFormat="1" ht="63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</row>
    <row r="3" spans="1:12" s="10" customFormat="1" ht="16.5" customHeight="1" x14ac:dyDescent="0.3">
      <c r="A3" s="5">
        <v>1</v>
      </c>
      <c r="B3" s="5">
        <v>10200</v>
      </c>
      <c r="C3" s="6" t="s">
        <v>21</v>
      </c>
      <c r="D3" s="5" t="s">
        <v>22</v>
      </c>
      <c r="E3" s="5" t="s">
        <v>20</v>
      </c>
      <c r="F3" s="7">
        <v>11110</v>
      </c>
      <c r="G3" s="7">
        <v>185.17</v>
      </c>
      <c r="H3" s="7">
        <v>22</v>
      </c>
      <c r="I3" s="7">
        <v>0</v>
      </c>
      <c r="J3" s="8">
        <f t="shared" ref="J3:J34" si="0">H3+I3</f>
        <v>22</v>
      </c>
      <c r="K3" s="9"/>
      <c r="L3" s="15">
        <f t="shared" ref="L3:L34" si="1">G3+H3</f>
        <v>207.17</v>
      </c>
    </row>
    <row r="4" spans="1:12" s="10" customFormat="1" ht="16.5" customHeight="1" x14ac:dyDescent="0.3">
      <c r="A4" s="5">
        <v>2</v>
      </c>
      <c r="B4" s="5">
        <v>10325</v>
      </c>
      <c r="C4" s="6" t="s">
        <v>31</v>
      </c>
      <c r="D4" s="5" t="s">
        <v>32</v>
      </c>
      <c r="E4" s="5" t="s">
        <v>33</v>
      </c>
      <c r="F4" s="7">
        <v>10835</v>
      </c>
      <c r="G4" s="7">
        <v>180.58</v>
      </c>
      <c r="H4" s="7">
        <v>18.75</v>
      </c>
      <c r="I4" s="7">
        <v>0</v>
      </c>
      <c r="J4" s="8">
        <f t="shared" si="0"/>
        <v>18.75</v>
      </c>
      <c r="K4" s="9"/>
      <c r="L4" s="15">
        <f t="shared" si="1"/>
        <v>199.33</v>
      </c>
    </row>
    <row r="5" spans="1:12" s="10" customFormat="1" ht="16.5" customHeight="1" x14ac:dyDescent="0.3">
      <c r="A5" s="5">
        <v>3</v>
      </c>
      <c r="B5" s="5">
        <v>10446</v>
      </c>
      <c r="C5" s="6" t="s">
        <v>37</v>
      </c>
      <c r="D5" s="5" t="s">
        <v>38</v>
      </c>
      <c r="E5" s="5" t="s">
        <v>36</v>
      </c>
      <c r="F5" s="7">
        <v>11110</v>
      </c>
      <c r="G5" s="7">
        <v>185.17</v>
      </c>
      <c r="H5" s="7">
        <v>22</v>
      </c>
      <c r="I5" s="7">
        <v>0</v>
      </c>
      <c r="J5" s="8">
        <f t="shared" si="0"/>
        <v>22</v>
      </c>
      <c r="K5" s="9"/>
      <c r="L5" s="15">
        <f t="shared" si="1"/>
        <v>207.17</v>
      </c>
    </row>
    <row r="6" spans="1:12" s="10" customFormat="1" ht="16.5" customHeight="1" x14ac:dyDescent="0.3">
      <c r="A6" s="5">
        <v>4</v>
      </c>
      <c r="B6" s="5">
        <v>10475</v>
      </c>
      <c r="C6" s="6" t="s">
        <v>42</v>
      </c>
      <c r="D6" s="5" t="s">
        <v>43</v>
      </c>
      <c r="E6" s="5" t="s">
        <v>44</v>
      </c>
      <c r="F6" s="7">
        <v>9470</v>
      </c>
      <c r="G6" s="7">
        <v>157.83000000000001</v>
      </c>
      <c r="H6" s="7">
        <v>17.5</v>
      </c>
      <c r="I6" s="7">
        <v>0</v>
      </c>
      <c r="J6" s="8">
        <f t="shared" si="0"/>
        <v>17.5</v>
      </c>
      <c r="K6" s="9"/>
      <c r="L6" s="15">
        <f t="shared" si="1"/>
        <v>175.33</v>
      </c>
    </row>
    <row r="7" spans="1:12" s="10" customFormat="1" ht="16.5" customHeight="1" x14ac:dyDescent="0.3">
      <c r="A7" s="5">
        <v>5</v>
      </c>
      <c r="B7" s="5">
        <v>10546</v>
      </c>
      <c r="C7" s="6" t="s">
        <v>45</v>
      </c>
      <c r="D7" s="5" t="s">
        <v>46</v>
      </c>
      <c r="E7" s="5" t="s">
        <v>47</v>
      </c>
      <c r="F7" s="7">
        <v>10835</v>
      </c>
      <c r="G7" s="7">
        <v>180.58</v>
      </c>
      <c r="H7" s="7">
        <v>15.5</v>
      </c>
      <c r="I7" s="7">
        <v>0</v>
      </c>
      <c r="J7" s="8">
        <f t="shared" si="0"/>
        <v>15.5</v>
      </c>
      <c r="K7" s="9"/>
      <c r="L7" s="15">
        <f t="shared" si="1"/>
        <v>196.08</v>
      </c>
    </row>
    <row r="8" spans="1:12" s="10" customFormat="1" ht="16.5" customHeight="1" x14ac:dyDescent="0.3">
      <c r="A8" s="5">
        <v>6</v>
      </c>
      <c r="B8" s="5">
        <v>10622</v>
      </c>
      <c r="C8" s="6" t="s">
        <v>51</v>
      </c>
      <c r="D8" s="5" t="s">
        <v>52</v>
      </c>
      <c r="E8" s="5" t="s">
        <v>53</v>
      </c>
      <c r="F8" s="7">
        <v>11110</v>
      </c>
      <c r="G8" s="7">
        <v>185.17</v>
      </c>
      <c r="H8" s="7">
        <v>22</v>
      </c>
      <c r="I8" s="7">
        <v>0</v>
      </c>
      <c r="J8" s="8">
        <f t="shared" si="0"/>
        <v>22</v>
      </c>
      <c r="K8" s="9"/>
      <c r="L8" s="15">
        <f t="shared" si="1"/>
        <v>207.17</v>
      </c>
    </row>
    <row r="9" spans="1:12" s="10" customFormat="1" ht="16.5" customHeight="1" x14ac:dyDescent="0.3">
      <c r="A9" s="5">
        <v>7</v>
      </c>
      <c r="B9" s="5">
        <v>10637</v>
      </c>
      <c r="C9" s="6" t="s">
        <v>54</v>
      </c>
      <c r="D9" s="5" t="s">
        <v>55</v>
      </c>
      <c r="E9" s="5" t="s">
        <v>56</v>
      </c>
      <c r="F9" s="7">
        <v>9925</v>
      </c>
      <c r="G9" s="7">
        <v>165.42</v>
      </c>
      <c r="H9" s="7">
        <v>7.5</v>
      </c>
      <c r="I9" s="7">
        <v>0</v>
      </c>
      <c r="J9" s="8">
        <f t="shared" si="0"/>
        <v>7.5</v>
      </c>
      <c r="K9" s="9"/>
      <c r="L9" s="15">
        <f t="shared" si="1"/>
        <v>172.92</v>
      </c>
    </row>
    <row r="10" spans="1:12" s="10" customFormat="1" ht="16.5" customHeight="1" x14ac:dyDescent="0.3">
      <c r="A10" s="5">
        <v>8</v>
      </c>
      <c r="B10" s="5">
        <v>10642</v>
      </c>
      <c r="C10" s="6" t="s">
        <v>57</v>
      </c>
      <c r="D10" s="5" t="s">
        <v>58</v>
      </c>
      <c r="E10" s="5" t="s">
        <v>59</v>
      </c>
      <c r="F10" s="7">
        <v>10560</v>
      </c>
      <c r="G10" s="7">
        <v>176</v>
      </c>
      <c r="H10" s="7">
        <v>15</v>
      </c>
      <c r="I10" s="7">
        <v>0</v>
      </c>
      <c r="J10" s="8">
        <f t="shared" si="0"/>
        <v>15</v>
      </c>
      <c r="K10" s="9"/>
      <c r="L10" s="15">
        <f t="shared" si="1"/>
        <v>191</v>
      </c>
    </row>
    <row r="11" spans="1:12" s="10" customFormat="1" ht="16.5" customHeight="1" x14ac:dyDescent="0.3">
      <c r="A11" s="5">
        <v>9</v>
      </c>
      <c r="B11" s="5">
        <v>10652</v>
      </c>
      <c r="C11" s="6" t="s">
        <v>63</v>
      </c>
      <c r="D11" s="5" t="s">
        <v>64</v>
      </c>
      <c r="E11" s="5" t="s">
        <v>62</v>
      </c>
      <c r="F11" s="7">
        <v>10835</v>
      </c>
      <c r="G11" s="7">
        <v>180.58</v>
      </c>
      <c r="H11" s="7">
        <v>15.5</v>
      </c>
      <c r="I11" s="7">
        <v>0</v>
      </c>
      <c r="J11" s="8">
        <f t="shared" si="0"/>
        <v>15.5</v>
      </c>
      <c r="K11" s="9"/>
      <c r="L11" s="15">
        <f t="shared" si="1"/>
        <v>196.08</v>
      </c>
    </row>
    <row r="12" spans="1:12" s="10" customFormat="1" ht="16.5" customHeight="1" x14ac:dyDescent="0.3">
      <c r="A12" s="5">
        <v>10</v>
      </c>
      <c r="B12" s="5">
        <v>10660</v>
      </c>
      <c r="C12" s="6" t="s">
        <v>65</v>
      </c>
      <c r="D12" s="5" t="s">
        <v>29</v>
      </c>
      <c r="E12" s="5" t="s">
        <v>66</v>
      </c>
      <c r="F12" s="7">
        <v>11110</v>
      </c>
      <c r="G12" s="7">
        <v>185.17</v>
      </c>
      <c r="H12" s="7">
        <v>28</v>
      </c>
      <c r="I12" s="7">
        <v>0</v>
      </c>
      <c r="J12" s="8">
        <f t="shared" si="0"/>
        <v>28</v>
      </c>
      <c r="K12" s="9"/>
      <c r="L12" s="15">
        <f t="shared" si="1"/>
        <v>213.17</v>
      </c>
    </row>
    <row r="13" spans="1:12" s="10" customFormat="1" ht="16.5" customHeight="1" x14ac:dyDescent="0.3">
      <c r="A13" s="5">
        <v>11</v>
      </c>
      <c r="B13" s="5">
        <v>10667</v>
      </c>
      <c r="C13" s="6" t="s">
        <v>67</v>
      </c>
      <c r="D13" s="5" t="s">
        <v>68</v>
      </c>
      <c r="E13" s="5" t="s">
        <v>69</v>
      </c>
      <c r="F13" s="7">
        <v>10105</v>
      </c>
      <c r="G13" s="7">
        <v>168.42</v>
      </c>
      <c r="H13" s="7">
        <v>24</v>
      </c>
      <c r="I13" s="7">
        <v>0</v>
      </c>
      <c r="J13" s="8">
        <f t="shared" si="0"/>
        <v>24</v>
      </c>
      <c r="K13" s="9"/>
      <c r="L13" s="15">
        <f t="shared" si="1"/>
        <v>192.42</v>
      </c>
    </row>
    <row r="14" spans="1:12" s="10" customFormat="1" ht="16.5" customHeight="1" x14ac:dyDescent="0.3">
      <c r="A14" s="5">
        <v>12</v>
      </c>
      <c r="B14" s="5">
        <v>11124</v>
      </c>
      <c r="C14" s="6" t="s">
        <v>73</v>
      </c>
      <c r="D14" s="5" t="s">
        <v>49</v>
      </c>
      <c r="E14" s="5" t="s">
        <v>74</v>
      </c>
      <c r="F14" s="7">
        <v>10835</v>
      </c>
      <c r="G14" s="7">
        <v>180.58</v>
      </c>
      <c r="H14" s="7">
        <v>16.5</v>
      </c>
      <c r="I14" s="7">
        <v>0</v>
      </c>
      <c r="J14" s="8">
        <f t="shared" si="0"/>
        <v>16.5</v>
      </c>
      <c r="K14" s="9"/>
      <c r="L14" s="15">
        <f t="shared" si="1"/>
        <v>197.08</v>
      </c>
    </row>
    <row r="15" spans="1:12" s="10" customFormat="1" ht="16.5" customHeight="1" x14ac:dyDescent="0.3">
      <c r="A15" s="5">
        <v>13</v>
      </c>
      <c r="B15" s="5">
        <v>11215</v>
      </c>
      <c r="C15" s="6" t="s">
        <v>31</v>
      </c>
      <c r="D15" s="5" t="s">
        <v>78</v>
      </c>
      <c r="E15" s="5" t="s">
        <v>79</v>
      </c>
      <c r="F15" s="7">
        <v>10380</v>
      </c>
      <c r="G15" s="7">
        <v>173</v>
      </c>
      <c r="H15" s="7">
        <v>18.5</v>
      </c>
      <c r="I15" s="7">
        <v>0</v>
      </c>
      <c r="J15" s="8">
        <f t="shared" si="0"/>
        <v>18.5</v>
      </c>
      <c r="K15" s="9"/>
      <c r="L15" s="15">
        <f t="shared" si="1"/>
        <v>191.5</v>
      </c>
    </row>
    <row r="16" spans="1:12" s="10" customFormat="1" ht="16.5" customHeight="1" x14ac:dyDescent="0.3">
      <c r="A16" s="5">
        <v>14</v>
      </c>
      <c r="B16" s="5">
        <v>11235</v>
      </c>
      <c r="C16" s="6" t="s">
        <v>80</v>
      </c>
      <c r="D16" s="5" t="s">
        <v>16</v>
      </c>
      <c r="E16" s="5" t="s">
        <v>81</v>
      </c>
      <c r="F16" s="7">
        <v>10380</v>
      </c>
      <c r="G16" s="7">
        <v>173</v>
      </c>
      <c r="H16" s="7">
        <v>18.5</v>
      </c>
      <c r="I16" s="7">
        <v>0</v>
      </c>
      <c r="J16" s="8">
        <f t="shared" si="0"/>
        <v>18.5</v>
      </c>
      <c r="K16" s="9"/>
      <c r="L16" s="15">
        <f t="shared" si="1"/>
        <v>191.5</v>
      </c>
    </row>
    <row r="17" spans="1:12" s="10" customFormat="1" ht="16.5" customHeight="1" x14ac:dyDescent="0.3">
      <c r="A17" s="5">
        <v>15</v>
      </c>
      <c r="B17" s="5">
        <v>11246</v>
      </c>
      <c r="C17" s="6" t="s">
        <v>82</v>
      </c>
      <c r="D17" s="5" t="s">
        <v>83</v>
      </c>
      <c r="E17" s="5" t="s">
        <v>84</v>
      </c>
      <c r="F17" s="7">
        <v>11110</v>
      </c>
      <c r="G17" s="7">
        <v>185.17</v>
      </c>
      <c r="H17" s="7">
        <v>21.5</v>
      </c>
      <c r="I17" s="7">
        <v>0</v>
      </c>
      <c r="J17" s="8">
        <f t="shared" si="0"/>
        <v>21.5</v>
      </c>
      <c r="K17" s="9"/>
      <c r="L17" s="15">
        <f t="shared" si="1"/>
        <v>206.67</v>
      </c>
    </row>
    <row r="18" spans="1:12" s="10" customFormat="1" ht="16.5" customHeight="1" x14ac:dyDescent="0.3">
      <c r="A18" s="5">
        <v>16</v>
      </c>
      <c r="B18" s="5">
        <v>11269</v>
      </c>
      <c r="C18" s="6" t="s">
        <v>87</v>
      </c>
      <c r="D18" s="5" t="s">
        <v>88</v>
      </c>
      <c r="E18" s="5" t="s">
        <v>89</v>
      </c>
      <c r="F18" s="7">
        <v>11110</v>
      </c>
      <c r="G18" s="7">
        <v>185.17</v>
      </c>
      <c r="H18" s="7">
        <v>34</v>
      </c>
      <c r="I18" s="7">
        <v>0</v>
      </c>
      <c r="J18" s="8">
        <f t="shared" si="0"/>
        <v>34</v>
      </c>
      <c r="K18" s="9"/>
      <c r="L18" s="15">
        <f t="shared" si="1"/>
        <v>219.17</v>
      </c>
    </row>
    <row r="19" spans="1:12" s="10" customFormat="1" ht="16.5" customHeight="1" x14ac:dyDescent="0.3">
      <c r="A19" s="5">
        <v>17</v>
      </c>
      <c r="B19" s="5">
        <v>11325</v>
      </c>
      <c r="C19" s="6" t="s">
        <v>90</v>
      </c>
      <c r="D19" s="5" t="s">
        <v>16</v>
      </c>
      <c r="E19" s="5" t="s">
        <v>91</v>
      </c>
      <c r="F19" s="7">
        <v>10835</v>
      </c>
      <c r="G19" s="7">
        <v>180.58</v>
      </c>
      <c r="H19" s="7">
        <v>18.25</v>
      </c>
      <c r="I19" s="7">
        <v>0</v>
      </c>
      <c r="J19" s="8">
        <f t="shared" si="0"/>
        <v>18.25</v>
      </c>
      <c r="K19" s="9"/>
      <c r="L19" s="15">
        <f t="shared" si="1"/>
        <v>198.83</v>
      </c>
    </row>
    <row r="20" spans="1:12" s="10" customFormat="1" ht="16.5" customHeight="1" x14ac:dyDescent="0.3">
      <c r="A20" s="5">
        <v>18</v>
      </c>
      <c r="B20" s="5">
        <v>11390</v>
      </c>
      <c r="C20" s="6" t="s">
        <v>92</v>
      </c>
      <c r="D20" s="5" t="s">
        <v>93</v>
      </c>
      <c r="E20" s="5" t="s">
        <v>94</v>
      </c>
      <c r="F20" s="7">
        <v>11110</v>
      </c>
      <c r="G20" s="7">
        <v>185.17</v>
      </c>
      <c r="H20" s="7">
        <v>22</v>
      </c>
      <c r="I20" s="7">
        <v>0</v>
      </c>
      <c r="J20" s="8">
        <f t="shared" si="0"/>
        <v>22</v>
      </c>
      <c r="K20" s="9"/>
      <c r="L20" s="15">
        <f t="shared" si="1"/>
        <v>207.17</v>
      </c>
    </row>
    <row r="21" spans="1:12" s="10" customFormat="1" ht="16.5" customHeight="1" x14ac:dyDescent="0.3">
      <c r="A21" s="5">
        <v>19</v>
      </c>
      <c r="B21" s="5">
        <v>11444</v>
      </c>
      <c r="C21" s="6" t="s">
        <v>85</v>
      </c>
      <c r="D21" s="5" t="s">
        <v>43</v>
      </c>
      <c r="E21" s="5" t="s">
        <v>95</v>
      </c>
      <c r="F21" s="7">
        <v>10380</v>
      </c>
      <c r="G21" s="7">
        <v>173</v>
      </c>
      <c r="H21" s="7">
        <v>33.5</v>
      </c>
      <c r="I21" s="7">
        <v>0</v>
      </c>
      <c r="J21" s="8">
        <f t="shared" si="0"/>
        <v>33.5</v>
      </c>
      <c r="K21" s="9"/>
      <c r="L21" s="15">
        <f t="shared" si="1"/>
        <v>206.5</v>
      </c>
    </row>
    <row r="22" spans="1:12" s="10" customFormat="1" ht="16.5" customHeight="1" x14ac:dyDescent="0.3">
      <c r="A22" s="5">
        <v>20</v>
      </c>
      <c r="B22" s="5">
        <v>11447</v>
      </c>
      <c r="C22" s="6" t="s">
        <v>96</v>
      </c>
      <c r="D22" s="5" t="s">
        <v>61</v>
      </c>
      <c r="E22" s="5" t="s">
        <v>95</v>
      </c>
      <c r="F22" s="7">
        <v>7964</v>
      </c>
      <c r="G22" s="7">
        <v>132.72999999999999</v>
      </c>
      <c r="H22" s="7">
        <v>7.25</v>
      </c>
      <c r="I22" s="7">
        <v>0</v>
      </c>
      <c r="J22" s="8">
        <f t="shared" si="0"/>
        <v>7.25</v>
      </c>
      <c r="K22" s="9"/>
      <c r="L22" s="15">
        <f t="shared" si="1"/>
        <v>139.97999999999999</v>
      </c>
    </row>
    <row r="23" spans="1:12" s="10" customFormat="1" ht="16.5" customHeight="1" x14ac:dyDescent="0.3">
      <c r="A23" s="5">
        <v>21</v>
      </c>
      <c r="B23" s="5">
        <v>11484</v>
      </c>
      <c r="C23" s="6" t="s">
        <v>97</v>
      </c>
      <c r="D23" s="5" t="s">
        <v>98</v>
      </c>
      <c r="E23" s="5" t="s">
        <v>99</v>
      </c>
      <c r="F23" s="7">
        <v>10380</v>
      </c>
      <c r="G23" s="7">
        <v>173</v>
      </c>
      <c r="H23" s="7">
        <v>14.5</v>
      </c>
      <c r="I23" s="7">
        <v>0</v>
      </c>
      <c r="J23" s="8">
        <f t="shared" si="0"/>
        <v>14.5</v>
      </c>
      <c r="K23" s="9"/>
      <c r="L23" s="15">
        <f t="shared" si="1"/>
        <v>187.5</v>
      </c>
    </row>
    <row r="24" spans="1:12" s="10" customFormat="1" ht="16.5" customHeight="1" x14ac:dyDescent="0.3">
      <c r="A24" s="5">
        <v>22</v>
      </c>
      <c r="B24" s="5">
        <v>11517</v>
      </c>
      <c r="C24" s="6" t="s">
        <v>100</v>
      </c>
      <c r="D24" s="5" t="s">
        <v>101</v>
      </c>
      <c r="E24" s="5" t="s">
        <v>102</v>
      </c>
      <c r="F24" s="7">
        <v>10835</v>
      </c>
      <c r="G24" s="7">
        <v>180.58</v>
      </c>
      <c r="H24" s="7">
        <v>13.5</v>
      </c>
      <c r="I24" s="7">
        <v>0</v>
      </c>
      <c r="J24" s="8">
        <f t="shared" si="0"/>
        <v>13.5</v>
      </c>
      <c r="K24" s="9"/>
      <c r="L24" s="15">
        <f t="shared" si="1"/>
        <v>194.08</v>
      </c>
    </row>
    <row r="25" spans="1:12" s="10" customFormat="1" ht="16.5" customHeight="1" x14ac:dyDescent="0.3">
      <c r="A25" s="5">
        <v>23</v>
      </c>
      <c r="B25" s="5">
        <v>11518</v>
      </c>
      <c r="C25" s="6" t="s">
        <v>103</v>
      </c>
      <c r="D25" s="5" t="s">
        <v>104</v>
      </c>
      <c r="E25" s="5" t="s">
        <v>102</v>
      </c>
      <c r="F25" s="7">
        <v>10835</v>
      </c>
      <c r="G25" s="7">
        <v>180.58</v>
      </c>
      <c r="H25" s="7">
        <v>19.5</v>
      </c>
      <c r="I25" s="7">
        <v>0</v>
      </c>
      <c r="J25" s="8">
        <f t="shared" si="0"/>
        <v>19.5</v>
      </c>
      <c r="K25" s="9"/>
      <c r="L25" s="15">
        <f t="shared" si="1"/>
        <v>200.08</v>
      </c>
    </row>
    <row r="26" spans="1:12" s="10" customFormat="1" ht="16.5" customHeight="1" x14ac:dyDescent="0.3">
      <c r="A26" s="5">
        <v>24</v>
      </c>
      <c r="B26" s="5">
        <v>11537</v>
      </c>
      <c r="C26" s="6" t="s">
        <v>105</v>
      </c>
      <c r="D26" s="5" t="s">
        <v>52</v>
      </c>
      <c r="E26" s="5" t="s">
        <v>106</v>
      </c>
      <c r="F26" s="7">
        <v>10835</v>
      </c>
      <c r="G26" s="7">
        <v>180.58</v>
      </c>
      <c r="H26" s="7">
        <v>27.75</v>
      </c>
      <c r="I26" s="7">
        <v>0</v>
      </c>
      <c r="J26" s="8">
        <f t="shared" si="0"/>
        <v>27.75</v>
      </c>
      <c r="K26" s="9"/>
      <c r="L26" s="15">
        <f t="shared" si="1"/>
        <v>208.33</v>
      </c>
    </row>
    <row r="27" spans="1:12" s="10" customFormat="1" ht="16.5" customHeight="1" x14ac:dyDescent="0.3">
      <c r="A27" s="5">
        <v>25</v>
      </c>
      <c r="B27" s="5">
        <v>11538</v>
      </c>
      <c r="C27" s="6" t="s">
        <v>107</v>
      </c>
      <c r="D27" s="5" t="s">
        <v>108</v>
      </c>
      <c r="E27" s="5" t="s">
        <v>106</v>
      </c>
      <c r="F27" s="7">
        <v>10824</v>
      </c>
      <c r="G27" s="7">
        <v>180.4</v>
      </c>
      <c r="H27" s="7">
        <v>17.5</v>
      </c>
      <c r="I27" s="7">
        <v>0</v>
      </c>
      <c r="J27" s="8">
        <f t="shared" si="0"/>
        <v>17.5</v>
      </c>
      <c r="K27" s="9"/>
      <c r="L27" s="15">
        <f t="shared" si="1"/>
        <v>197.9</v>
      </c>
    </row>
    <row r="28" spans="1:12" s="10" customFormat="1" ht="16.5" customHeight="1" x14ac:dyDescent="0.3">
      <c r="A28" s="5">
        <v>26</v>
      </c>
      <c r="B28" s="5">
        <v>11547</v>
      </c>
      <c r="C28" s="6" t="s">
        <v>109</v>
      </c>
      <c r="D28" s="5" t="s">
        <v>110</v>
      </c>
      <c r="E28" s="5" t="s">
        <v>111</v>
      </c>
      <c r="F28" s="7">
        <v>11110</v>
      </c>
      <c r="G28" s="7">
        <v>185.17</v>
      </c>
      <c r="H28" s="7">
        <v>30.5</v>
      </c>
      <c r="I28" s="7">
        <v>0</v>
      </c>
      <c r="J28" s="8">
        <f t="shared" si="0"/>
        <v>30.5</v>
      </c>
      <c r="K28" s="9"/>
      <c r="L28" s="15">
        <f t="shared" si="1"/>
        <v>215.67</v>
      </c>
    </row>
    <row r="29" spans="1:12" s="10" customFormat="1" ht="16.5" customHeight="1" x14ac:dyDescent="0.3">
      <c r="A29" s="5">
        <v>27</v>
      </c>
      <c r="B29" s="5">
        <v>11550</v>
      </c>
      <c r="C29" s="6" t="s">
        <v>75</v>
      </c>
      <c r="D29" s="5" t="s">
        <v>112</v>
      </c>
      <c r="E29" s="5" t="s">
        <v>113</v>
      </c>
      <c r="F29" s="7">
        <v>10105</v>
      </c>
      <c r="G29" s="7">
        <v>168.42</v>
      </c>
      <c r="H29" s="7">
        <v>17</v>
      </c>
      <c r="I29" s="7">
        <v>0</v>
      </c>
      <c r="J29" s="8">
        <f t="shared" si="0"/>
        <v>17</v>
      </c>
      <c r="K29" s="9"/>
      <c r="L29" s="15">
        <f t="shared" si="1"/>
        <v>185.42</v>
      </c>
    </row>
    <row r="30" spans="1:12" s="10" customFormat="1" ht="16.5" customHeight="1" x14ac:dyDescent="0.3">
      <c r="A30" s="5">
        <v>28</v>
      </c>
      <c r="B30" s="5">
        <v>11553</v>
      </c>
      <c r="C30" s="6" t="s">
        <v>114</v>
      </c>
      <c r="D30" s="5" t="s">
        <v>115</v>
      </c>
      <c r="E30" s="5" t="s">
        <v>113</v>
      </c>
      <c r="F30" s="7">
        <v>10835</v>
      </c>
      <c r="G30" s="7">
        <v>180.58</v>
      </c>
      <c r="H30" s="7">
        <v>17.5</v>
      </c>
      <c r="I30" s="7">
        <v>0</v>
      </c>
      <c r="J30" s="8">
        <f t="shared" si="0"/>
        <v>17.5</v>
      </c>
      <c r="K30" s="9"/>
      <c r="L30" s="15">
        <f t="shared" si="1"/>
        <v>198.08</v>
      </c>
    </row>
    <row r="31" spans="1:12" s="10" customFormat="1" ht="16.5" customHeight="1" x14ac:dyDescent="0.3">
      <c r="A31" s="5">
        <v>29</v>
      </c>
      <c r="B31" s="5">
        <v>11554</v>
      </c>
      <c r="C31" s="6" t="s">
        <v>116</v>
      </c>
      <c r="D31" s="5" t="s">
        <v>117</v>
      </c>
      <c r="E31" s="5" t="s">
        <v>113</v>
      </c>
      <c r="F31" s="7">
        <v>10835</v>
      </c>
      <c r="G31" s="7">
        <v>180.58</v>
      </c>
      <c r="H31" s="7">
        <v>19.5</v>
      </c>
      <c r="I31" s="7">
        <v>0</v>
      </c>
      <c r="J31" s="8">
        <f t="shared" si="0"/>
        <v>19.5</v>
      </c>
      <c r="K31" s="9"/>
      <c r="L31" s="15">
        <f t="shared" si="1"/>
        <v>200.08</v>
      </c>
    </row>
    <row r="32" spans="1:12" s="10" customFormat="1" ht="16.5" customHeight="1" x14ac:dyDescent="0.3">
      <c r="A32" s="5">
        <v>30</v>
      </c>
      <c r="B32" s="5">
        <v>11589</v>
      </c>
      <c r="C32" s="6" t="s">
        <v>118</v>
      </c>
      <c r="D32" s="5" t="s">
        <v>119</v>
      </c>
      <c r="E32" s="5" t="s">
        <v>120</v>
      </c>
      <c r="F32" s="7">
        <v>11110</v>
      </c>
      <c r="G32" s="7">
        <v>185.17</v>
      </c>
      <c r="H32" s="7">
        <v>22</v>
      </c>
      <c r="I32" s="7">
        <v>0</v>
      </c>
      <c r="J32" s="8">
        <f t="shared" si="0"/>
        <v>22</v>
      </c>
      <c r="K32" s="9"/>
      <c r="L32" s="15">
        <f t="shared" si="1"/>
        <v>207.17</v>
      </c>
    </row>
    <row r="33" spans="1:12" s="10" customFormat="1" ht="16.5" customHeight="1" x14ac:dyDescent="0.3">
      <c r="A33" s="5">
        <v>31</v>
      </c>
      <c r="B33" s="5">
        <v>11590</v>
      </c>
      <c r="C33" s="6" t="s">
        <v>121</v>
      </c>
      <c r="D33" s="5" t="s">
        <v>122</v>
      </c>
      <c r="E33" s="5" t="s">
        <v>120</v>
      </c>
      <c r="F33" s="7">
        <v>9015</v>
      </c>
      <c r="G33" s="7">
        <v>150.25</v>
      </c>
      <c r="H33" s="7">
        <v>14.5</v>
      </c>
      <c r="I33" s="7">
        <v>0</v>
      </c>
      <c r="J33" s="8">
        <f t="shared" si="0"/>
        <v>14.5</v>
      </c>
      <c r="K33" s="9"/>
      <c r="L33" s="15">
        <f t="shared" si="1"/>
        <v>164.75</v>
      </c>
    </row>
    <row r="34" spans="1:12" s="10" customFormat="1" ht="16.5" customHeight="1" x14ac:dyDescent="0.3">
      <c r="A34" s="5">
        <v>32</v>
      </c>
      <c r="B34" s="5">
        <v>11656</v>
      </c>
      <c r="C34" s="6" t="s">
        <v>57</v>
      </c>
      <c r="D34" s="5" t="s">
        <v>123</v>
      </c>
      <c r="E34" s="5" t="s">
        <v>124</v>
      </c>
      <c r="F34" s="7">
        <v>10835</v>
      </c>
      <c r="G34" s="7">
        <v>180.58</v>
      </c>
      <c r="H34" s="7">
        <v>27.5</v>
      </c>
      <c r="I34" s="7">
        <v>0</v>
      </c>
      <c r="J34" s="8">
        <f t="shared" si="0"/>
        <v>27.5</v>
      </c>
      <c r="K34" s="9"/>
      <c r="L34" s="15">
        <f t="shared" si="1"/>
        <v>208.08</v>
      </c>
    </row>
    <row r="35" spans="1:12" s="10" customFormat="1" ht="16.5" customHeight="1" x14ac:dyDescent="0.3">
      <c r="A35" s="5">
        <v>33</v>
      </c>
      <c r="B35" s="5">
        <v>11723</v>
      </c>
      <c r="C35" s="6" t="s">
        <v>125</v>
      </c>
      <c r="D35" s="5" t="s">
        <v>110</v>
      </c>
      <c r="E35" s="5" t="s">
        <v>126</v>
      </c>
      <c r="F35" s="7">
        <v>10809</v>
      </c>
      <c r="G35" s="7">
        <v>180.15</v>
      </c>
      <c r="H35" s="7">
        <v>17.5</v>
      </c>
      <c r="I35" s="7">
        <v>0</v>
      </c>
      <c r="J35" s="8">
        <f t="shared" ref="J35:J64" si="2">H35+I35</f>
        <v>17.5</v>
      </c>
      <c r="K35" s="9"/>
      <c r="L35" s="15">
        <f t="shared" ref="L35:L65" si="3">G35+H35</f>
        <v>197.65</v>
      </c>
    </row>
    <row r="36" spans="1:12" s="10" customFormat="1" ht="16.5" customHeight="1" x14ac:dyDescent="0.3">
      <c r="A36" s="5">
        <v>34</v>
      </c>
      <c r="B36" s="5">
        <v>11739</v>
      </c>
      <c r="C36" s="6" t="s">
        <v>127</v>
      </c>
      <c r="D36" s="5" t="s">
        <v>128</v>
      </c>
      <c r="E36" s="5" t="s">
        <v>129</v>
      </c>
      <c r="F36" s="7">
        <v>11889.4</v>
      </c>
      <c r="G36" s="7">
        <v>198.16</v>
      </c>
      <c r="H36" s="7">
        <v>27.259999999999998</v>
      </c>
      <c r="I36" s="7">
        <v>0</v>
      </c>
      <c r="J36" s="8">
        <f t="shared" si="2"/>
        <v>27.259999999999998</v>
      </c>
      <c r="K36" s="9"/>
      <c r="L36" s="15">
        <f t="shared" si="3"/>
        <v>225.42</v>
      </c>
    </row>
    <row r="37" spans="1:12" s="10" customFormat="1" ht="16.5" customHeight="1" x14ac:dyDescent="0.3">
      <c r="A37" s="5">
        <v>35</v>
      </c>
      <c r="B37" s="5">
        <v>11802</v>
      </c>
      <c r="C37" s="6" t="s">
        <v>130</v>
      </c>
      <c r="D37" s="5" t="s">
        <v>131</v>
      </c>
      <c r="E37" s="5" t="s">
        <v>132</v>
      </c>
      <c r="F37" s="7">
        <v>10655</v>
      </c>
      <c r="G37" s="7">
        <v>177.58</v>
      </c>
      <c r="H37" s="7">
        <v>28.75</v>
      </c>
      <c r="I37" s="7">
        <v>0</v>
      </c>
      <c r="J37" s="8">
        <f t="shared" si="2"/>
        <v>28.75</v>
      </c>
      <c r="K37" s="9"/>
      <c r="L37" s="15">
        <f t="shared" si="3"/>
        <v>206.33</v>
      </c>
    </row>
    <row r="38" spans="1:12" s="10" customFormat="1" ht="16.5" customHeight="1" x14ac:dyDescent="0.3">
      <c r="A38" s="5">
        <v>36</v>
      </c>
      <c r="B38" s="5">
        <v>11812</v>
      </c>
      <c r="C38" s="6" t="s">
        <v>31</v>
      </c>
      <c r="D38" s="5" t="s">
        <v>133</v>
      </c>
      <c r="E38" s="5" t="s">
        <v>134</v>
      </c>
      <c r="F38" s="7">
        <v>10380</v>
      </c>
      <c r="G38" s="7">
        <v>173</v>
      </c>
      <c r="H38" s="7">
        <v>16.5</v>
      </c>
      <c r="I38" s="7">
        <v>0</v>
      </c>
      <c r="J38" s="8">
        <f t="shared" si="2"/>
        <v>16.5</v>
      </c>
      <c r="K38" s="9"/>
      <c r="L38" s="15">
        <f t="shared" si="3"/>
        <v>189.5</v>
      </c>
    </row>
    <row r="39" spans="1:12" s="10" customFormat="1" ht="16.5" customHeight="1" x14ac:dyDescent="0.3">
      <c r="A39" s="5">
        <v>37</v>
      </c>
      <c r="B39" s="5">
        <v>11813</v>
      </c>
      <c r="C39" s="6" t="s">
        <v>85</v>
      </c>
      <c r="D39" s="5" t="s">
        <v>135</v>
      </c>
      <c r="E39" s="5" t="s">
        <v>134</v>
      </c>
      <c r="F39" s="7">
        <v>10835</v>
      </c>
      <c r="G39" s="7">
        <v>180.58</v>
      </c>
      <c r="H39" s="7">
        <v>19.5</v>
      </c>
      <c r="I39" s="7">
        <v>0</v>
      </c>
      <c r="J39" s="8">
        <f t="shared" si="2"/>
        <v>19.5</v>
      </c>
      <c r="K39" s="9"/>
      <c r="L39" s="15">
        <f t="shared" si="3"/>
        <v>200.08</v>
      </c>
    </row>
    <row r="40" spans="1:12" s="10" customFormat="1" ht="16.5" customHeight="1" x14ac:dyDescent="0.3">
      <c r="A40" s="5">
        <v>38</v>
      </c>
      <c r="B40" s="5">
        <v>11852</v>
      </c>
      <c r="C40" s="6" t="s">
        <v>136</v>
      </c>
      <c r="D40" s="5" t="s">
        <v>137</v>
      </c>
      <c r="E40" s="5" t="s">
        <v>138</v>
      </c>
      <c r="F40" s="7">
        <v>10835</v>
      </c>
      <c r="G40" s="7">
        <v>180.58</v>
      </c>
      <c r="H40" s="7">
        <v>17.25</v>
      </c>
      <c r="I40" s="7">
        <v>0</v>
      </c>
      <c r="J40" s="8">
        <f t="shared" si="2"/>
        <v>17.25</v>
      </c>
      <c r="K40" s="9"/>
      <c r="L40" s="15">
        <f t="shared" si="3"/>
        <v>197.83</v>
      </c>
    </row>
    <row r="41" spans="1:12" s="10" customFormat="1" ht="16.5" customHeight="1" x14ac:dyDescent="0.3">
      <c r="A41" s="5">
        <v>39</v>
      </c>
      <c r="B41" s="5">
        <v>11869</v>
      </c>
      <c r="C41" s="6" t="s">
        <v>96</v>
      </c>
      <c r="D41" s="5" t="s">
        <v>61</v>
      </c>
      <c r="E41" s="5" t="s">
        <v>139</v>
      </c>
      <c r="F41" s="7">
        <v>10835</v>
      </c>
      <c r="G41" s="7">
        <v>180.58</v>
      </c>
      <c r="H41" s="7">
        <v>19.5</v>
      </c>
      <c r="I41" s="7">
        <v>0</v>
      </c>
      <c r="J41" s="8">
        <f t="shared" si="2"/>
        <v>19.5</v>
      </c>
      <c r="K41" s="9"/>
      <c r="L41" s="15">
        <f t="shared" si="3"/>
        <v>200.08</v>
      </c>
    </row>
    <row r="42" spans="1:12" s="10" customFormat="1" ht="16.5" customHeight="1" x14ac:dyDescent="0.3">
      <c r="A42" s="5">
        <v>40</v>
      </c>
      <c r="B42" s="5">
        <v>11925</v>
      </c>
      <c r="C42" s="6" t="s">
        <v>140</v>
      </c>
      <c r="D42" s="5" t="s">
        <v>29</v>
      </c>
      <c r="E42" s="5" t="s">
        <v>141</v>
      </c>
      <c r="F42" s="7">
        <v>11110</v>
      </c>
      <c r="G42" s="7">
        <v>185.17</v>
      </c>
      <c r="H42" s="7">
        <v>34</v>
      </c>
      <c r="I42" s="7">
        <v>0.5</v>
      </c>
      <c r="J42" s="8">
        <f t="shared" si="2"/>
        <v>34.5</v>
      </c>
      <c r="K42" s="9"/>
      <c r="L42" s="15">
        <f t="shared" si="3"/>
        <v>219.17</v>
      </c>
    </row>
    <row r="43" spans="1:12" s="10" customFormat="1" ht="16.5" customHeight="1" x14ac:dyDescent="0.3">
      <c r="A43" s="5">
        <v>41</v>
      </c>
      <c r="B43" s="5">
        <v>11928</v>
      </c>
      <c r="C43" s="6" t="s">
        <v>142</v>
      </c>
      <c r="D43" s="5" t="s">
        <v>143</v>
      </c>
      <c r="E43" s="5" t="s">
        <v>141</v>
      </c>
      <c r="F43" s="7">
        <v>12259.2</v>
      </c>
      <c r="G43" s="7">
        <v>204.32</v>
      </c>
      <c r="H43" s="7">
        <v>17.68</v>
      </c>
      <c r="I43" s="7">
        <v>0</v>
      </c>
      <c r="J43" s="8">
        <f t="shared" si="2"/>
        <v>17.68</v>
      </c>
      <c r="K43" s="9"/>
      <c r="L43" s="15">
        <f t="shared" si="3"/>
        <v>222</v>
      </c>
    </row>
    <row r="44" spans="1:12" s="10" customFormat="1" ht="16.5" customHeight="1" x14ac:dyDescent="0.3">
      <c r="A44" s="5">
        <v>42</v>
      </c>
      <c r="B44" s="5">
        <v>11943</v>
      </c>
      <c r="C44" s="6" t="s">
        <v>144</v>
      </c>
      <c r="D44" s="5" t="s">
        <v>43</v>
      </c>
      <c r="E44" s="5" t="s">
        <v>145</v>
      </c>
      <c r="F44" s="7">
        <v>10655</v>
      </c>
      <c r="G44" s="7">
        <v>177.58</v>
      </c>
      <c r="H44" s="7">
        <v>33</v>
      </c>
      <c r="I44" s="7">
        <v>0.5</v>
      </c>
      <c r="J44" s="8">
        <f t="shared" si="2"/>
        <v>33.5</v>
      </c>
      <c r="K44" s="9"/>
      <c r="L44" s="15">
        <f t="shared" si="3"/>
        <v>210.58</v>
      </c>
    </row>
    <row r="45" spans="1:12" s="10" customFormat="1" ht="16.5" customHeight="1" x14ac:dyDescent="0.3">
      <c r="A45" s="5">
        <v>43</v>
      </c>
      <c r="B45" s="5">
        <v>11957</v>
      </c>
      <c r="C45" s="6" t="s">
        <v>146</v>
      </c>
      <c r="D45" s="5" t="s">
        <v>147</v>
      </c>
      <c r="E45" s="5" t="s">
        <v>148</v>
      </c>
      <c r="F45" s="7">
        <v>8560</v>
      </c>
      <c r="G45" s="7">
        <v>142.66999999999999</v>
      </c>
      <c r="H45" s="7">
        <v>15.5</v>
      </c>
      <c r="I45" s="7">
        <v>0</v>
      </c>
      <c r="J45" s="8">
        <f t="shared" si="2"/>
        <v>15.5</v>
      </c>
      <c r="K45" s="9"/>
      <c r="L45" s="15">
        <f t="shared" si="3"/>
        <v>158.16999999999999</v>
      </c>
    </row>
    <row r="46" spans="1:12" s="10" customFormat="1" ht="16.5" customHeight="1" x14ac:dyDescent="0.3">
      <c r="A46" s="5">
        <v>44</v>
      </c>
      <c r="B46" s="5">
        <v>11963</v>
      </c>
      <c r="C46" s="6" t="s">
        <v>149</v>
      </c>
      <c r="D46" s="5" t="s">
        <v>150</v>
      </c>
      <c r="E46" s="5" t="s">
        <v>151</v>
      </c>
      <c r="F46" s="7">
        <v>11110</v>
      </c>
      <c r="G46" s="7">
        <v>185.17</v>
      </c>
      <c r="H46" s="7">
        <v>36</v>
      </c>
      <c r="I46" s="7">
        <v>0</v>
      </c>
      <c r="J46" s="8">
        <f t="shared" si="2"/>
        <v>36</v>
      </c>
      <c r="K46" s="9"/>
      <c r="L46" s="15">
        <f t="shared" si="3"/>
        <v>221.17</v>
      </c>
    </row>
    <row r="47" spans="1:12" s="10" customFormat="1" ht="16.5" customHeight="1" x14ac:dyDescent="0.3">
      <c r="A47" s="5">
        <v>45</v>
      </c>
      <c r="B47" s="5">
        <v>11996</v>
      </c>
      <c r="C47" s="6" t="s">
        <v>152</v>
      </c>
      <c r="D47" s="5" t="s">
        <v>13</v>
      </c>
      <c r="E47" s="5" t="s">
        <v>153</v>
      </c>
      <c r="F47" s="7">
        <v>10835</v>
      </c>
      <c r="G47" s="7">
        <v>180.58</v>
      </c>
      <c r="H47" s="7">
        <v>18.5</v>
      </c>
      <c r="I47" s="7">
        <v>0</v>
      </c>
      <c r="J47" s="8">
        <f t="shared" si="2"/>
        <v>18.5</v>
      </c>
      <c r="K47" s="9"/>
      <c r="L47" s="15">
        <f t="shared" si="3"/>
        <v>199.08</v>
      </c>
    </row>
    <row r="48" spans="1:12" s="10" customFormat="1" ht="16.5" customHeight="1" x14ac:dyDescent="0.3">
      <c r="A48" s="5">
        <v>46</v>
      </c>
      <c r="B48" s="5">
        <v>12072</v>
      </c>
      <c r="C48" s="6" t="s">
        <v>154</v>
      </c>
      <c r="D48" s="5" t="s">
        <v>155</v>
      </c>
      <c r="E48" s="5" t="s">
        <v>156</v>
      </c>
      <c r="F48" s="7">
        <v>10105</v>
      </c>
      <c r="G48" s="7">
        <v>168.42</v>
      </c>
      <c r="H48" s="7">
        <v>15.25</v>
      </c>
      <c r="I48" s="7">
        <v>0</v>
      </c>
      <c r="J48" s="8">
        <f t="shared" si="2"/>
        <v>15.25</v>
      </c>
      <c r="K48" s="9"/>
      <c r="L48" s="15">
        <f t="shared" si="3"/>
        <v>183.67</v>
      </c>
    </row>
    <row r="49" spans="1:12" s="10" customFormat="1" ht="16.5" customHeight="1" x14ac:dyDescent="0.3">
      <c r="A49" s="5">
        <v>47</v>
      </c>
      <c r="B49" s="5">
        <v>12073</v>
      </c>
      <c r="C49" s="6" t="s">
        <v>142</v>
      </c>
      <c r="D49" s="5" t="s">
        <v>157</v>
      </c>
      <c r="E49" s="5" t="s">
        <v>156</v>
      </c>
      <c r="F49" s="7">
        <v>10835</v>
      </c>
      <c r="G49" s="7">
        <v>180.58</v>
      </c>
      <c r="H49" s="7">
        <v>25.5</v>
      </c>
      <c r="I49" s="7">
        <v>0</v>
      </c>
      <c r="J49" s="8">
        <f t="shared" si="2"/>
        <v>25.5</v>
      </c>
      <c r="K49" s="9"/>
      <c r="L49" s="15">
        <f t="shared" si="3"/>
        <v>206.08</v>
      </c>
    </row>
    <row r="50" spans="1:12" s="10" customFormat="1" ht="16.5" customHeight="1" x14ac:dyDescent="0.3">
      <c r="A50" s="5">
        <v>48</v>
      </c>
      <c r="B50" s="5">
        <v>12149</v>
      </c>
      <c r="C50" s="6" t="s">
        <v>158</v>
      </c>
      <c r="D50" s="5" t="s">
        <v>112</v>
      </c>
      <c r="E50" s="5" t="s">
        <v>159</v>
      </c>
      <c r="F50" s="7">
        <v>10835</v>
      </c>
      <c r="G50" s="7">
        <v>180.58</v>
      </c>
      <c r="H50" s="7">
        <v>16.5</v>
      </c>
      <c r="I50" s="7">
        <v>0</v>
      </c>
      <c r="J50" s="8">
        <f t="shared" si="2"/>
        <v>16.5</v>
      </c>
      <c r="K50" s="9"/>
      <c r="L50" s="15">
        <f t="shared" si="3"/>
        <v>197.08</v>
      </c>
    </row>
    <row r="51" spans="1:12" s="10" customFormat="1" ht="16.5" customHeight="1" x14ac:dyDescent="0.3">
      <c r="A51" s="5">
        <v>49</v>
      </c>
      <c r="B51" s="5">
        <v>12157</v>
      </c>
      <c r="C51" s="6" t="s">
        <v>31</v>
      </c>
      <c r="D51" s="5" t="s">
        <v>160</v>
      </c>
      <c r="E51" s="5" t="s">
        <v>161</v>
      </c>
      <c r="F51" s="7">
        <v>11399.4</v>
      </c>
      <c r="G51" s="7">
        <v>189.99</v>
      </c>
      <c r="H51" s="7">
        <v>16.509999999999998</v>
      </c>
      <c r="I51" s="7">
        <v>0</v>
      </c>
      <c r="J51" s="8">
        <f t="shared" si="2"/>
        <v>16.509999999999998</v>
      </c>
      <c r="K51" s="9"/>
      <c r="L51" s="15">
        <f t="shared" si="3"/>
        <v>206.5</v>
      </c>
    </row>
    <row r="52" spans="1:12" s="10" customFormat="1" ht="16.5" customHeight="1" x14ac:dyDescent="0.3">
      <c r="A52" s="5">
        <v>50</v>
      </c>
      <c r="B52" s="5">
        <v>12206</v>
      </c>
      <c r="C52" s="6" t="s">
        <v>48</v>
      </c>
      <c r="D52" s="5" t="s">
        <v>162</v>
      </c>
      <c r="E52" s="5" t="s">
        <v>163</v>
      </c>
      <c r="F52" s="7">
        <v>11110</v>
      </c>
      <c r="G52" s="7">
        <v>185.17</v>
      </c>
      <c r="H52" s="7">
        <v>22</v>
      </c>
      <c r="I52" s="7">
        <v>0</v>
      </c>
      <c r="J52" s="8">
        <f t="shared" si="2"/>
        <v>22</v>
      </c>
      <c r="K52" s="9"/>
      <c r="L52" s="15">
        <f t="shared" si="3"/>
        <v>207.17</v>
      </c>
    </row>
    <row r="53" spans="1:12" s="10" customFormat="1" ht="16.5" customHeight="1" x14ac:dyDescent="0.3">
      <c r="A53" s="5">
        <v>51</v>
      </c>
      <c r="B53" s="5">
        <v>12244</v>
      </c>
      <c r="C53" s="6" t="s">
        <v>164</v>
      </c>
      <c r="D53" s="5" t="s">
        <v>83</v>
      </c>
      <c r="E53" s="5" t="s">
        <v>165</v>
      </c>
      <c r="F53" s="7">
        <v>10380</v>
      </c>
      <c r="G53" s="7">
        <v>173</v>
      </c>
      <c r="H53" s="7">
        <v>35.5</v>
      </c>
      <c r="I53" s="7">
        <v>0.5</v>
      </c>
      <c r="J53" s="8">
        <f t="shared" si="2"/>
        <v>36</v>
      </c>
      <c r="K53" s="9"/>
      <c r="L53" s="15">
        <f t="shared" si="3"/>
        <v>208.5</v>
      </c>
    </row>
    <row r="54" spans="1:12" s="10" customFormat="1" ht="16.5" customHeight="1" x14ac:dyDescent="0.3">
      <c r="A54" s="5">
        <v>52</v>
      </c>
      <c r="B54" s="5">
        <v>12283</v>
      </c>
      <c r="C54" s="6" t="s">
        <v>166</v>
      </c>
      <c r="D54" s="5" t="s">
        <v>167</v>
      </c>
      <c r="E54" s="5" t="s">
        <v>168</v>
      </c>
      <c r="F54" s="7">
        <v>10380</v>
      </c>
      <c r="G54" s="7">
        <v>173</v>
      </c>
      <c r="H54" s="7">
        <v>25.5</v>
      </c>
      <c r="I54" s="7">
        <v>0</v>
      </c>
      <c r="J54" s="8">
        <f t="shared" si="2"/>
        <v>25.5</v>
      </c>
      <c r="K54" s="9"/>
      <c r="L54" s="15">
        <f t="shared" si="3"/>
        <v>198.5</v>
      </c>
    </row>
    <row r="55" spans="1:12" s="10" customFormat="1" ht="16.5" customHeight="1" x14ac:dyDescent="0.3">
      <c r="A55" s="5">
        <v>53</v>
      </c>
      <c r="B55" s="5">
        <v>12290</v>
      </c>
      <c r="C55" s="6" t="s">
        <v>169</v>
      </c>
      <c r="D55" s="5" t="s">
        <v>170</v>
      </c>
      <c r="E55" s="5" t="s">
        <v>171</v>
      </c>
      <c r="F55" s="7">
        <v>11110</v>
      </c>
      <c r="G55" s="7">
        <v>185.17</v>
      </c>
      <c r="H55" s="7">
        <v>28</v>
      </c>
      <c r="I55" s="7">
        <v>0</v>
      </c>
      <c r="J55" s="8">
        <f t="shared" si="2"/>
        <v>28</v>
      </c>
      <c r="K55" s="9"/>
      <c r="L55" s="15">
        <f t="shared" si="3"/>
        <v>213.17</v>
      </c>
    </row>
    <row r="56" spans="1:12" s="10" customFormat="1" ht="16.5" customHeight="1" x14ac:dyDescent="0.3">
      <c r="A56" s="5">
        <v>54</v>
      </c>
      <c r="B56" s="5">
        <v>12291</v>
      </c>
      <c r="C56" s="6" t="s">
        <v>172</v>
      </c>
      <c r="D56" s="5" t="s">
        <v>88</v>
      </c>
      <c r="E56" s="5" t="s">
        <v>171</v>
      </c>
      <c r="F56" s="7">
        <v>10560</v>
      </c>
      <c r="G56" s="7">
        <v>176</v>
      </c>
      <c r="H56" s="7">
        <v>17</v>
      </c>
      <c r="I56" s="7">
        <v>0</v>
      </c>
      <c r="J56" s="8">
        <f t="shared" si="2"/>
        <v>17</v>
      </c>
      <c r="K56" s="9"/>
      <c r="L56" s="15">
        <f t="shared" si="3"/>
        <v>193</v>
      </c>
    </row>
    <row r="57" spans="1:12" s="10" customFormat="1" ht="16.5" customHeight="1" x14ac:dyDescent="0.3">
      <c r="A57" s="5">
        <v>55</v>
      </c>
      <c r="B57" s="5">
        <v>12322</v>
      </c>
      <c r="C57" s="6" t="s">
        <v>173</v>
      </c>
      <c r="D57" s="5" t="s">
        <v>174</v>
      </c>
      <c r="E57" s="5" t="s">
        <v>175</v>
      </c>
      <c r="F57" s="7">
        <v>10655</v>
      </c>
      <c r="G57" s="7">
        <v>177.58</v>
      </c>
      <c r="H57" s="7">
        <v>22</v>
      </c>
      <c r="I57" s="7">
        <v>0</v>
      </c>
      <c r="J57" s="8">
        <f t="shared" si="2"/>
        <v>22</v>
      </c>
      <c r="K57" s="9"/>
      <c r="L57" s="15">
        <f t="shared" si="3"/>
        <v>199.58</v>
      </c>
    </row>
    <row r="58" spans="1:12" s="10" customFormat="1" ht="16.5" customHeight="1" x14ac:dyDescent="0.3">
      <c r="A58" s="5">
        <v>56</v>
      </c>
      <c r="B58" s="5">
        <v>12409</v>
      </c>
      <c r="C58" s="6" t="s">
        <v>178</v>
      </c>
      <c r="D58" s="5" t="s">
        <v>179</v>
      </c>
      <c r="E58" s="5" t="s">
        <v>180</v>
      </c>
      <c r="F58" s="7">
        <v>10655</v>
      </c>
      <c r="G58" s="7">
        <v>177.58</v>
      </c>
      <c r="H58" s="7">
        <v>29</v>
      </c>
      <c r="I58" s="7">
        <v>0</v>
      </c>
      <c r="J58" s="8">
        <f t="shared" si="2"/>
        <v>29</v>
      </c>
      <c r="K58" s="9"/>
      <c r="L58" s="15">
        <f t="shared" si="3"/>
        <v>206.58</v>
      </c>
    </row>
    <row r="59" spans="1:12" s="10" customFormat="1" ht="16.5" customHeight="1" x14ac:dyDescent="0.3">
      <c r="A59" s="5">
        <v>57</v>
      </c>
      <c r="B59" s="5">
        <v>12640</v>
      </c>
      <c r="C59" s="6" t="s">
        <v>183</v>
      </c>
      <c r="D59" s="5" t="s">
        <v>184</v>
      </c>
      <c r="E59" s="5" t="s">
        <v>185</v>
      </c>
      <c r="F59" s="7">
        <v>10560</v>
      </c>
      <c r="G59" s="7">
        <v>176</v>
      </c>
      <c r="H59" s="7">
        <v>15</v>
      </c>
      <c r="I59" s="7">
        <v>0</v>
      </c>
      <c r="J59" s="8">
        <f t="shared" si="2"/>
        <v>15</v>
      </c>
      <c r="K59" s="9"/>
      <c r="L59" s="15">
        <f t="shared" si="3"/>
        <v>191</v>
      </c>
    </row>
    <row r="60" spans="1:12" s="10" customFormat="1" ht="16.5" customHeight="1" x14ac:dyDescent="0.3">
      <c r="A60" s="5">
        <v>58</v>
      </c>
      <c r="B60" s="5">
        <v>12691</v>
      </c>
      <c r="C60" s="6" t="s">
        <v>18</v>
      </c>
      <c r="D60" s="5" t="s">
        <v>186</v>
      </c>
      <c r="E60" s="5" t="s">
        <v>187</v>
      </c>
      <c r="F60" s="7">
        <v>10835</v>
      </c>
      <c r="G60" s="7">
        <v>180.58</v>
      </c>
      <c r="H60" s="7">
        <v>19.5</v>
      </c>
      <c r="I60" s="7">
        <v>0</v>
      </c>
      <c r="J60" s="8">
        <f t="shared" si="2"/>
        <v>19.5</v>
      </c>
      <c r="K60" s="9"/>
      <c r="L60" s="15">
        <f t="shared" si="3"/>
        <v>200.08</v>
      </c>
    </row>
    <row r="61" spans="1:12" s="10" customFormat="1" ht="16.5" customHeight="1" x14ac:dyDescent="0.3">
      <c r="A61" s="5">
        <v>59</v>
      </c>
      <c r="B61" s="5">
        <v>12848</v>
      </c>
      <c r="C61" s="6" t="s">
        <v>48</v>
      </c>
      <c r="D61" s="5" t="s">
        <v>188</v>
      </c>
      <c r="E61" s="5" t="s">
        <v>189</v>
      </c>
      <c r="F61" s="7">
        <v>11110</v>
      </c>
      <c r="G61" s="7">
        <v>185.17</v>
      </c>
      <c r="H61" s="7">
        <v>28</v>
      </c>
      <c r="I61" s="7">
        <v>0</v>
      </c>
      <c r="J61" s="8">
        <f t="shared" si="2"/>
        <v>28</v>
      </c>
      <c r="K61" s="9"/>
      <c r="L61" s="15">
        <f t="shared" si="3"/>
        <v>213.17</v>
      </c>
    </row>
    <row r="62" spans="1:12" s="10" customFormat="1" ht="16.5" customHeight="1" x14ac:dyDescent="0.3">
      <c r="A62" s="5">
        <v>60</v>
      </c>
      <c r="B62" s="5">
        <v>12860</v>
      </c>
      <c r="C62" s="6" t="s">
        <v>142</v>
      </c>
      <c r="D62" s="5" t="s">
        <v>190</v>
      </c>
      <c r="E62" s="5" t="s">
        <v>191</v>
      </c>
      <c r="F62" s="7">
        <v>10655</v>
      </c>
      <c r="G62" s="7">
        <v>177.58</v>
      </c>
      <c r="H62" s="7">
        <v>27</v>
      </c>
      <c r="I62" s="7">
        <v>0</v>
      </c>
      <c r="J62" s="8">
        <f t="shared" si="2"/>
        <v>27</v>
      </c>
      <c r="K62" s="9"/>
      <c r="L62" s="15">
        <f t="shared" si="3"/>
        <v>204.58</v>
      </c>
    </row>
    <row r="63" spans="1:12" s="10" customFormat="1" ht="16.5" customHeight="1" x14ac:dyDescent="0.3">
      <c r="A63" s="5">
        <v>61</v>
      </c>
      <c r="B63" s="5">
        <v>12899</v>
      </c>
      <c r="C63" s="6" t="s">
        <v>195</v>
      </c>
      <c r="D63" s="5" t="s">
        <v>196</v>
      </c>
      <c r="E63" s="5" t="s">
        <v>197</v>
      </c>
      <c r="F63" s="7">
        <v>11889.4</v>
      </c>
      <c r="G63" s="7">
        <v>198.16</v>
      </c>
      <c r="H63" s="7">
        <v>27.009999999999998</v>
      </c>
      <c r="I63" s="7">
        <v>0</v>
      </c>
      <c r="J63" s="8">
        <f t="shared" si="2"/>
        <v>27.009999999999998</v>
      </c>
      <c r="K63" s="9"/>
      <c r="L63" s="15">
        <f t="shared" si="3"/>
        <v>225.17</v>
      </c>
    </row>
    <row r="64" spans="1:12" s="10" customFormat="1" ht="16.5" customHeight="1" x14ac:dyDescent="0.3">
      <c r="A64" s="5">
        <v>62</v>
      </c>
      <c r="B64" s="5">
        <v>12900</v>
      </c>
      <c r="C64" s="6" t="s">
        <v>198</v>
      </c>
      <c r="D64" s="5" t="s">
        <v>199</v>
      </c>
      <c r="E64" s="5" t="s">
        <v>197</v>
      </c>
      <c r="F64" s="7">
        <v>11110</v>
      </c>
      <c r="G64" s="7">
        <v>185.17</v>
      </c>
      <c r="H64" s="7">
        <v>38</v>
      </c>
      <c r="I64" s="7">
        <v>0.25</v>
      </c>
      <c r="J64" s="8">
        <f t="shared" si="2"/>
        <v>38.25</v>
      </c>
      <c r="K64" s="9"/>
      <c r="L64" s="15">
        <f t="shared" si="3"/>
        <v>223.17</v>
      </c>
    </row>
    <row r="65" spans="1:12" s="10" customFormat="1" ht="16.5" customHeight="1" x14ac:dyDescent="0.3">
      <c r="A65" s="5">
        <v>63</v>
      </c>
      <c r="B65" s="5">
        <v>12993</v>
      </c>
      <c r="C65" s="6" t="s">
        <v>31</v>
      </c>
      <c r="D65" s="5" t="s">
        <v>200</v>
      </c>
      <c r="E65" s="5" t="s">
        <v>201</v>
      </c>
      <c r="F65" s="7">
        <v>10835</v>
      </c>
      <c r="G65" s="7">
        <v>180.58</v>
      </c>
      <c r="H65" s="7">
        <v>17.75</v>
      </c>
      <c r="I65" s="7">
        <v>0</v>
      </c>
      <c r="J65" s="8">
        <f t="shared" ref="J65:J73" si="4">H65+I65</f>
        <v>17.75</v>
      </c>
      <c r="K65" s="9"/>
      <c r="L65" s="15">
        <f t="shared" si="3"/>
        <v>198.33</v>
      </c>
    </row>
    <row r="66" spans="1:12" s="10" customFormat="1" ht="16.5" customHeight="1" x14ac:dyDescent="0.3">
      <c r="A66" s="5">
        <v>64</v>
      </c>
      <c r="B66" s="5">
        <v>20219</v>
      </c>
      <c r="C66" s="6" t="s">
        <v>205</v>
      </c>
      <c r="D66" s="5" t="s">
        <v>206</v>
      </c>
      <c r="E66" s="5" t="s">
        <v>207</v>
      </c>
      <c r="F66" s="7">
        <v>11110</v>
      </c>
      <c r="G66" s="7">
        <v>185.17</v>
      </c>
      <c r="H66" s="7">
        <v>20</v>
      </c>
      <c r="I66" s="7">
        <v>0</v>
      </c>
      <c r="J66" s="8">
        <f t="shared" si="4"/>
        <v>20</v>
      </c>
      <c r="K66" s="9"/>
      <c r="L66" s="15">
        <f t="shared" ref="L66:L73" si="5">G66+H66</f>
        <v>205.17</v>
      </c>
    </row>
    <row r="67" spans="1:12" s="10" customFormat="1" ht="16.5" customHeight="1" x14ac:dyDescent="0.3">
      <c r="A67" s="5">
        <v>65</v>
      </c>
      <c r="B67" s="5">
        <v>39661</v>
      </c>
      <c r="C67" s="6" t="s">
        <v>210</v>
      </c>
      <c r="D67" s="5" t="s">
        <v>211</v>
      </c>
      <c r="E67" s="5" t="s">
        <v>212</v>
      </c>
      <c r="F67" s="7">
        <v>11110</v>
      </c>
      <c r="G67" s="7">
        <v>185.17</v>
      </c>
      <c r="H67" s="7">
        <v>21</v>
      </c>
      <c r="I67" s="7">
        <v>0</v>
      </c>
      <c r="J67" s="8">
        <f t="shared" si="4"/>
        <v>21</v>
      </c>
      <c r="K67" s="9"/>
      <c r="L67" s="15">
        <f t="shared" si="5"/>
        <v>206.17</v>
      </c>
    </row>
    <row r="68" spans="1:12" s="10" customFormat="1" ht="16.5" customHeight="1" x14ac:dyDescent="0.3">
      <c r="A68" s="5">
        <v>66</v>
      </c>
      <c r="B68" s="5">
        <v>45033</v>
      </c>
      <c r="C68" s="6" t="s">
        <v>213</v>
      </c>
      <c r="D68" s="5" t="s">
        <v>214</v>
      </c>
      <c r="E68" s="5" t="s">
        <v>215</v>
      </c>
      <c r="F68" s="7">
        <v>11110</v>
      </c>
      <c r="G68" s="7">
        <v>185.17</v>
      </c>
      <c r="H68" s="7">
        <v>21</v>
      </c>
      <c r="I68" s="7">
        <v>0</v>
      </c>
      <c r="J68" s="8">
        <f t="shared" si="4"/>
        <v>21</v>
      </c>
      <c r="K68" s="9"/>
      <c r="L68" s="15">
        <f t="shared" si="5"/>
        <v>206.17</v>
      </c>
    </row>
    <row r="69" spans="1:12" s="10" customFormat="1" ht="16.5" customHeight="1" x14ac:dyDescent="0.3">
      <c r="A69" s="5">
        <v>67</v>
      </c>
      <c r="B69" s="5">
        <v>48173</v>
      </c>
      <c r="C69" s="6" t="s">
        <v>219</v>
      </c>
      <c r="D69" s="5" t="s">
        <v>211</v>
      </c>
      <c r="E69" s="5" t="s">
        <v>220</v>
      </c>
      <c r="F69" s="7">
        <v>6759.6</v>
      </c>
      <c r="G69" s="7">
        <v>112.66</v>
      </c>
      <c r="H69" s="7">
        <v>3.34</v>
      </c>
      <c r="I69" s="7">
        <v>0</v>
      </c>
      <c r="J69" s="8">
        <f t="shared" si="4"/>
        <v>3.34</v>
      </c>
      <c r="K69" s="9"/>
      <c r="L69" s="15">
        <f t="shared" si="5"/>
        <v>116</v>
      </c>
    </row>
    <row r="70" spans="1:12" s="10" customFormat="1" ht="16.5" customHeight="1" x14ac:dyDescent="0.3">
      <c r="A70" s="5">
        <v>68</v>
      </c>
      <c r="B70" s="5">
        <v>48174</v>
      </c>
      <c r="C70" s="6" t="s">
        <v>221</v>
      </c>
      <c r="D70" s="5" t="s">
        <v>222</v>
      </c>
      <c r="E70" s="5" t="s">
        <v>220</v>
      </c>
      <c r="F70" s="7">
        <v>8099</v>
      </c>
      <c r="G70" s="7">
        <v>134.97999999999999</v>
      </c>
      <c r="H70" s="7">
        <v>5</v>
      </c>
      <c r="I70" s="7">
        <v>0</v>
      </c>
      <c r="J70" s="8">
        <f t="shared" si="4"/>
        <v>5</v>
      </c>
      <c r="K70" s="9"/>
      <c r="L70" s="15">
        <f t="shared" si="5"/>
        <v>139.97999999999999</v>
      </c>
    </row>
    <row r="71" spans="1:12" s="10" customFormat="1" ht="16.5" customHeight="1" x14ac:dyDescent="0.3">
      <c r="A71" s="5">
        <v>69</v>
      </c>
      <c r="B71" s="5">
        <v>49370</v>
      </c>
      <c r="C71" s="6" t="s">
        <v>223</v>
      </c>
      <c r="D71" s="5" t="s">
        <v>224</v>
      </c>
      <c r="E71" s="5" t="s">
        <v>225</v>
      </c>
      <c r="F71" s="7">
        <v>11110</v>
      </c>
      <c r="G71" s="7">
        <v>185.17</v>
      </c>
      <c r="H71" s="7">
        <v>22</v>
      </c>
      <c r="I71" s="7">
        <v>0.25</v>
      </c>
      <c r="J71" s="8">
        <f t="shared" si="4"/>
        <v>22.25</v>
      </c>
      <c r="K71" s="9"/>
      <c r="L71" s="15">
        <f t="shared" si="5"/>
        <v>207.17</v>
      </c>
    </row>
    <row r="72" spans="1:12" s="10" customFormat="1" ht="16.5" customHeight="1" x14ac:dyDescent="0.3">
      <c r="A72" s="5">
        <v>70</v>
      </c>
      <c r="B72" s="5">
        <v>51455</v>
      </c>
      <c r="C72" s="6" t="s">
        <v>229</v>
      </c>
      <c r="D72" s="5" t="s">
        <v>230</v>
      </c>
      <c r="E72" s="5" t="s">
        <v>165</v>
      </c>
      <c r="F72" s="7">
        <v>11110</v>
      </c>
      <c r="G72" s="7">
        <v>185.17</v>
      </c>
      <c r="H72" s="7">
        <v>20</v>
      </c>
      <c r="I72" s="7">
        <v>0</v>
      </c>
      <c r="J72" s="8">
        <f t="shared" si="4"/>
        <v>20</v>
      </c>
      <c r="K72" s="9"/>
      <c r="L72" s="15">
        <f t="shared" si="5"/>
        <v>205.17</v>
      </c>
    </row>
    <row r="73" spans="1:12" s="10" customFormat="1" ht="16.5" customHeight="1" x14ac:dyDescent="0.3">
      <c r="A73" s="5">
        <v>71</v>
      </c>
      <c r="B73" s="5">
        <v>51964</v>
      </c>
      <c r="C73" s="6" t="s">
        <v>231</v>
      </c>
      <c r="D73" s="5" t="s">
        <v>162</v>
      </c>
      <c r="E73" s="5" t="s">
        <v>232</v>
      </c>
      <c r="F73" s="7">
        <v>10655</v>
      </c>
      <c r="G73" s="7">
        <v>177.58</v>
      </c>
      <c r="H73" s="7">
        <v>19</v>
      </c>
      <c r="I73" s="7">
        <v>0</v>
      </c>
      <c r="J73" s="8">
        <f t="shared" si="4"/>
        <v>19</v>
      </c>
      <c r="K73" s="9"/>
      <c r="L73" s="15">
        <f t="shared" si="5"/>
        <v>196.58</v>
      </c>
    </row>
    <row r="74" spans="1:12" ht="21" x14ac:dyDescent="0.4">
      <c r="A74" s="11"/>
      <c r="B74" s="12"/>
      <c r="C74" s="12" t="s">
        <v>233</v>
      </c>
      <c r="D74" s="12"/>
      <c r="E74" s="12"/>
      <c r="F74" s="13">
        <f>SUM(F3:F73)</f>
        <v>755513</v>
      </c>
      <c r="G74" s="13">
        <f>SUM(G3:G73)</f>
        <v>12591.88</v>
      </c>
      <c r="H74" s="13">
        <f>SUM(H3:H73)</f>
        <v>1496.2999999999997</v>
      </c>
      <c r="I74" s="13">
        <f>SUM(I3:I73)</f>
        <v>2</v>
      </c>
      <c r="J74" s="13">
        <f>SUM(J3:J73)</f>
        <v>1498.2999999999997</v>
      </c>
      <c r="K74" s="9"/>
      <c r="L74" s="18">
        <f>SUM(L3:L73)</f>
        <v>14088.179999999998</v>
      </c>
    </row>
    <row r="75" spans="1:12" x14ac:dyDescent="0.3">
      <c r="F75" s="14"/>
      <c r="G75" s="14"/>
      <c r="H75" s="14"/>
      <c r="I75" s="14"/>
      <c r="J75" s="14"/>
      <c r="L75" s="17"/>
    </row>
    <row r="76" spans="1:12" x14ac:dyDescent="0.3">
      <c r="F76" s="14"/>
      <c r="G76" s="14"/>
      <c r="H76" s="14"/>
      <c r="I76" s="14"/>
      <c r="J76" s="14"/>
      <c r="L76" s="17"/>
    </row>
  </sheetData>
  <autoFilter ref="A2:K2" xr:uid="{62F164C8-8EAD-4A1F-80B7-5AD44EC5778E}"/>
  <mergeCells count="1">
    <mergeCell ref="A1:J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87A3-0BDD-4DEE-8CEE-46D089B78C32}">
  <sheetPr>
    <outlinePr summaryBelow="0"/>
  </sheetPr>
  <dimension ref="A1:L24"/>
  <sheetViews>
    <sheetView zoomScaleNormal="100" workbookViewId="0">
      <pane xSplit="5" ySplit="2" topLeftCell="F3" activePane="bottomRight" state="frozen"/>
      <selection pane="topRight" activeCell="F1" sqref="F1"/>
      <selection pane="bottomLeft" activeCell="A10" sqref="A10"/>
      <selection pane="bottomRight" activeCell="C6" sqref="C6:D7"/>
    </sheetView>
  </sheetViews>
  <sheetFormatPr defaultColWidth="9.109375" defaultRowHeight="14.4" x14ac:dyDescent="0.3"/>
  <cols>
    <col min="2" max="2" width="6.88671875" customWidth="1"/>
    <col min="3" max="3" width="24.6640625" customWidth="1"/>
    <col min="4" max="4" width="12.33203125" customWidth="1"/>
    <col min="5" max="5" width="12.6640625" customWidth="1"/>
    <col min="6" max="9" width="19.6640625" customWidth="1"/>
    <col min="10" max="10" width="13.44140625" customWidth="1"/>
    <col min="11" max="11" width="17.6640625" customWidth="1"/>
    <col min="12" max="12" width="11" bestFit="1" customWidth="1"/>
  </cols>
  <sheetData>
    <row r="1" spans="1:12" s="1" customFormat="1" ht="32.2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2" s="4" customFormat="1" ht="63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</row>
    <row r="3" spans="1:12" s="10" customFormat="1" ht="16.5" customHeight="1" x14ac:dyDescent="0.3">
      <c r="A3" s="5">
        <v>1</v>
      </c>
      <c r="B3" s="5">
        <v>10064</v>
      </c>
      <c r="C3" s="6" t="s">
        <v>12</v>
      </c>
      <c r="D3" s="5" t="s">
        <v>13</v>
      </c>
      <c r="E3" s="5" t="s">
        <v>14</v>
      </c>
      <c r="F3" s="7">
        <v>10290</v>
      </c>
      <c r="G3" s="7">
        <v>171.5</v>
      </c>
      <c r="H3" s="7">
        <v>0</v>
      </c>
      <c r="I3" s="7">
        <v>0</v>
      </c>
      <c r="J3" s="8">
        <f t="shared" ref="J3:J21" si="0">H3+I3</f>
        <v>0</v>
      </c>
      <c r="K3" s="9"/>
      <c r="L3" s="15">
        <f>G3+H3</f>
        <v>171.5</v>
      </c>
    </row>
    <row r="4" spans="1:12" s="10" customFormat="1" ht="16.5" customHeight="1" x14ac:dyDescent="0.3">
      <c r="A4" s="5">
        <v>2</v>
      </c>
      <c r="B4" s="5">
        <v>10135</v>
      </c>
      <c r="C4" s="6" t="s">
        <v>15</v>
      </c>
      <c r="D4" s="5" t="s">
        <v>16</v>
      </c>
      <c r="E4" s="5" t="s">
        <v>17</v>
      </c>
      <c r="F4" s="7">
        <v>11029.6</v>
      </c>
      <c r="G4" s="7">
        <v>183.83</v>
      </c>
      <c r="H4" s="7">
        <v>21.59</v>
      </c>
      <c r="I4" s="7">
        <v>0</v>
      </c>
      <c r="J4" s="8">
        <f t="shared" si="0"/>
        <v>21.59</v>
      </c>
      <c r="K4" s="9"/>
      <c r="L4" s="15">
        <f t="shared" ref="L4:L21" si="1">G4+H4</f>
        <v>205.42000000000002</v>
      </c>
    </row>
    <row r="5" spans="1:12" s="10" customFormat="1" ht="16.5" customHeight="1" x14ac:dyDescent="0.3">
      <c r="A5" s="5">
        <v>3</v>
      </c>
      <c r="B5" s="5">
        <v>10197</v>
      </c>
      <c r="C5" s="6" t="s">
        <v>18</v>
      </c>
      <c r="D5" s="5" t="s">
        <v>19</v>
      </c>
      <c r="E5" s="5" t="s">
        <v>20</v>
      </c>
      <c r="F5" s="7">
        <v>11519.6</v>
      </c>
      <c r="G5" s="7">
        <v>191.99</v>
      </c>
      <c r="H5" s="7">
        <v>19.84</v>
      </c>
      <c r="I5" s="7">
        <v>0</v>
      </c>
      <c r="J5" s="8">
        <f t="shared" si="0"/>
        <v>19.84</v>
      </c>
      <c r="K5" s="9"/>
      <c r="L5" s="15">
        <f t="shared" si="1"/>
        <v>211.83</v>
      </c>
    </row>
    <row r="6" spans="1:12" s="10" customFormat="1" ht="16.5" customHeight="1" x14ac:dyDescent="0.3">
      <c r="A6" s="5">
        <v>4</v>
      </c>
      <c r="B6" s="5">
        <v>10206</v>
      </c>
      <c r="C6" s="6" t="s">
        <v>25</v>
      </c>
      <c r="D6" s="5" t="s">
        <v>26</v>
      </c>
      <c r="E6" s="5" t="s">
        <v>27</v>
      </c>
      <c r="F6" s="7">
        <v>8120</v>
      </c>
      <c r="G6" s="7">
        <v>135.33000000000001</v>
      </c>
      <c r="H6" s="7">
        <v>0</v>
      </c>
      <c r="I6" s="7">
        <v>0</v>
      </c>
      <c r="J6" s="8">
        <f>H6+I6</f>
        <v>0</v>
      </c>
      <c r="K6" s="9"/>
      <c r="L6" s="15">
        <f>G6+H6</f>
        <v>135.33000000000001</v>
      </c>
    </row>
    <row r="7" spans="1:12" s="10" customFormat="1" ht="16.5" customHeight="1" x14ac:dyDescent="0.3">
      <c r="A7" s="5">
        <v>5</v>
      </c>
      <c r="B7" s="5">
        <v>12893</v>
      </c>
      <c r="C7" s="6" t="s">
        <v>192</v>
      </c>
      <c r="D7" s="5" t="s">
        <v>193</v>
      </c>
      <c r="E7" s="5" t="s">
        <v>194</v>
      </c>
      <c r="F7" s="7">
        <v>10980</v>
      </c>
      <c r="G7" s="7">
        <v>183</v>
      </c>
      <c r="H7" s="7">
        <v>15.25</v>
      </c>
      <c r="I7" s="7">
        <v>0</v>
      </c>
      <c r="J7" s="8">
        <f>H7+I7</f>
        <v>15.25</v>
      </c>
      <c r="K7" s="9"/>
      <c r="L7" s="15">
        <f>G7+H7</f>
        <v>198.25</v>
      </c>
    </row>
    <row r="8" spans="1:12" s="10" customFormat="1" ht="16.5" customHeight="1" x14ac:dyDescent="0.3">
      <c r="A8" s="5">
        <v>6</v>
      </c>
      <c r="B8" s="5">
        <v>10202</v>
      </c>
      <c r="C8" s="6" t="s">
        <v>23</v>
      </c>
      <c r="D8" s="5" t="s">
        <v>24</v>
      </c>
      <c r="E8" s="5" t="s">
        <v>20</v>
      </c>
      <c r="F8" s="7">
        <v>11029.6</v>
      </c>
      <c r="G8" s="7">
        <v>183.83</v>
      </c>
      <c r="H8" s="7">
        <v>20.84</v>
      </c>
      <c r="I8" s="7">
        <v>0</v>
      </c>
      <c r="J8" s="8">
        <f t="shared" si="0"/>
        <v>20.84</v>
      </c>
      <c r="K8" s="9"/>
      <c r="L8" s="15">
        <f t="shared" si="1"/>
        <v>204.67000000000002</v>
      </c>
    </row>
    <row r="9" spans="1:12" s="10" customFormat="1" ht="16.5" customHeight="1" x14ac:dyDescent="0.3">
      <c r="A9" s="5">
        <v>7</v>
      </c>
      <c r="B9" s="5">
        <v>10297</v>
      </c>
      <c r="C9" s="6" t="s">
        <v>28</v>
      </c>
      <c r="D9" s="5" t="s">
        <v>29</v>
      </c>
      <c r="E9" s="5" t="s">
        <v>30</v>
      </c>
      <c r="F9" s="7">
        <v>10380</v>
      </c>
      <c r="G9" s="7">
        <v>173</v>
      </c>
      <c r="H9" s="7">
        <v>24</v>
      </c>
      <c r="I9" s="7">
        <v>0</v>
      </c>
      <c r="J9" s="8">
        <f t="shared" si="0"/>
        <v>24</v>
      </c>
      <c r="K9" s="9"/>
      <c r="L9" s="15">
        <f t="shared" si="1"/>
        <v>197</v>
      </c>
    </row>
    <row r="10" spans="1:12" s="10" customFormat="1" ht="16.5" customHeight="1" x14ac:dyDescent="0.3">
      <c r="A10" s="5">
        <v>8</v>
      </c>
      <c r="B10" s="5">
        <v>10444</v>
      </c>
      <c r="C10" s="6" t="s">
        <v>34</v>
      </c>
      <c r="D10" s="5" t="s">
        <v>35</v>
      </c>
      <c r="E10" s="5" t="s">
        <v>36</v>
      </c>
      <c r="F10" s="7">
        <v>10237</v>
      </c>
      <c r="G10" s="7">
        <v>170.62</v>
      </c>
      <c r="H10" s="7">
        <v>24.75</v>
      </c>
      <c r="I10" s="7">
        <v>0</v>
      </c>
      <c r="J10" s="8">
        <f t="shared" si="0"/>
        <v>24.75</v>
      </c>
      <c r="K10" s="9"/>
      <c r="L10" s="15">
        <f t="shared" si="1"/>
        <v>195.37</v>
      </c>
    </row>
    <row r="11" spans="1:12" s="10" customFormat="1" ht="16.5" customHeight="1" x14ac:dyDescent="0.3">
      <c r="A11" s="5">
        <v>9</v>
      </c>
      <c r="B11" s="5">
        <v>10447</v>
      </c>
      <c r="C11" s="6" t="s">
        <v>39</v>
      </c>
      <c r="D11" s="5" t="s">
        <v>40</v>
      </c>
      <c r="E11" s="5" t="s">
        <v>41</v>
      </c>
      <c r="F11" s="7">
        <v>10835</v>
      </c>
      <c r="G11" s="7">
        <v>180.58</v>
      </c>
      <c r="H11" s="7">
        <v>37</v>
      </c>
      <c r="I11" s="7">
        <v>1</v>
      </c>
      <c r="J11" s="8">
        <f t="shared" si="0"/>
        <v>38</v>
      </c>
      <c r="K11" s="9"/>
      <c r="L11" s="15">
        <f t="shared" si="1"/>
        <v>217.58</v>
      </c>
    </row>
    <row r="12" spans="1:12" s="10" customFormat="1" ht="16.5" customHeight="1" x14ac:dyDescent="0.3">
      <c r="A12" s="5">
        <v>10</v>
      </c>
      <c r="B12" s="5">
        <v>10597</v>
      </c>
      <c r="C12" s="6" t="s">
        <v>48</v>
      </c>
      <c r="D12" s="5" t="s">
        <v>49</v>
      </c>
      <c r="E12" s="5" t="s">
        <v>50</v>
      </c>
      <c r="F12" s="7">
        <v>10105</v>
      </c>
      <c r="G12" s="7">
        <v>168.42</v>
      </c>
      <c r="H12" s="7">
        <v>32.25</v>
      </c>
      <c r="I12" s="7">
        <v>1.25</v>
      </c>
      <c r="J12" s="8">
        <f t="shared" si="0"/>
        <v>33.5</v>
      </c>
      <c r="K12" s="9"/>
      <c r="L12" s="15">
        <f t="shared" si="1"/>
        <v>200.67</v>
      </c>
    </row>
    <row r="13" spans="1:12" s="10" customFormat="1" ht="16.5" customHeight="1" x14ac:dyDescent="0.3">
      <c r="A13" s="5">
        <v>11</v>
      </c>
      <c r="B13" s="5">
        <v>10649</v>
      </c>
      <c r="C13" s="6" t="s">
        <v>60</v>
      </c>
      <c r="D13" s="5" t="s">
        <v>61</v>
      </c>
      <c r="E13" s="5" t="s">
        <v>62</v>
      </c>
      <c r="F13" s="7">
        <v>11519.6</v>
      </c>
      <c r="G13" s="7">
        <v>191.99</v>
      </c>
      <c r="H13" s="7">
        <v>20.09</v>
      </c>
      <c r="I13" s="7">
        <v>0</v>
      </c>
      <c r="J13" s="8">
        <f t="shared" si="0"/>
        <v>20.09</v>
      </c>
      <c r="K13" s="9"/>
      <c r="L13" s="15">
        <f t="shared" si="1"/>
        <v>212.08</v>
      </c>
    </row>
    <row r="14" spans="1:12" s="10" customFormat="1" ht="16.5" customHeight="1" x14ac:dyDescent="0.3">
      <c r="A14" s="5">
        <v>12</v>
      </c>
      <c r="B14" s="5">
        <v>10713</v>
      </c>
      <c r="C14" s="6" t="s">
        <v>70</v>
      </c>
      <c r="D14" s="5" t="s">
        <v>71</v>
      </c>
      <c r="E14" s="5" t="s">
        <v>72</v>
      </c>
      <c r="F14" s="7">
        <v>10835</v>
      </c>
      <c r="G14" s="7">
        <v>180.58</v>
      </c>
      <c r="H14" s="7">
        <v>29.25</v>
      </c>
      <c r="I14" s="7">
        <v>0.5</v>
      </c>
      <c r="J14" s="8">
        <f t="shared" si="0"/>
        <v>29.75</v>
      </c>
      <c r="K14" s="9"/>
      <c r="L14" s="15">
        <f t="shared" si="1"/>
        <v>209.83</v>
      </c>
    </row>
    <row r="15" spans="1:12" s="10" customFormat="1" ht="16.5" customHeight="1" x14ac:dyDescent="0.3">
      <c r="A15" s="5">
        <v>13</v>
      </c>
      <c r="B15" s="5">
        <v>11139</v>
      </c>
      <c r="C15" s="6" t="s">
        <v>75</v>
      </c>
      <c r="D15" s="5" t="s">
        <v>76</v>
      </c>
      <c r="E15" s="5" t="s">
        <v>77</v>
      </c>
      <c r="F15" s="7">
        <v>0</v>
      </c>
      <c r="G15" s="7">
        <v>0</v>
      </c>
      <c r="H15" s="7">
        <v>0</v>
      </c>
      <c r="I15" s="7">
        <v>0</v>
      </c>
      <c r="J15" s="8">
        <f t="shared" si="0"/>
        <v>0</v>
      </c>
      <c r="K15" s="9"/>
      <c r="L15" s="15">
        <f t="shared" si="1"/>
        <v>0</v>
      </c>
    </row>
    <row r="16" spans="1:12" s="10" customFormat="1" ht="16.5" customHeight="1" x14ac:dyDescent="0.3">
      <c r="A16" s="5">
        <v>14</v>
      </c>
      <c r="B16" s="5">
        <v>11247</v>
      </c>
      <c r="C16" s="6" t="s">
        <v>85</v>
      </c>
      <c r="D16" s="5" t="s">
        <v>86</v>
      </c>
      <c r="E16" s="5" t="s">
        <v>84</v>
      </c>
      <c r="F16" s="7">
        <v>10835</v>
      </c>
      <c r="G16" s="7">
        <v>180.58</v>
      </c>
      <c r="H16" s="7">
        <v>34.25</v>
      </c>
      <c r="I16" s="7">
        <v>0.75</v>
      </c>
      <c r="J16" s="8">
        <f t="shared" si="0"/>
        <v>35</v>
      </c>
      <c r="K16" s="9"/>
      <c r="L16" s="15">
        <f t="shared" si="1"/>
        <v>214.83</v>
      </c>
    </row>
    <row r="17" spans="1:12" s="10" customFormat="1" ht="16.5" customHeight="1" x14ac:dyDescent="0.3">
      <c r="A17" s="5">
        <v>15</v>
      </c>
      <c r="B17" s="5">
        <v>12329</v>
      </c>
      <c r="C17" s="6" t="s">
        <v>176</v>
      </c>
      <c r="D17" s="5" t="s">
        <v>52</v>
      </c>
      <c r="E17" s="5" t="s">
        <v>177</v>
      </c>
      <c r="F17" s="7">
        <v>10909.4</v>
      </c>
      <c r="G17" s="7">
        <v>181.82</v>
      </c>
      <c r="H17" s="7">
        <v>33.51</v>
      </c>
      <c r="I17" s="7">
        <v>0</v>
      </c>
      <c r="J17" s="8">
        <f t="shared" si="0"/>
        <v>33.51</v>
      </c>
      <c r="K17" s="9"/>
      <c r="L17" s="15">
        <f t="shared" si="1"/>
        <v>215.32999999999998</v>
      </c>
    </row>
    <row r="18" spans="1:12" s="10" customFormat="1" ht="16.5" customHeight="1" x14ac:dyDescent="0.3">
      <c r="A18" s="5">
        <v>16</v>
      </c>
      <c r="B18" s="5">
        <v>12443</v>
      </c>
      <c r="C18" s="6" t="s">
        <v>164</v>
      </c>
      <c r="D18" s="5" t="s">
        <v>181</v>
      </c>
      <c r="E18" s="5" t="s">
        <v>182</v>
      </c>
      <c r="F18" s="7">
        <v>11149.8</v>
      </c>
      <c r="G18" s="7">
        <v>185.83</v>
      </c>
      <c r="H18" s="7">
        <v>25.92</v>
      </c>
      <c r="I18" s="7">
        <v>0</v>
      </c>
      <c r="J18" s="8">
        <f t="shared" si="0"/>
        <v>25.92</v>
      </c>
      <c r="K18" s="9"/>
      <c r="L18" s="15">
        <f t="shared" si="1"/>
        <v>211.75</v>
      </c>
    </row>
    <row r="19" spans="1:12" s="10" customFormat="1" ht="16.5" customHeight="1" x14ac:dyDescent="0.3">
      <c r="A19" s="5">
        <v>17</v>
      </c>
      <c r="B19" s="5">
        <v>20132</v>
      </c>
      <c r="C19" s="6" t="s">
        <v>202</v>
      </c>
      <c r="D19" s="5" t="s">
        <v>203</v>
      </c>
      <c r="E19" s="5" t="s">
        <v>204</v>
      </c>
      <c r="F19" s="7">
        <v>10539.6</v>
      </c>
      <c r="G19" s="7">
        <v>175.66</v>
      </c>
      <c r="H19" s="7">
        <v>20.09</v>
      </c>
      <c r="I19" s="7">
        <v>0</v>
      </c>
      <c r="J19" s="8">
        <f t="shared" si="0"/>
        <v>20.09</v>
      </c>
      <c r="K19" s="9"/>
      <c r="L19" s="15">
        <f t="shared" si="1"/>
        <v>195.75</v>
      </c>
    </row>
    <row r="20" spans="1:12" s="10" customFormat="1" ht="16.5" customHeight="1" x14ac:dyDescent="0.3">
      <c r="A20" s="5">
        <v>18</v>
      </c>
      <c r="B20" s="5">
        <v>20839</v>
      </c>
      <c r="C20" s="6" t="s">
        <v>208</v>
      </c>
      <c r="D20" s="5" t="s">
        <v>49</v>
      </c>
      <c r="E20" s="5" t="s">
        <v>209</v>
      </c>
      <c r="F20" s="7">
        <v>11519.6</v>
      </c>
      <c r="G20" s="7">
        <v>191.99</v>
      </c>
      <c r="H20" s="7">
        <v>25.59</v>
      </c>
      <c r="I20" s="7">
        <v>0</v>
      </c>
      <c r="J20" s="8">
        <f t="shared" si="0"/>
        <v>25.59</v>
      </c>
      <c r="K20" s="9"/>
      <c r="L20" s="15">
        <f t="shared" si="1"/>
        <v>217.58</v>
      </c>
    </row>
    <row r="21" spans="1:12" s="10" customFormat="1" ht="16.5" customHeight="1" x14ac:dyDescent="0.3">
      <c r="A21" s="5">
        <v>19</v>
      </c>
      <c r="B21" s="5">
        <v>49543</v>
      </c>
      <c r="C21" s="6" t="s">
        <v>226</v>
      </c>
      <c r="D21" s="5" t="s">
        <v>227</v>
      </c>
      <c r="E21" s="5" t="s">
        <v>228</v>
      </c>
      <c r="F21" s="7">
        <v>10049.6</v>
      </c>
      <c r="G21" s="7">
        <v>167.49</v>
      </c>
      <c r="H21" s="7">
        <v>20.34</v>
      </c>
      <c r="I21" s="7">
        <v>0</v>
      </c>
      <c r="J21" s="8">
        <f t="shared" si="0"/>
        <v>20.34</v>
      </c>
      <c r="K21" s="9"/>
      <c r="L21" s="15">
        <f t="shared" si="1"/>
        <v>187.83</v>
      </c>
    </row>
    <row r="22" spans="1:12" ht="23.4" x14ac:dyDescent="0.45">
      <c r="A22" s="11"/>
      <c r="B22" s="12"/>
      <c r="C22" s="12" t="s">
        <v>233</v>
      </c>
      <c r="D22" s="12"/>
      <c r="E22" s="12"/>
      <c r="F22" s="13">
        <f>SUM(F3:F21)</f>
        <v>191883.4</v>
      </c>
      <c r="G22" s="13">
        <f>SUM(G3:G21)</f>
        <v>3198.04</v>
      </c>
      <c r="H22" s="13">
        <f>SUM(H3:H21)</f>
        <v>404.55999999999995</v>
      </c>
      <c r="I22" s="13">
        <f>SUM(I3:I21)</f>
        <v>3.5</v>
      </c>
      <c r="J22" s="13">
        <f>SUM(J3:J21)</f>
        <v>408.05999999999995</v>
      </c>
      <c r="K22" s="9"/>
      <c r="L22" s="19">
        <f>SUM(L3:L21)</f>
        <v>3602.5999999999995</v>
      </c>
    </row>
    <row r="23" spans="1:12" x14ac:dyDescent="0.3">
      <c r="F23" s="14"/>
      <c r="G23" s="14"/>
      <c r="H23" s="14"/>
      <c r="I23" s="14"/>
      <c r="J23" s="14"/>
    </row>
    <row r="24" spans="1:12" x14ac:dyDescent="0.3">
      <c r="F24" s="14"/>
      <c r="G24" s="14"/>
      <c r="H24" s="14"/>
      <c r="I24" s="14"/>
      <c r="J24" s="14"/>
    </row>
  </sheetData>
  <autoFilter ref="A2:K2" xr:uid="{62F164C8-8EAD-4A1F-80B7-5AD44EC5778E}"/>
  <mergeCells count="1">
    <mergeCell ref="A1:J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GOC</vt:lpstr>
      <vt:lpstr>NVTT</vt:lpstr>
      <vt:lpstr>TONG</vt:lpstr>
      <vt:lpstr>TRUC TIEP</vt:lpstr>
      <vt:lpstr>GIAN TIEP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VDM/DAO NGUYEN THI</dc:creator>
  <cp:lastModifiedBy>VDM/HOANG LE PHUOC</cp:lastModifiedBy>
  <dcterms:created xsi:type="dcterms:W3CDTF">2026-04-02T06:57:19Z</dcterms:created>
  <dcterms:modified xsi:type="dcterms:W3CDTF">2026-04-15T04:13:05Z</dcterms:modified>
</cp:coreProperties>
</file>