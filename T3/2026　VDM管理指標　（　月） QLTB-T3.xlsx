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de_cokhi\Bao_Cao_MMK_KPI\T3\"/>
    </mc:Choice>
  </mc:AlternateContent>
  <xr:revisionPtr revIDLastSave="0" documentId="13_ncr:1_{315D30E6-A868-408D-9FCB-B743E15021FB}" xr6:coauthVersionLast="47" xr6:coauthVersionMax="47" xr10:uidLastSave="{00000000-0000-0000-0000-000000000000}"/>
  <bookViews>
    <workbookView xWindow="-120" yWindow="-120" windowWidth="29040" windowHeight="15720" tabRatio="829" activeTab="1" xr2:uid="{00000000-000D-0000-FFFF-FFFF00000000}"/>
  </bookViews>
  <sheets>
    <sheet name="指標２(外作)" sheetId="23" r:id="rId1"/>
    <sheet name="指標４（生産性）" sheetId="2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0" i="23" l="1"/>
  <c r="G10" i="23"/>
  <c r="H10" i="23"/>
  <c r="I10" i="23"/>
  <c r="J10" i="23"/>
  <c r="K10" i="23"/>
  <c r="L10" i="23"/>
  <c r="M10" i="23"/>
  <c r="N10" i="23"/>
  <c r="O10" i="23"/>
  <c r="F10" i="23"/>
  <c r="E10" i="23"/>
  <c r="D10" i="23"/>
  <c r="P104" i="23"/>
  <c r="P103" i="23"/>
  <c r="P105" i="23"/>
  <c r="E105" i="23"/>
  <c r="F105" i="23"/>
  <c r="G105" i="23"/>
  <c r="H105" i="23"/>
  <c r="I105" i="23"/>
  <c r="J105" i="23"/>
  <c r="K105" i="23"/>
  <c r="L105" i="23"/>
  <c r="M105" i="23"/>
  <c r="N105" i="23"/>
  <c r="O105" i="23"/>
  <c r="D105" i="23"/>
  <c r="D11" i="23"/>
  <c r="P35" i="23" l="1"/>
  <c r="P34" i="23"/>
  <c r="P36" i="23" s="1"/>
  <c r="P32" i="23"/>
  <c r="P31" i="23"/>
  <c r="P33" i="23" s="1"/>
  <c r="E11" i="23"/>
  <c r="F11" i="23"/>
  <c r="P101" i="23"/>
  <c r="P100" i="23"/>
  <c r="P102" i="23" s="1"/>
  <c r="E102" i="23"/>
  <c r="F102" i="23"/>
  <c r="G102" i="23"/>
  <c r="H102" i="23"/>
  <c r="I102" i="23"/>
  <c r="J102" i="23"/>
  <c r="K102" i="23"/>
  <c r="L102" i="23"/>
  <c r="M102" i="23"/>
  <c r="N102" i="23"/>
  <c r="O102" i="23"/>
  <c r="D102" i="23"/>
  <c r="K84" i="23"/>
  <c r="N11" i="23"/>
  <c r="M11" i="23"/>
  <c r="O11" i="23"/>
  <c r="K11" i="23"/>
  <c r="L11" i="23"/>
  <c r="E33" i="23"/>
  <c r="F33" i="23"/>
  <c r="G33" i="23"/>
  <c r="H33" i="23"/>
  <c r="I33" i="23"/>
  <c r="J33" i="23"/>
  <c r="K33" i="23"/>
  <c r="L33" i="23"/>
  <c r="M33" i="23"/>
  <c r="N33" i="23"/>
  <c r="O33" i="23"/>
  <c r="D33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P98" i="23"/>
  <c r="P97" i="23"/>
  <c r="K87" i="23"/>
  <c r="J11" i="23"/>
  <c r="J69" i="23"/>
  <c r="E132" i="23"/>
  <c r="F132" i="23"/>
  <c r="G132" i="23"/>
  <c r="H132" i="23"/>
  <c r="I132" i="23"/>
  <c r="J132" i="23"/>
  <c r="K132" i="23"/>
  <c r="L132" i="23"/>
  <c r="M132" i="23"/>
  <c r="N132" i="23"/>
  <c r="O132" i="23"/>
  <c r="D132" i="23"/>
  <c r="H116" i="23"/>
  <c r="O90" i="23"/>
  <c r="O172" i="23" s="1"/>
  <c r="N90" i="23"/>
  <c r="N172" i="23" s="1"/>
  <c r="M90" i="23"/>
  <c r="M172" i="23" s="1"/>
  <c r="L90" i="23"/>
  <c r="L172" i="23" s="1"/>
  <c r="K90" i="23"/>
  <c r="K172" i="23" s="1"/>
  <c r="J90" i="23"/>
  <c r="J172" i="23" s="1"/>
  <c r="I90" i="23"/>
  <c r="I172" i="23" s="1"/>
  <c r="H90" i="23"/>
  <c r="H172" i="23" s="1"/>
  <c r="G90" i="23"/>
  <c r="G172" i="23" s="1"/>
  <c r="F90" i="23"/>
  <c r="F172" i="23" s="1"/>
  <c r="E90" i="23"/>
  <c r="E172" i="23" s="1"/>
  <c r="D90" i="23"/>
  <c r="D172" i="23" s="1"/>
  <c r="P89" i="23"/>
  <c r="P88" i="23"/>
  <c r="E36" i="23"/>
  <c r="F36" i="23"/>
  <c r="G36" i="23"/>
  <c r="H36" i="23"/>
  <c r="I36" i="23"/>
  <c r="J36" i="23"/>
  <c r="K36" i="23"/>
  <c r="L36" i="23"/>
  <c r="M36" i="23"/>
  <c r="N36" i="23"/>
  <c r="O36" i="23"/>
  <c r="D36" i="23"/>
  <c r="G33" i="24"/>
  <c r="G32" i="24"/>
  <c r="G31" i="24"/>
  <c r="H31" i="24" s="1"/>
  <c r="O96" i="23"/>
  <c r="O93" i="23"/>
  <c r="O87" i="23"/>
  <c r="O84" i="23"/>
  <c r="O81" i="23"/>
  <c r="O78" i="23"/>
  <c r="O75" i="23"/>
  <c r="O72" i="23"/>
  <c r="O69" i="23"/>
  <c r="O66" i="23"/>
  <c r="O63" i="23"/>
  <c r="O60" i="23"/>
  <c r="O57" i="23"/>
  <c r="O54" i="23"/>
  <c r="O51" i="23"/>
  <c r="O48" i="23"/>
  <c r="O45" i="23"/>
  <c r="O42" i="23"/>
  <c r="O39" i="23"/>
  <c r="O30" i="23"/>
  <c r="O27" i="23"/>
  <c r="O24" i="23"/>
  <c r="O21" i="23"/>
  <c r="O18" i="23"/>
  <c r="N96" i="23"/>
  <c r="N93" i="23"/>
  <c r="N87" i="23"/>
  <c r="N84" i="23"/>
  <c r="N81" i="23"/>
  <c r="N78" i="23"/>
  <c r="N75" i="23"/>
  <c r="N72" i="23"/>
  <c r="N69" i="23"/>
  <c r="N66" i="23"/>
  <c r="N63" i="23"/>
  <c r="N60" i="23"/>
  <c r="M60" i="23"/>
  <c r="N57" i="23"/>
  <c r="N54" i="23"/>
  <c r="N51" i="23"/>
  <c r="N48" i="23"/>
  <c r="N45" i="23"/>
  <c r="N42" i="23"/>
  <c r="N39" i="23"/>
  <c r="N30" i="23"/>
  <c r="N27" i="23"/>
  <c r="N24" i="23"/>
  <c r="N21" i="23"/>
  <c r="N18" i="23"/>
  <c r="M96" i="23"/>
  <c r="M93" i="23"/>
  <c r="M87" i="23"/>
  <c r="M84" i="23"/>
  <c r="M81" i="23"/>
  <c r="M78" i="23"/>
  <c r="M75" i="23"/>
  <c r="M72" i="23"/>
  <c r="M69" i="23"/>
  <c r="M66" i="23"/>
  <c r="M63" i="23"/>
  <c r="M57" i="23"/>
  <c r="M54" i="23"/>
  <c r="M51" i="23"/>
  <c r="M48" i="23"/>
  <c r="M45" i="23"/>
  <c r="M42" i="23"/>
  <c r="M39" i="23"/>
  <c r="M30" i="23"/>
  <c r="M27" i="23"/>
  <c r="M24" i="23"/>
  <c r="M21" i="23"/>
  <c r="M18" i="23"/>
  <c r="L12" i="23" l="1"/>
  <c r="P99" i="23"/>
  <c r="P90" i="23"/>
  <c r="P172" i="23" s="1"/>
  <c r="L96" i="23"/>
  <c r="L93" i="23"/>
  <c r="L87" i="23"/>
  <c r="L84" i="23"/>
  <c r="L81" i="23"/>
  <c r="L78" i="23"/>
  <c r="L75" i="23"/>
  <c r="L72" i="23"/>
  <c r="L69" i="23"/>
  <c r="L130" i="23" s="1"/>
  <c r="L66" i="23"/>
  <c r="L63" i="23"/>
  <c r="L60" i="23"/>
  <c r="L57" i="23"/>
  <c r="L124" i="23" s="1"/>
  <c r="L54" i="23"/>
  <c r="L51" i="23"/>
  <c r="L48" i="23"/>
  <c r="L45" i="23"/>
  <c r="L42" i="23"/>
  <c r="L39" i="23"/>
  <c r="L30" i="23"/>
  <c r="L27" i="23"/>
  <c r="L24" i="23"/>
  <c r="L21" i="23"/>
  <c r="L18" i="23"/>
  <c r="K96" i="23"/>
  <c r="K93" i="23"/>
  <c r="K81" i="23"/>
  <c r="K78" i="23"/>
  <c r="K75" i="23"/>
  <c r="K72" i="23"/>
  <c r="K69" i="23"/>
  <c r="K130" i="23" s="1"/>
  <c r="K66" i="23"/>
  <c r="K63" i="23"/>
  <c r="K60" i="23"/>
  <c r="K57" i="23"/>
  <c r="K54" i="23"/>
  <c r="K51" i="23"/>
  <c r="K48" i="23"/>
  <c r="K45" i="23"/>
  <c r="K42" i="23"/>
  <c r="K39" i="23"/>
  <c r="K30" i="23"/>
  <c r="K27" i="23"/>
  <c r="K24" i="23"/>
  <c r="K21" i="23"/>
  <c r="K18" i="23"/>
  <c r="J15" i="23"/>
  <c r="K15" i="23"/>
  <c r="D15" i="23"/>
  <c r="E15" i="23"/>
  <c r="F15" i="23"/>
  <c r="G15" i="23"/>
  <c r="H15" i="23"/>
  <c r="I15" i="23"/>
  <c r="J96" i="23"/>
  <c r="J93" i="23"/>
  <c r="J87" i="23"/>
  <c r="J84" i="23"/>
  <c r="J81" i="23"/>
  <c r="J78" i="23"/>
  <c r="J75" i="23"/>
  <c r="J72" i="23"/>
  <c r="J130" i="23"/>
  <c r="J66" i="23"/>
  <c r="J63" i="23"/>
  <c r="J60" i="23"/>
  <c r="J57" i="23"/>
  <c r="J124" i="23" s="1"/>
  <c r="J54" i="23"/>
  <c r="J51" i="23"/>
  <c r="J48" i="23"/>
  <c r="J45" i="23"/>
  <c r="J42" i="23"/>
  <c r="J39" i="23"/>
  <c r="J30" i="23"/>
  <c r="J27" i="23"/>
  <c r="J24" i="23"/>
  <c r="J21" i="23"/>
  <c r="J18" i="23"/>
  <c r="I96" i="23"/>
  <c r="I93" i="23"/>
  <c r="I87" i="23"/>
  <c r="I84" i="23"/>
  <c r="I81" i="23"/>
  <c r="I78" i="23"/>
  <c r="I75" i="23"/>
  <c r="I72" i="23"/>
  <c r="I69" i="23"/>
  <c r="I66" i="23"/>
  <c r="I63" i="23"/>
  <c r="I57" i="23"/>
  <c r="I60" i="23"/>
  <c r="I54" i="23"/>
  <c r="I51" i="23"/>
  <c r="I48" i="23"/>
  <c r="I45" i="23"/>
  <c r="I42" i="23"/>
  <c r="I39" i="23"/>
  <c r="I30" i="23"/>
  <c r="I27" i="23"/>
  <c r="I24" i="23"/>
  <c r="I21" i="23"/>
  <c r="I18" i="23"/>
  <c r="D131" i="23"/>
  <c r="E131" i="23"/>
  <c r="F131" i="23"/>
  <c r="G131" i="23"/>
  <c r="H131" i="23"/>
  <c r="H93" i="23"/>
  <c r="H96" i="23"/>
  <c r="H87" i="23"/>
  <c r="H84" i="23"/>
  <c r="H81" i="23"/>
  <c r="H78" i="23"/>
  <c r="H75" i="23"/>
  <c r="H72" i="23"/>
  <c r="H69" i="23"/>
  <c r="H130" i="23" s="1"/>
  <c r="H66" i="23"/>
  <c r="H63" i="23"/>
  <c r="H57" i="23"/>
  <c r="H124" i="23" s="1"/>
  <c r="H60" i="23"/>
  <c r="H54" i="23"/>
  <c r="H51" i="23"/>
  <c r="H48" i="23"/>
  <c r="H45" i="23"/>
  <c r="H42" i="23"/>
  <c r="H39" i="23"/>
  <c r="H30" i="23"/>
  <c r="H27" i="23"/>
  <c r="H24" i="23"/>
  <c r="H21" i="23"/>
  <c r="H18" i="23"/>
  <c r="G96" i="23"/>
  <c r="G93" i="23"/>
  <c r="G87" i="23"/>
  <c r="G84" i="23"/>
  <c r="G81" i="23"/>
  <c r="G78" i="23"/>
  <c r="G75" i="23"/>
  <c r="G72" i="23"/>
  <c r="G69" i="23"/>
  <c r="G130" i="23" s="1"/>
  <c r="G66" i="23"/>
  <c r="G63" i="23"/>
  <c r="G57" i="23"/>
  <c r="G124" i="23" s="1"/>
  <c r="G60" i="23"/>
  <c r="G54" i="23"/>
  <c r="G51" i="23"/>
  <c r="G48" i="23"/>
  <c r="G45" i="23"/>
  <c r="G42" i="23"/>
  <c r="G39" i="23"/>
  <c r="G30" i="23"/>
  <c r="G27" i="23"/>
  <c r="G24" i="23"/>
  <c r="G21" i="23"/>
  <c r="G18" i="23"/>
  <c r="F96" i="23"/>
  <c r="F93" i="23"/>
  <c r="F87" i="23"/>
  <c r="F84" i="23"/>
  <c r="F81" i="23"/>
  <c r="F78" i="23"/>
  <c r="F75" i="23"/>
  <c r="F72" i="23"/>
  <c r="F69" i="23"/>
  <c r="F130" i="23" s="1"/>
  <c r="F66" i="23"/>
  <c r="F63" i="23"/>
  <c r="F60" i="23"/>
  <c r="F57" i="23"/>
  <c r="F124" i="23" s="1"/>
  <c r="F54" i="23"/>
  <c r="F51" i="23"/>
  <c r="F48" i="23"/>
  <c r="F45" i="23"/>
  <c r="F42" i="23"/>
  <c r="F39" i="23"/>
  <c r="F30" i="23"/>
  <c r="F27" i="23"/>
  <c r="F24" i="23"/>
  <c r="F21" i="23"/>
  <c r="F18" i="23"/>
  <c r="E160" i="23"/>
  <c r="E124" i="23"/>
  <c r="E130" i="23"/>
  <c r="H32" i="24"/>
  <c r="I32" i="24" s="1"/>
  <c r="J32" i="24" s="1"/>
  <c r="K32" i="24" s="1"/>
  <c r="L32" i="24" s="1"/>
  <c r="M32" i="24" s="1"/>
  <c r="N32" i="24" s="1"/>
  <c r="O32" i="24" s="1"/>
  <c r="P32" i="24" s="1"/>
  <c r="Q32" i="24" s="1"/>
  <c r="R32" i="24" s="1"/>
  <c r="H33" i="24"/>
  <c r="I33" i="24" s="1"/>
  <c r="J33" i="24" s="1"/>
  <c r="K33" i="24" s="1"/>
  <c r="L33" i="24" s="1"/>
  <c r="M33" i="24" s="1"/>
  <c r="N33" i="24" s="1"/>
  <c r="O33" i="24" s="1"/>
  <c r="P33" i="24" s="1"/>
  <c r="Q33" i="24" s="1"/>
  <c r="R33" i="24" s="1"/>
  <c r="I31" i="24"/>
  <c r="J31" i="24" s="1"/>
  <c r="K31" i="24" s="1"/>
  <c r="L31" i="24" s="1"/>
  <c r="M31" i="24" s="1"/>
  <c r="N31" i="24" s="1"/>
  <c r="O31" i="24" s="1"/>
  <c r="P31" i="24" s="1"/>
  <c r="Q31" i="24" s="1"/>
  <c r="R31" i="24" s="1"/>
  <c r="E96" i="23"/>
  <c r="E93" i="23"/>
  <c r="E87" i="23"/>
  <c r="E84" i="23"/>
  <c r="E81" i="23"/>
  <c r="E78" i="23"/>
  <c r="E75" i="23"/>
  <c r="E72" i="23"/>
  <c r="E69" i="23"/>
  <c r="E66" i="23"/>
  <c r="E63" i="23"/>
  <c r="E60" i="23"/>
  <c r="E57" i="23"/>
  <c r="E54" i="23"/>
  <c r="E51" i="23"/>
  <c r="E163" i="23" s="1"/>
  <c r="E48" i="23"/>
  <c r="E45" i="23"/>
  <c r="E42" i="23"/>
  <c r="E39" i="23"/>
  <c r="E30" i="23"/>
  <c r="E27" i="23"/>
  <c r="E24" i="23"/>
  <c r="E21" i="23"/>
  <c r="E18" i="23"/>
  <c r="E134" i="23"/>
  <c r="F134" i="23"/>
  <c r="G134" i="23"/>
  <c r="H134" i="23"/>
  <c r="I134" i="23"/>
  <c r="J134" i="23"/>
  <c r="K134" i="23"/>
  <c r="L134" i="23"/>
  <c r="M134" i="23"/>
  <c r="N134" i="23"/>
  <c r="O134" i="23"/>
  <c r="E125" i="23"/>
  <c r="F125" i="23"/>
  <c r="G125" i="23"/>
  <c r="H125" i="23"/>
  <c r="I125" i="23"/>
  <c r="J125" i="23"/>
  <c r="K125" i="23"/>
  <c r="L125" i="23"/>
  <c r="M125" i="23"/>
  <c r="N125" i="23"/>
  <c r="O125" i="23"/>
  <c r="E119" i="23"/>
  <c r="F119" i="23"/>
  <c r="G119" i="23"/>
  <c r="H119" i="23"/>
  <c r="I119" i="23"/>
  <c r="J119" i="23"/>
  <c r="K119" i="23"/>
  <c r="L119" i="23"/>
  <c r="M119" i="23"/>
  <c r="N119" i="23"/>
  <c r="O119" i="23"/>
  <c r="E120" i="23"/>
  <c r="F120" i="23"/>
  <c r="G120" i="23"/>
  <c r="H120" i="23"/>
  <c r="I120" i="23"/>
  <c r="J120" i="23"/>
  <c r="K120" i="23"/>
  <c r="L120" i="23"/>
  <c r="M120" i="23"/>
  <c r="N120" i="23"/>
  <c r="O120" i="23"/>
  <c r="E117" i="23"/>
  <c r="F117" i="23"/>
  <c r="G117" i="23"/>
  <c r="H117" i="23"/>
  <c r="I117" i="23"/>
  <c r="J117" i="23"/>
  <c r="K117" i="23"/>
  <c r="L117" i="23"/>
  <c r="M117" i="23"/>
  <c r="N117" i="23"/>
  <c r="O117" i="23"/>
  <c r="E116" i="23"/>
  <c r="F116" i="23"/>
  <c r="G116" i="23"/>
  <c r="I116" i="23"/>
  <c r="J116" i="23"/>
  <c r="K116" i="23"/>
  <c r="L116" i="23"/>
  <c r="M116" i="23"/>
  <c r="N116" i="23"/>
  <c r="O116" i="23"/>
  <c r="E128" i="23"/>
  <c r="F128" i="23"/>
  <c r="G128" i="23"/>
  <c r="H128" i="23"/>
  <c r="I128" i="23"/>
  <c r="J128" i="23"/>
  <c r="K128" i="23"/>
  <c r="L128" i="23"/>
  <c r="M128" i="23"/>
  <c r="N128" i="23"/>
  <c r="O128" i="23"/>
  <c r="E127" i="23"/>
  <c r="F127" i="23"/>
  <c r="G127" i="23"/>
  <c r="H127" i="23"/>
  <c r="I127" i="23"/>
  <c r="J127" i="23"/>
  <c r="K127" i="23"/>
  <c r="L127" i="23"/>
  <c r="M127" i="23"/>
  <c r="N127" i="23"/>
  <c r="O127" i="23"/>
  <c r="D127" i="23"/>
  <c r="B127" i="23"/>
  <c r="D130" i="23"/>
  <c r="B130" i="23"/>
  <c r="D124" i="23"/>
  <c r="D123" i="23"/>
  <c r="B123" i="23"/>
  <c r="B124" i="23"/>
  <c r="I124" i="23"/>
  <c r="K124" i="23"/>
  <c r="M124" i="23"/>
  <c r="N124" i="23"/>
  <c r="O124" i="23"/>
  <c r="B122" i="23"/>
  <c r="D128" i="23"/>
  <c r="D120" i="23"/>
  <c r="I130" i="23"/>
  <c r="M130" i="23"/>
  <c r="N130" i="23"/>
  <c r="O130" i="23"/>
  <c r="I131" i="23"/>
  <c r="J131" i="23"/>
  <c r="K131" i="23"/>
  <c r="L131" i="23"/>
  <c r="M131" i="23"/>
  <c r="N131" i="23"/>
  <c r="O131" i="23"/>
  <c r="J129" i="23"/>
  <c r="G11" i="23"/>
  <c r="H11" i="23"/>
  <c r="I11" i="23"/>
  <c r="N113" i="23"/>
  <c r="O113" i="23"/>
  <c r="N114" i="23"/>
  <c r="O114" i="23"/>
  <c r="N115" i="23"/>
  <c r="O115" i="23"/>
  <c r="N118" i="23"/>
  <c r="O118" i="23"/>
  <c r="N121" i="23"/>
  <c r="O121" i="23"/>
  <c r="N122" i="23"/>
  <c r="O122" i="23"/>
  <c r="N123" i="23"/>
  <c r="O123" i="23"/>
  <c r="N126" i="23"/>
  <c r="O126" i="23"/>
  <c r="N129" i="23"/>
  <c r="O129" i="23"/>
  <c r="M113" i="23"/>
  <c r="M114" i="23"/>
  <c r="M115" i="23"/>
  <c r="M118" i="23"/>
  <c r="M121" i="23"/>
  <c r="M122" i="23"/>
  <c r="M123" i="23"/>
  <c r="M126" i="23"/>
  <c r="M129" i="23"/>
  <c r="K129" i="23"/>
  <c r="B128" i="23"/>
  <c r="K113" i="23"/>
  <c r="L113" i="23"/>
  <c r="K114" i="23"/>
  <c r="L114" i="23"/>
  <c r="K115" i="23"/>
  <c r="L115" i="23"/>
  <c r="K118" i="23"/>
  <c r="L118" i="23"/>
  <c r="K121" i="23"/>
  <c r="L121" i="23"/>
  <c r="K122" i="23"/>
  <c r="L122" i="23"/>
  <c r="K123" i="23"/>
  <c r="L123" i="23"/>
  <c r="K126" i="23"/>
  <c r="L126" i="23"/>
  <c r="L129" i="23"/>
  <c r="G12" i="23" l="1"/>
  <c r="F12" i="23"/>
  <c r="P124" i="23"/>
  <c r="E12" i="23"/>
  <c r="N12" i="23"/>
  <c r="I12" i="23"/>
  <c r="H12" i="23"/>
  <c r="J12" i="23"/>
  <c r="M12" i="23"/>
  <c r="K12" i="23"/>
  <c r="O12" i="23"/>
  <c r="D12" i="23"/>
  <c r="J113" i="23"/>
  <c r="J114" i="23"/>
  <c r="J115" i="23"/>
  <c r="J118" i="23"/>
  <c r="J121" i="23"/>
  <c r="J122" i="23"/>
  <c r="J123" i="23"/>
  <c r="J126" i="23"/>
  <c r="F113" i="23" l="1"/>
  <c r="G113" i="23"/>
  <c r="H113" i="23"/>
  <c r="I113" i="23"/>
  <c r="F114" i="23"/>
  <c r="G114" i="23"/>
  <c r="H114" i="23"/>
  <c r="I114" i="23"/>
  <c r="F115" i="23"/>
  <c r="G115" i="23"/>
  <c r="H115" i="23"/>
  <c r="I115" i="23"/>
  <c r="F118" i="23"/>
  <c r="G118" i="23"/>
  <c r="H118" i="23"/>
  <c r="I118" i="23"/>
  <c r="F121" i="23"/>
  <c r="G121" i="23"/>
  <c r="H121" i="23"/>
  <c r="I121" i="23"/>
  <c r="F122" i="23"/>
  <c r="G122" i="23"/>
  <c r="H122" i="23"/>
  <c r="I122" i="23"/>
  <c r="F123" i="23"/>
  <c r="G123" i="23"/>
  <c r="H123" i="23"/>
  <c r="I123" i="23"/>
  <c r="F126" i="23"/>
  <c r="G126" i="23"/>
  <c r="H126" i="23"/>
  <c r="I126" i="23"/>
  <c r="F129" i="23"/>
  <c r="G129" i="23"/>
  <c r="H129" i="23"/>
  <c r="I129" i="23"/>
  <c r="E113" i="23" l="1"/>
  <c r="E114" i="23"/>
  <c r="E115" i="23"/>
  <c r="E118" i="23"/>
  <c r="E121" i="23"/>
  <c r="E122" i="23"/>
  <c r="E123" i="23"/>
  <c r="E126" i="23"/>
  <c r="E129" i="23"/>
  <c r="E169" i="23" l="1"/>
  <c r="F169" i="23"/>
  <c r="G169" i="23"/>
  <c r="H169" i="23"/>
  <c r="I169" i="23"/>
  <c r="J169" i="23"/>
  <c r="K169" i="23"/>
  <c r="L169" i="23"/>
  <c r="M169" i="23"/>
  <c r="N169" i="23"/>
  <c r="O169" i="23"/>
  <c r="E164" i="23"/>
  <c r="F164" i="23"/>
  <c r="G164" i="23"/>
  <c r="H164" i="23"/>
  <c r="I164" i="23"/>
  <c r="J164" i="23"/>
  <c r="K164" i="23"/>
  <c r="L164" i="23"/>
  <c r="M164" i="23"/>
  <c r="N164" i="23"/>
  <c r="O164" i="23"/>
  <c r="E165" i="23"/>
  <c r="F165" i="23"/>
  <c r="G165" i="23"/>
  <c r="H165" i="23"/>
  <c r="I165" i="23"/>
  <c r="J165" i="23"/>
  <c r="K165" i="23"/>
  <c r="L165" i="23"/>
  <c r="M165" i="23"/>
  <c r="N165" i="23"/>
  <c r="O165" i="23"/>
  <c r="E166" i="23"/>
  <c r="F166" i="23"/>
  <c r="G166" i="23"/>
  <c r="H166" i="23"/>
  <c r="I166" i="23"/>
  <c r="J166" i="23"/>
  <c r="K166" i="23"/>
  <c r="L166" i="23"/>
  <c r="M166" i="23"/>
  <c r="N166" i="23"/>
  <c r="O166" i="23"/>
  <c r="E167" i="23"/>
  <c r="F167" i="23"/>
  <c r="G167" i="23"/>
  <c r="H167" i="23"/>
  <c r="I167" i="23"/>
  <c r="J167" i="23"/>
  <c r="K167" i="23"/>
  <c r="L167" i="23"/>
  <c r="M167" i="23"/>
  <c r="N167" i="23"/>
  <c r="O167" i="23"/>
  <c r="E168" i="23"/>
  <c r="F168" i="23"/>
  <c r="G168" i="23"/>
  <c r="H168" i="23"/>
  <c r="I168" i="23"/>
  <c r="J168" i="23"/>
  <c r="K168" i="23"/>
  <c r="L168" i="23"/>
  <c r="M168" i="23"/>
  <c r="N168" i="23"/>
  <c r="O168" i="23"/>
  <c r="E170" i="23"/>
  <c r="F170" i="23"/>
  <c r="G170" i="23"/>
  <c r="H170" i="23"/>
  <c r="I170" i="23"/>
  <c r="J170" i="23"/>
  <c r="K170" i="23"/>
  <c r="L170" i="23"/>
  <c r="M170" i="23"/>
  <c r="N170" i="23"/>
  <c r="O170" i="23"/>
  <c r="E162" i="23"/>
  <c r="F162" i="23"/>
  <c r="G162" i="23"/>
  <c r="H162" i="23"/>
  <c r="I162" i="23"/>
  <c r="J162" i="23"/>
  <c r="K162" i="23"/>
  <c r="L162" i="23"/>
  <c r="M162" i="23"/>
  <c r="N162" i="23"/>
  <c r="O162" i="23"/>
  <c r="F163" i="23"/>
  <c r="G163" i="23"/>
  <c r="H163" i="23"/>
  <c r="I163" i="23"/>
  <c r="J163" i="23"/>
  <c r="K163" i="23"/>
  <c r="L163" i="23"/>
  <c r="M163" i="23"/>
  <c r="N163" i="23"/>
  <c r="O163" i="23"/>
  <c r="E155" i="23"/>
  <c r="F155" i="23"/>
  <c r="G155" i="23"/>
  <c r="H155" i="23"/>
  <c r="I155" i="23"/>
  <c r="J155" i="23"/>
  <c r="K155" i="23"/>
  <c r="L155" i="23"/>
  <c r="M155" i="23"/>
  <c r="N155" i="23"/>
  <c r="O155" i="23"/>
  <c r="E156" i="23"/>
  <c r="F156" i="23"/>
  <c r="G156" i="23"/>
  <c r="H156" i="23"/>
  <c r="I156" i="23"/>
  <c r="J156" i="23"/>
  <c r="K156" i="23"/>
  <c r="L156" i="23"/>
  <c r="M156" i="23"/>
  <c r="N156" i="23"/>
  <c r="O156" i="23"/>
  <c r="E157" i="23"/>
  <c r="F157" i="23"/>
  <c r="G157" i="23"/>
  <c r="H157" i="23"/>
  <c r="I157" i="23"/>
  <c r="J157" i="23"/>
  <c r="K157" i="23"/>
  <c r="L157" i="23"/>
  <c r="M157" i="23"/>
  <c r="N157" i="23"/>
  <c r="O157" i="23"/>
  <c r="E158" i="23"/>
  <c r="F158" i="23"/>
  <c r="G158" i="23"/>
  <c r="H158" i="23"/>
  <c r="I158" i="23"/>
  <c r="J158" i="23"/>
  <c r="K158" i="23"/>
  <c r="L158" i="23"/>
  <c r="M158" i="23"/>
  <c r="N158" i="23"/>
  <c r="O158" i="23"/>
  <c r="E159" i="23"/>
  <c r="F159" i="23"/>
  <c r="G159" i="23"/>
  <c r="H159" i="23"/>
  <c r="I159" i="23"/>
  <c r="J159" i="23"/>
  <c r="K159" i="23"/>
  <c r="L159" i="23"/>
  <c r="M159" i="23"/>
  <c r="N159" i="23"/>
  <c r="O159" i="23"/>
  <c r="F160" i="23"/>
  <c r="G160" i="23"/>
  <c r="H160" i="23"/>
  <c r="I160" i="23"/>
  <c r="J160" i="23"/>
  <c r="K160" i="23"/>
  <c r="L160" i="23"/>
  <c r="M160" i="23"/>
  <c r="N160" i="23"/>
  <c r="O160" i="23"/>
  <c r="E161" i="23"/>
  <c r="F161" i="23"/>
  <c r="G161" i="23"/>
  <c r="H161" i="23"/>
  <c r="I161" i="23"/>
  <c r="J161" i="23"/>
  <c r="K161" i="23"/>
  <c r="L161" i="23"/>
  <c r="M161" i="23"/>
  <c r="N161" i="23"/>
  <c r="O161" i="23"/>
  <c r="E171" i="23"/>
  <c r="F171" i="23"/>
  <c r="G171" i="23"/>
  <c r="H171" i="23"/>
  <c r="I171" i="23"/>
  <c r="J171" i="23"/>
  <c r="K171" i="23"/>
  <c r="L171" i="23"/>
  <c r="M171" i="23"/>
  <c r="N171" i="23"/>
  <c r="O171" i="23"/>
  <c r="E173" i="23"/>
  <c r="F173" i="23"/>
  <c r="G173" i="23"/>
  <c r="H173" i="23"/>
  <c r="I173" i="23"/>
  <c r="J173" i="23"/>
  <c r="K173" i="23"/>
  <c r="L173" i="23"/>
  <c r="M173" i="23"/>
  <c r="N173" i="23"/>
  <c r="O173" i="23"/>
  <c r="D134" i="23"/>
  <c r="P132" i="23"/>
  <c r="P94" i="23" l="1"/>
  <c r="P95" i="23"/>
  <c r="D96" i="23"/>
  <c r="D169" i="23" s="1"/>
  <c r="P96" i="23" l="1"/>
  <c r="P169" i="23" s="1"/>
  <c r="P14" i="23" l="1"/>
  <c r="P16" i="23"/>
  <c r="P17" i="23"/>
  <c r="P19" i="23"/>
  <c r="P20" i="23"/>
  <c r="P22" i="23"/>
  <c r="P23" i="23"/>
  <c r="P25" i="23"/>
  <c r="P26" i="23"/>
  <c r="P28" i="23"/>
  <c r="P29" i="23"/>
  <c r="P116" i="23" s="1"/>
  <c r="P37" i="23"/>
  <c r="P38" i="23"/>
  <c r="P117" i="23" s="1"/>
  <c r="P30" i="23" l="1"/>
  <c r="P158" i="23" s="1"/>
  <c r="P21" i="23"/>
  <c r="P157" i="23" s="1"/>
  <c r="P27" i="23"/>
  <c r="P24" i="23"/>
  <c r="P18" i="23"/>
  <c r="P156" i="23" s="1"/>
  <c r="P85" i="23" l="1"/>
  <c r="P86" i="23"/>
  <c r="P134" i="23" s="1"/>
  <c r="D87" i="23"/>
  <c r="D173" i="23" s="1"/>
  <c r="P91" i="23"/>
  <c r="P92" i="23"/>
  <c r="P127" i="23" s="1"/>
  <c r="D93" i="23"/>
  <c r="D24" i="23"/>
  <c r="P93" i="23" l="1"/>
  <c r="P87" i="23"/>
  <c r="P173" i="23" s="1"/>
  <c r="D30" i="23" l="1"/>
  <c r="D27" i="23" l="1"/>
  <c r="D78" i="23" l="1"/>
  <c r="D171" i="23" s="1"/>
  <c r="D60" i="23" l="1"/>
  <c r="D81" i="23"/>
  <c r="D75" i="23"/>
  <c r="D72" i="23"/>
  <c r="D129" i="23" l="1"/>
  <c r="D126" i="23"/>
  <c r="B170" i="23"/>
  <c r="B168" i="23"/>
  <c r="B167" i="23"/>
  <c r="B166" i="23"/>
  <c r="B165" i="23"/>
  <c r="B164" i="23"/>
  <c r="B163" i="23"/>
  <c r="B162" i="23"/>
  <c r="B161" i="23"/>
  <c r="B160" i="23"/>
  <c r="B159" i="23"/>
  <c r="B158" i="23"/>
  <c r="B157" i="23"/>
  <c r="B156" i="23"/>
  <c r="B155" i="23"/>
  <c r="B131" i="23"/>
  <c r="B129" i="23"/>
  <c r="B126" i="23"/>
  <c r="D84" i="23"/>
  <c r="D170" i="23" s="1"/>
  <c r="D69" i="23"/>
  <c r="D168" i="23" l="1"/>
  <c r="B125" i="23" l="1"/>
  <c r="B121" i="23"/>
  <c r="B119" i="23"/>
  <c r="B118" i="23"/>
  <c r="B117" i="23"/>
  <c r="B116" i="23"/>
  <c r="B115" i="23"/>
  <c r="B114" i="23"/>
  <c r="B113" i="23"/>
  <c r="D125" i="23" l="1"/>
  <c r="D122" i="23"/>
  <c r="D121" i="23"/>
  <c r="D119" i="23"/>
  <c r="D118" i="23"/>
  <c r="D117" i="23"/>
  <c r="D116" i="23"/>
  <c r="D115" i="23"/>
  <c r="D114" i="23"/>
  <c r="D113" i="23"/>
  <c r="D66" i="23"/>
  <c r="D63" i="23"/>
  <c r="D166" i="23" s="1"/>
  <c r="D57" i="23"/>
  <c r="D165" i="23" s="1"/>
  <c r="D54" i="23"/>
  <c r="D164" i="23" s="1"/>
  <c r="D51" i="23"/>
  <c r="D163" i="23" s="1"/>
  <c r="D48" i="23"/>
  <c r="D162" i="23" s="1"/>
  <c r="D45" i="23"/>
  <c r="D161" i="23" s="1"/>
  <c r="D42" i="23"/>
  <c r="D160" i="23" s="1"/>
  <c r="D39" i="23"/>
  <c r="D159" i="23" s="1"/>
  <c r="D158" i="23"/>
  <c r="D21" i="23"/>
  <c r="D157" i="23" s="1"/>
  <c r="D18" i="23"/>
  <c r="D156" i="23" s="1"/>
  <c r="D155" i="23"/>
  <c r="D167" i="23" l="1"/>
  <c r="P79" i="23" l="1"/>
  <c r="P58" i="23"/>
  <c r="P40" i="23"/>
  <c r="P129" i="23"/>
  <c r="P82" i="23"/>
  <c r="P55" i="23"/>
  <c r="P43" i="23"/>
  <c r="P76" i="23"/>
  <c r="P52" i="23"/>
  <c r="P70" i="23"/>
  <c r="P131" i="23" s="1"/>
  <c r="P122" i="23"/>
  <c r="P61" i="23"/>
  <c r="P13" i="23"/>
  <c r="P15" i="23" s="1"/>
  <c r="P155" i="23" s="1"/>
  <c r="P77" i="23"/>
  <c r="P80" i="23"/>
  <c r="P128" i="23" s="1"/>
  <c r="P118" i="23"/>
  <c r="P73" i="23"/>
  <c r="P83" i="23"/>
  <c r="P123" i="23"/>
  <c r="P49" i="23"/>
  <c r="P121" i="23"/>
  <c r="P71" i="23"/>
  <c r="P56" i="23"/>
  <c r="P44" i="23"/>
  <c r="P119" i="23" s="1"/>
  <c r="P50" i="23"/>
  <c r="P120" i="23" s="1"/>
  <c r="P65" i="23"/>
  <c r="P126" i="23"/>
  <c r="P67" i="23"/>
  <c r="P46" i="23"/>
  <c r="P68" i="23"/>
  <c r="P64" i="23"/>
  <c r="P53" i="23"/>
  <c r="P41" i="23"/>
  <c r="P59" i="23"/>
  <c r="P62" i="23"/>
  <c r="P125" i="23" s="1"/>
  <c r="P115" i="23"/>
  <c r="P114" i="23"/>
  <c r="P74" i="23"/>
  <c r="P113" i="23"/>
  <c r="P47" i="23"/>
  <c r="P11" i="23" l="1"/>
  <c r="P60" i="23"/>
  <c r="P81" i="23"/>
  <c r="P78" i="23"/>
  <c r="P171" i="23" s="1"/>
  <c r="P48" i="23"/>
  <c r="P162" i="23" s="1"/>
  <c r="P42" i="23"/>
  <c r="P160" i="23" s="1"/>
  <c r="P39" i="23"/>
  <c r="P159" i="23" s="1"/>
  <c r="P54" i="23"/>
  <c r="P164" i="23" s="1"/>
  <c r="P75" i="23"/>
  <c r="P66" i="23"/>
  <c r="P167" i="23" s="1"/>
  <c r="P84" i="23"/>
  <c r="P170" i="23" s="1"/>
  <c r="P51" i="23"/>
  <c r="P163" i="23" s="1"/>
  <c r="P72" i="23"/>
  <c r="P69" i="23"/>
  <c r="P63" i="23"/>
  <c r="P166" i="23" s="1"/>
  <c r="P57" i="23"/>
  <c r="P165" i="23" s="1"/>
  <c r="P45" i="23"/>
  <c r="P161" i="23" s="1"/>
  <c r="P168" i="23" l="1"/>
  <c r="P12" i="23"/>
  <c r="P130" i="2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hachisu takashi</author>
  </authors>
  <commentList>
    <comment ref="B10" authorId="0" shapeId="0" xr:uid="{00000000-0006-0000-0000-000001000000}">
      <text>
        <r>
          <rPr>
            <b/>
            <sz val="11"/>
            <color indexed="81"/>
            <rFont val="MS P ゴシック"/>
            <family val="3"/>
            <charset val="128"/>
          </rPr>
          <t>【自動計算】
※ALL　赤枠内</t>
        </r>
      </text>
    </comment>
    <comment ref="C15" authorId="0" shapeId="0" xr:uid="{00000000-0006-0000-0000-000002000000}">
      <text>
        <r>
          <rPr>
            <b/>
            <sz val="9"/>
            <color indexed="81"/>
            <rFont val="MS P ゴシック"/>
            <family val="3"/>
            <charset val="128"/>
          </rPr>
          <t>不良率欄
【自動計算】</t>
        </r>
      </text>
    </comment>
    <comment ref="A28" authorId="0" shapeId="0" xr:uid="{00000000-0006-0000-0000-000003000000}">
      <text>
        <r>
          <rPr>
            <b/>
            <sz val="11"/>
            <color indexed="81"/>
            <rFont val="MS P ゴシック"/>
            <family val="3"/>
            <charset val="128"/>
          </rPr>
          <t>【業者No】
SP016 chuyển qua vd036</t>
        </r>
      </text>
    </comment>
    <comment ref="B28" authorId="0" shapeId="0" xr:uid="{00000000-0006-0000-0000-000004000000}">
      <text>
        <r>
          <rPr>
            <b/>
            <sz val="11"/>
            <color indexed="81"/>
            <rFont val="MS P ゴシック"/>
            <family val="3"/>
            <charset val="128"/>
          </rPr>
          <t>【外注業者名】
を追加して下さい</t>
        </r>
      </text>
    </comment>
    <comment ref="B34" authorId="0" shapeId="0" xr:uid="{3CE55068-DE77-464D-B623-46A5E87EE1AA}">
      <text>
        <r>
          <rPr>
            <b/>
            <sz val="11"/>
            <color indexed="81"/>
            <rFont val="MS P ゴシック"/>
            <family val="3"/>
            <charset val="128"/>
          </rPr>
          <t>【外注業者名】
を追加して下さい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10012 Ban</author>
    <author>hachisu takashi</author>
    <author>Kho C</author>
  </authors>
  <commentList>
    <comment ref="C6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tổng nhân viên</t>
        </r>
      </text>
    </comment>
    <comment ref="C7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nhân viên trực tiếp</t>
        </r>
      </text>
    </comment>
    <comment ref="C8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nhân viên gián tiếp</t>
        </r>
      </text>
    </comment>
    <comment ref="C9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số ngày hoạt động</t>
        </r>
      </text>
    </comment>
    <comment ref="C10" authorId="1" shapeId="0" xr:uid="{00000000-0006-0000-0100-000005000000}">
      <text>
        <r>
          <rPr>
            <b/>
            <sz val="9"/>
            <color indexed="81"/>
            <rFont val="MS P ゴシック"/>
            <family val="3"/>
            <charset val="128"/>
          </rPr>
          <t>標準稼働時間
※残業含む
bao gồm cả thời gian tăng ca</t>
        </r>
      </text>
    </comment>
    <comment ref="D10" authorId="0" shapeId="0" xr:uid="{00000000-0006-0000-0100-000006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đơn tháng</t>
        </r>
      </text>
    </comment>
    <comment ref="D11" authorId="0" shapeId="0" xr:uid="{00000000-0006-0000-0100-000007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lũy kế</t>
        </r>
      </text>
    </comment>
    <comment ref="C12" authorId="0" shapeId="0" xr:uid="{00000000-0006-0000-0100-000008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số giờ làm việc trung bình / ngày</t>
        </r>
      </text>
    </comment>
    <comment ref="C13" authorId="0" shapeId="0" xr:uid="{00000000-0006-0000-0100-000009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thời  gian  gia công </t>
        </r>
      </text>
    </comment>
    <comment ref="F13" authorId="1" shapeId="0" xr:uid="{00000000-0006-0000-0100-00000A000000}">
      <text>
        <r>
          <rPr>
            <b/>
            <sz val="9"/>
            <color indexed="81"/>
            <rFont val="MS P ゴシック"/>
            <family val="3"/>
            <charset val="128"/>
          </rPr>
          <t>標準時間
thời gian chuẩn</t>
        </r>
      </text>
    </comment>
    <comment ref="F14" authorId="0" shapeId="0" xr:uid="{00000000-0006-0000-0100-00000B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thời gian gia công  thực tế</t>
        </r>
      </text>
    </comment>
    <comment ref="C15" authorId="1" shapeId="0" xr:uid="{00000000-0006-0000-0100-00000C000000}">
      <text>
        <r>
          <rPr>
            <b/>
            <sz val="9"/>
            <color indexed="81"/>
            <rFont val="MS P ゴシック"/>
            <family val="3"/>
            <charset val="128"/>
          </rPr>
          <t>標準時間対実績時間比
hiệu xuất gia công</t>
        </r>
      </text>
    </comment>
    <comment ref="C16" authorId="0" shapeId="0" xr:uid="{00000000-0006-0000-0100-00000D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số bản vẽ hoàn thành </t>
        </r>
      </text>
    </comment>
    <comment ref="D16" authorId="0" shapeId="0" xr:uid="{00000000-0006-0000-0100-00000E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đơn tháng</t>
        </r>
      </text>
    </comment>
    <comment ref="D17" authorId="0" shapeId="0" xr:uid="{00000000-0006-0000-0100-00000F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lũy kế</t>
        </r>
      </text>
    </comment>
    <comment ref="C18" authorId="0" shapeId="0" xr:uid="{00000000-0006-0000-0100-000010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số pcs hoàn thành</t>
        </r>
      </text>
    </comment>
    <comment ref="D18" authorId="0" shapeId="0" xr:uid="{00000000-0006-0000-0100-000011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đơn tháng</t>
        </r>
      </text>
    </comment>
    <comment ref="D19" authorId="0" shapeId="0" xr:uid="{00000000-0006-0000-0100-000012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lũy kế</t>
        </r>
      </text>
    </comment>
    <comment ref="C20" authorId="0" shapeId="0" xr:uid="{00000000-0006-0000-0100-000013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P/M.H  bản vẽ</t>
        </r>
      </text>
    </comment>
    <comment ref="C22" authorId="0" shapeId="0" xr:uid="{00000000-0006-0000-0100-000014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P/M.H số pcs</t>
        </r>
      </text>
    </comment>
    <comment ref="C24" authorId="0" shapeId="0" xr:uid="{00000000-0006-0000-0100-000015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số tiền gia công hoàn thành</t>
        </r>
      </text>
    </comment>
    <comment ref="C26" authorId="0" shapeId="0" xr:uid="{00000000-0006-0000-0100-000016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phí gia công /M.H</t>
        </r>
      </text>
    </comment>
    <comment ref="C28" authorId="0" shapeId="0" xr:uid="{00000000-0006-0000-0100-000017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tổn bản vẽ hoàn thành</t>
        </r>
      </text>
    </comment>
    <comment ref="D28" authorId="0" shapeId="0" xr:uid="{00000000-0006-0000-0100-000018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ĐƠN THÁNG</t>
        </r>
      </text>
    </comment>
    <comment ref="G28" authorId="2" shapeId="0" xr:uid="{00000000-0006-0000-0100-000019000000}">
      <text>
        <r>
          <rPr>
            <b/>
            <sz val="8"/>
            <color indexed="81"/>
            <rFont val="Tahoma"/>
            <family val="2"/>
          </rPr>
          <t>Kho C: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9" authorId="0" shapeId="0" xr:uid="{00000000-0006-0000-0100-00001A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tổng số pcs hoàn thành</t>
        </r>
      </text>
    </comment>
    <comment ref="C30" authorId="0" shapeId="0" xr:uid="{00000000-0006-0000-0100-00001B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tiền gia công</t>
        </r>
      </text>
    </comment>
    <comment ref="C31" authorId="0" shapeId="0" xr:uid="{00000000-0006-0000-0100-00001C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tổng bản vẽ hoàn thành</t>
        </r>
      </text>
    </comment>
    <comment ref="D31" authorId="0" shapeId="0" xr:uid="{00000000-0006-0000-0100-00001D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LŨY KẾ</t>
        </r>
      </text>
    </comment>
    <comment ref="G31" authorId="2" shapeId="0" xr:uid="{E9B4DF9E-4135-4DFE-8D13-8C8C2EE376FC}">
      <text>
        <r>
          <rPr>
            <b/>
            <sz val="8"/>
            <color indexed="81"/>
            <rFont val="Tahoma"/>
            <family val="2"/>
          </rPr>
          <t>Kho C: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2" authorId="0" shapeId="0" xr:uid="{00000000-0006-0000-0100-00001F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tổng số pcs hoàn thành</t>
        </r>
      </text>
    </comment>
    <comment ref="C33" authorId="0" shapeId="0" xr:uid="{00000000-0006-0000-0100-000020000000}">
      <text>
        <r>
          <rPr>
            <b/>
            <sz val="8"/>
            <color indexed="81"/>
            <rFont val="Tahoma"/>
            <family val="2"/>
          </rPr>
          <t>10012 Ban:</t>
        </r>
        <r>
          <rPr>
            <sz val="8"/>
            <color indexed="81"/>
            <rFont val="Tahoma"/>
            <family val="2"/>
          </rPr>
          <t xml:space="preserve">
tiền gia công</t>
        </r>
      </text>
    </comment>
  </commentList>
</comments>
</file>

<file path=xl/sharedStrings.xml><?xml version="1.0" encoding="utf-8"?>
<sst xmlns="http://schemas.openxmlformats.org/spreadsheetml/2006/main" count="411" uniqueCount="182">
  <si>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</si>
  <si>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</si>
  <si>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</si>
  <si>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</si>
  <si>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</si>
  <si>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</si>
  <si>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</si>
  <si>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</si>
  <si>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</si>
  <si>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</si>
  <si>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</si>
  <si>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累計</t>
    <rPh sb="0" eb="2">
      <t>ルイケイ</t>
    </rPh>
    <phoneticPr fontId="2"/>
  </si>
  <si>
    <t>1月</t>
    <rPh sb="1" eb="2">
      <t>ツキ</t>
    </rPh>
    <phoneticPr fontId="3"/>
  </si>
  <si>
    <t>工程不良件数、工程不良率</t>
    <rPh sb="0" eb="2">
      <t>コウテイ</t>
    </rPh>
    <rPh sb="2" eb="4">
      <t>フリョウ</t>
    </rPh>
    <rPh sb="4" eb="6">
      <t>ケンスウ</t>
    </rPh>
    <rPh sb="7" eb="9">
      <t>コウテイ</t>
    </rPh>
    <rPh sb="9" eb="11">
      <t>フリョウ</t>
    </rPh>
    <rPh sb="11" eb="12">
      <t>リツ</t>
    </rPh>
    <phoneticPr fontId="3"/>
  </si>
  <si>
    <t>ALL</t>
    <phoneticPr fontId="3"/>
  </si>
  <si>
    <t>図面総数</t>
    <rPh sb="0" eb="2">
      <t>ズメン</t>
    </rPh>
    <rPh sb="2" eb="4">
      <t>ソウスウ</t>
    </rPh>
    <phoneticPr fontId="3"/>
  </si>
  <si>
    <t>不良件数</t>
    <rPh sb="0" eb="2">
      <t>フリョウ</t>
    </rPh>
    <rPh sb="2" eb="4">
      <t>ケンスウ</t>
    </rPh>
    <phoneticPr fontId="3"/>
  </si>
  <si>
    <t>不良率</t>
    <rPh sb="0" eb="2">
      <t>フリョウ</t>
    </rPh>
    <rPh sb="2" eb="3">
      <t>リツ</t>
    </rPh>
    <phoneticPr fontId="3"/>
  </si>
  <si>
    <t>※不良件数=工程不良図面枚数</t>
    <rPh sb="1" eb="3">
      <t>フリョウ</t>
    </rPh>
    <rPh sb="3" eb="5">
      <t>ケンスウ</t>
    </rPh>
    <rPh sb="6" eb="8">
      <t>コウテイ</t>
    </rPh>
    <rPh sb="8" eb="10">
      <t>フリョウ</t>
    </rPh>
    <rPh sb="10" eb="12">
      <t>ズメン</t>
    </rPh>
    <rPh sb="12" eb="14">
      <t>マイスウ</t>
    </rPh>
    <phoneticPr fontId="3"/>
  </si>
  <si>
    <t>※不良率=工程不良図面枚数÷工程完了図面枚数×100</t>
    <rPh sb="1" eb="3">
      <t>フリョウ</t>
    </rPh>
    <rPh sb="3" eb="4">
      <t>リツ</t>
    </rPh>
    <rPh sb="5" eb="7">
      <t>コウテイ</t>
    </rPh>
    <rPh sb="7" eb="9">
      <t>フリョウ</t>
    </rPh>
    <rPh sb="9" eb="11">
      <t>ズメン</t>
    </rPh>
    <rPh sb="11" eb="13">
      <t>マイスウ</t>
    </rPh>
    <rPh sb="14" eb="16">
      <t>コウテイ</t>
    </rPh>
    <rPh sb="16" eb="18">
      <t>カンリョウ</t>
    </rPh>
    <rPh sb="18" eb="20">
      <t>ズメン</t>
    </rPh>
    <rPh sb="20" eb="22">
      <t>マイスウ</t>
    </rPh>
    <phoneticPr fontId="3"/>
  </si>
  <si>
    <t>不良率</t>
  </si>
  <si>
    <t>③不良件数が１以上だと、赤色（自動）になります・・・見やすくする為</t>
    <rPh sb="1" eb="3">
      <t>フリョウ</t>
    </rPh>
    <rPh sb="3" eb="5">
      <t>ケンスウ</t>
    </rPh>
    <rPh sb="7" eb="9">
      <t>イジョウ</t>
    </rPh>
    <rPh sb="12" eb="14">
      <t>アカイロ</t>
    </rPh>
    <rPh sb="26" eb="27">
      <t>ミ</t>
    </rPh>
    <rPh sb="32" eb="33">
      <t>タメ</t>
    </rPh>
    <phoneticPr fontId="2"/>
  </si>
  <si>
    <t>※自動入力</t>
    <rPh sb="1" eb="3">
      <t>ジドウ</t>
    </rPh>
    <rPh sb="3" eb="5">
      <t>ニュウリョク</t>
    </rPh>
    <phoneticPr fontId="2"/>
  </si>
  <si>
    <t>①工程別不良件数グラフの追加・・・可視化</t>
    <rPh sb="1" eb="3">
      <t>コウテイ</t>
    </rPh>
    <rPh sb="3" eb="4">
      <t>ベツ</t>
    </rPh>
    <rPh sb="4" eb="6">
      <t>フリョウ</t>
    </rPh>
    <rPh sb="6" eb="8">
      <t>ケンスウ</t>
    </rPh>
    <rPh sb="12" eb="14">
      <t>ツイカ</t>
    </rPh>
    <rPh sb="17" eb="20">
      <t>カシカ</t>
    </rPh>
    <phoneticPr fontId="2"/>
  </si>
  <si>
    <t>②工程別不良率グラフの追加・・・可視化</t>
    <rPh sb="1" eb="3">
      <t>コウテイ</t>
    </rPh>
    <rPh sb="3" eb="4">
      <t>ベツ</t>
    </rPh>
    <rPh sb="4" eb="6">
      <t>フリョウ</t>
    </rPh>
    <rPh sb="6" eb="7">
      <t>リツ</t>
    </rPh>
    <rPh sb="11" eb="13">
      <t>ツイカ</t>
    </rPh>
    <rPh sb="16" eb="19">
      <t>カシカ</t>
    </rPh>
    <phoneticPr fontId="2"/>
  </si>
  <si>
    <t>自動計算</t>
    <rPh sb="0" eb="2">
      <t>ジドウ</t>
    </rPh>
    <rPh sb="2" eb="4">
      <t>ケイサン</t>
    </rPh>
    <phoneticPr fontId="2"/>
  </si>
  <si>
    <t>【外作】</t>
    <rPh sb="1" eb="3">
      <t>ガイサク</t>
    </rPh>
    <phoneticPr fontId="2"/>
  </si>
  <si>
    <t>業者No</t>
    <rPh sb="0" eb="2">
      <t>ギョウシャ</t>
    </rPh>
    <phoneticPr fontId="2"/>
  </si>
  <si>
    <t>業者名</t>
    <rPh sb="0" eb="2">
      <t>ギョウシャ</t>
    </rPh>
    <rPh sb="2" eb="3">
      <t>メイ</t>
    </rPh>
    <phoneticPr fontId="2"/>
  </si>
  <si>
    <t>累計</t>
    <rPh sb="0" eb="2">
      <t>ルイケイ</t>
    </rPh>
    <phoneticPr fontId="2"/>
  </si>
  <si>
    <t>ＤＧＭ</t>
    <phoneticPr fontId="3"/>
  </si>
  <si>
    <t>自動</t>
    <rPh sb="0" eb="2">
      <t>ジドウ</t>
    </rPh>
    <phoneticPr fontId="2"/>
  </si>
  <si>
    <t>※これより下側は【自動入力】なので入力不要</t>
    <rPh sb="5" eb="7">
      <t>シタガワ</t>
    </rPh>
    <rPh sb="9" eb="11">
      <t>ジドウ</t>
    </rPh>
    <rPh sb="11" eb="13">
      <t>ニュウリョク</t>
    </rPh>
    <rPh sb="17" eb="21">
      <t>ニュウリョクフヨウ</t>
    </rPh>
    <phoneticPr fontId="2"/>
  </si>
  <si>
    <t>A0001</t>
    <phoneticPr fontId="2"/>
  </si>
  <si>
    <t>MMK</t>
    <phoneticPr fontId="3"/>
  </si>
  <si>
    <t>A0002</t>
    <phoneticPr fontId="2"/>
  </si>
  <si>
    <t>TWM</t>
    <phoneticPr fontId="3"/>
  </si>
  <si>
    <t>A0004</t>
    <phoneticPr fontId="2"/>
  </si>
  <si>
    <t>PUNCH</t>
    <phoneticPr fontId="2"/>
  </si>
  <si>
    <t>VD053</t>
    <phoneticPr fontId="2"/>
  </si>
  <si>
    <t>VD061</t>
    <phoneticPr fontId="2"/>
  </si>
  <si>
    <t>KIWA</t>
    <phoneticPr fontId="2"/>
  </si>
  <si>
    <t>VD064</t>
    <phoneticPr fontId="2"/>
  </si>
  <si>
    <t>LE HOANG ANH</t>
    <phoneticPr fontId="2"/>
  </si>
  <si>
    <t>MINH THINH LOI</t>
    <phoneticPr fontId="2"/>
  </si>
  <si>
    <t>KA SHIN</t>
    <phoneticPr fontId="2"/>
  </si>
  <si>
    <t>VD065</t>
  </si>
  <si>
    <t>VD101</t>
    <phoneticPr fontId="2"/>
  </si>
  <si>
    <t>UWC</t>
    <phoneticPr fontId="2"/>
  </si>
  <si>
    <t>HUYNH DUC</t>
    <phoneticPr fontId="2"/>
  </si>
  <si>
    <t>VN003</t>
    <phoneticPr fontId="2"/>
  </si>
  <si>
    <t>自動計算</t>
    <rPh sb="0" eb="2">
      <t>ジドウ</t>
    </rPh>
    <rPh sb="2" eb="4">
      <t>ケイサン</t>
    </rPh>
    <phoneticPr fontId="3"/>
  </si>
  <si>
    <t>１日稼働時間</t>
    <rPh sb="1" eb="2">
      <t>ヒ</t>
    </rPh>
    <rPh sb="2" eb="4">
      <t>カドウ</t>
    </rPh>
    <rPh sb="4" eb="6">
      <t>ジカン</t>
    </rPh>
    <phoneticPr fontId="3"/>
  </si>
  <si>
    <t>分</t>
    <rPh sb="0" eb="1">
      <t>フン</t>
    </rPh>
    <phoneticPr fontId="3"/>
  </si>
  <si>
    <t>項目</t>
    <rPh sb="0" eb="2">
      <t>コウモク</t>
    </rPh>
    <phoneticPr fontId="4"/>
  </si>
  <si>
    <t>1月</t>
    <rPh sb="1" eb="2">
      <t>ゲツ</t>
    </rPh>
    <phoneticPr fontId="4"/>
  </si>
  <si>
    <t>１．人</t>
    <phoneticPr fontId="3"/>
  </si>
  <si>
    <t>a</t>
    <phoneticPr fontId="3"/>
  </si>
  <si>
    <t>総人数 （合計）</t>
    <rPh sb="1" eb="2">
      <t>ニン</t>
    </rPh>
    <rPh sb="2" eb="3">
      <t>スウ</t>
    </rPh>
    <rPh sb="5" eb="7">
      <t>ゴウケイ</t>
    </rPh>
    <phoneticPr fontId="4"/>
  </si>
  <si>
    <t>単月</t>
    <rPh sb="0" eb="1">
      <t>タン</t>
    </rPh>
    <rPh sb="1" eb="2">
      <t>ゲツ</t>
    </rPh>
    <phoneticPr fontId="3"/>
  </si>
  <si>
    <t>a</t>
    <phoneticPr fontId="4"/>
  </si>
  <si>
    <t>実績</t>
  </si>
  <si>
    <t>b</t>
    <phoneticPr fontId="3"/>
  </si>
  <si>
    <t>直接人数</t>
    <phoneticPr fontId="4"/>
  </si>
  <si>
    <t>b</t>
    <phoneticPr fontId="4"/>
  </si>
  <si>
    <t>c</t>
    <phoneticPr fontId="3"/>
  </si>
  <si>
    <t>間接人数</t>
    <phoneticPr fontId="4"/>
  </si>
  <si>
    <t>c</t>
    <phoneticPr fontId="4"/>
  </si>
  <si>
    <t>２．時間</t>
    <phoneticPr fontId="3"/>
  </si>
  <si>
    <t>稼働日数</t>
    <rPh sb="2" eb="3">
      <t>ヒ</t>
    </rPh>
    <rPh sb="3" eb="4">
      <t>スウ</t>
    </rPh>
    <phoneticPr fontId="4"/>
  </si>
  <si>
    <t>d</t>
    <phoneticPr fontId="4"/>
  </si>
  <si>
    <t>直接人実労働時間 (h)</t>
    <rPh sb="3" eb="4">
      <t>ジツ</t>
    </rPh>
    <rPh sb="4" eb="6">
      <t>ロウドウ</t>
    </rPh>
    <rPh sb="6" eb="8">
      <t>ジカン</t>
    </rPh>
    <phoneticPr fontId="4"/>
  </si>
  <si>
    <t>e</t>
    <phoneticPr fontId="4"/>
  </si>
  <si>
    <t>残業含む総j間</t>
    <rPh sb="0" eb="2">
      <t>ザンギョウ</t>
    </rPh>
    <rPh sb="2" eb="3">
      <t>フク</t>
    </rPh>
    <rPh sb="4" eb="5">
      <t>ソウ</t>
    </rPh>
    <rPh sb="6" eb="7">
      <t>カン</t>
    </rPh>
    <phoneticPr fontId="3"/>
  </si>
  <si>
    <t>累計</t>
    <rPh sb="0" eb="2">
      <t>ルイケイ</t>
    </rPh>
    <phoneticPr fontId="3"/>
  </si>
  <si>
    <t>f</t>
    <phoneticPr fontId="4"/>
  </si>
  <si>
    <t>１人/日　平均稼働時間</t>
    <rPh sb="1" eb="2">
      <t>ヒト</t>
    </rPh>
    <rPh sb="3" eb="4">
      <t>ヒ</t>
    </rPh>
    <rPh sb="5" eb="7">
      <t>ヘイキン</t>
    </rPh>
    <rPh sb="7" eb="9">
      <t>カドウ</t>
    </rPh>
    <rPh sb="9" eb="11">
      <t>ジカン</t>
    </rPh>
    <phoneticPr fontId="3"/>
  </si>
  <si>
    <t>実績</t>
    <phoneticPr fontId="3"/>
  </si>
  <si>
    <t>D</t>
    <phoneticPr fontId="3"/>
  </si>
  <si>
    <t>実加工時間 （h）</t>
  </si>
  <si>
    <t>β</t>
    <phoneticPr fontId="4"/>
  </si>
  <si>
    <t>予定</t>
    <rPh sb="0" eb="2">
      <t>ヨテイ</t>
    </rPh>
    <phoneticPr fontId="3"/>
  </si>
  <si>
    <t>標準時間の合計</t>
    <rPh sb="0" eb="2">
      <t>ヒョウジュン</t>
    </rPh>
    <rPh sb="2" eb="4">
      <t>ジカン</t>
    </rPh>
    <rPh sb="5" eb="7">
      <t>ゴウケイ</t>
    </rPh>
    <phoneticPr fontId="3"/>
  </si>
  <si>
    <t>d</t>
    <phoneticPr fontId="3"/>
  </si>
  <si>
    <t>α</t>
    <phoneticPr fontId="4"/>
  </si>
  <si>
    <t>実績</t>
    <phoneticPr fontId="3"/>
  </si>
  <si>
    <t>機械稼働時間＋手仕上げ等の合計</t>
    <rPh sb="0" eb="2">
      <t>キカイ</t>
    </rPh>
    <rPh sb="2" eb="4">
      <t>カドウ</t>
    </rPh>
    <rPh sb="4" eb="6">
      <t>ジカン</t>
    </rPh>
    <rPh sb="7" eb="8">
      <t>テ</t>
    </rPh>
    <rPh sb="8" eb="10">
      <t>シア</t>
    </rPh>
    <rPh sb="11" eb="12">
      <t>トウ</t>
    </rPh>
    <rPh sb="13" eb="15">
      <t>ゴウケイ</t>
    </rPh>
    <phoneticPr fontId="3"/>
  </si>
  <si>
    <t>e</t>
    <phoneticPr fontId="3"/>
  </si>
  <si>
    <t>加工効率</t>
    <phoneticPr fontId="4"/>
  </si>
  <si>
    <t>α/β</t>
    <phoneticPr fontId="3"/>
  </si>
  <si>
    <t>３．生産性
(内作)
GIA CÔNG TRONG CƠ KHÍ</t>
  </si>
  <si>
    <t>完成総図面数量 (枚)</t>
    <rPh sb="0" eb="2">
      <t>カンセイ</t>
    </rPh>
    <rPh sb="3" eb="5">
      <t>ズメン</t>
    </rPh>
    <rPh sb="9" eb="10">
      <t>マイ</t>
    </rPh>
    <phoneticPr fontId="4"/>
  </si>
  <si>
    <t>g</t>
    <phoneticPr fontId="4"/>
  </si>
  <si>
    <t>h</t>
    <phoneticPr fontId="4"/>
  </si>
  <si>
    <t>完成総数量 (Pcs)</t>
    <rPh sb="0" eb="2">
      <t>カンセイ</t>
    </rPh>
    <rPh sb="3" eb="5">
      <t>スウリョウ</t>
    </rPh>
    <phoneticPr fontId="4"/>
  </si>
  <si>
    <t>i</t>
    <phoneticPr fontId="4"/>
  </si>
  <si>
    <t>u=H*10.9</t>
    <phoneticPr fontId="4"/>
  </si>
  <si>
    <t>P/M.H 値 (図面）</t>
    <phoneticPr fontId="4"/>
  </si>
  <si>
    <t>k=g/e</t>
    <phoneticPr fontId="4"/>
  </si>
  <si>
    <t>f</t>
    <phoneticPr fontId="3"/>
  </si>
  <si>
    <t>t=h/f</t>
    <phoneticPr fontId="4"/>
  </si>
  <si>
    <t>g</t>
    <phoneticPr fontId="3"/>
  </si>
  <si>
    <t>P/M.H 値 (Ｐｃｓ)</t>
    <phoneticPr fontId="4"/>
  </si>
  <si>
    <t>m=i/e</t>
    <phoneticPr fontId="4"/>
  </si>
  <si>
    <t>h</t>
    <phoneticPr fontId="3"/>
  </si>
  <si>
    <t>n=u/f</t>
    <phoneticPr fontId="4"/>
  </si>
  <si>
    <t>i</t>
    <phoneticPr fontId="3"/>
  </si>
  <si>
    <t>加工完了金額 (単位)</t>
    <rPh sb="0" eb="2">
      <t>カコウ</t>
    </rPh>
    <rPh sb="4" eb="6">
      <t>キンガク</t>
    </rPh>
    <rPh sb="8" eb="10">
      <t>タンイ</t>
    </rPh>
    <phoneticPr fontId="4"/>
  </si>
  <si>
    <t>o</t>
    <phoneticPr fontId="4"/>
  </si>
  <si>
    <t>j</t>
    <phoneticPr fontId="3"/>
  </si>
  <si>
    <t>p</t>
    <phoneticPr fontId="4"/>
  </si>
  <si>
    <t>k</t>
    <phoneticPr fontId="3"/>
  </si>
  <si>
    <t>加工費/M.H  (単位)</t>
    <rPh sb="10" eb="12">
      <t>タンイ</t>
    </rPh>
    <phoneticPr fontId="4"/>
  </si>
  <si>
    <t>q=o/e</t>
    <phoneticPr fontId="4"/>
  </si>
  <si>
    <t>m</t>
    <phoneticPr fontId="3"/>
  </si>
  <si>
    <t>r=p/f</t>
    <phoneticPr fontId="4"/>
  </si>
  <si>
    <t>４．生産性
(外作)
GIA CÔNG NGOÀI</t>
  </si>
  <si>
    <t>N</t>
    <phoneticPr fontId="3"/>
  </si>
  <si>
    <t>完成総図面枚数 (枚)</t>
  </si>
  <si>
    <t>S</t>
    <phoneticPr fontId="4"/>
  </si>
  <si>
    <t>O</t>
    <phoneticPr fontId="3"/>
  </si>
  <si>
    <t>T</t>
    <phoneticPr fontId="4"/>
  </si>
  <si>
    <t>P</t>
    <phoneticPr fontId="3"/>
  </si>
  <si>
    <t>U</t>
    <phoneticPr fontId="4"/>
  </si>
  <si>
    <t>n</t>
    <phoneticPr fontId="3"/>
  </si>
  <si>
    <t>完成総図面枚数 (枚)</t>
    <rPh sb="0" eb="2">
      <t>カンセイ</t>
    </rPh>
    <rPh sb="2" eb="3">
      <t>ソウ</t>
    </rPh>
    <rPh sb="3" eb="5">
      <t>ズメン</t>
    </rPh>
    <rPh sb="5" eb="7">
      <t>マイスウ</t>
    </rPh>
    <rPh sb="9" eb="10">
      <t>マイ</t>
    </rPh>
    <phoneticPr fontId="4"/>
  </si>
  <si>
    <t>s</t>
    <phoneticPr fontId="4"/>
  </si>
  <si>
    <t>o</t>
    <phoneticPr fontId="3"/>
  </si>
  <si>
    <t>完成総数量 (Pcs)</t>
    <phoneticPr fontId="4"/>
  </si>
  <si>
    <t>t</t>
    <phoneticPr fontId="4"/>
  </si>
  <si>
    <t>p</t>
    <phoneticPr fontId="3"/>
  </si>
  <si>
    <t>加工金額 (単位)</t>
    <rPh sb="6" eb="8">
      <t>タンイ</t>
    </rPh>
    <phoneticPr fontId="3"/>
  </si>
  <si>
    <t>u</t>
    <phoneticPr fontId="4"/>
  </si>
  <si>
    <t>内作完了図面</t>
    <rPh sb="0" eb="2">
      <t>ナイサク</t>
    </rPh>
    <rPh sb="2" eb="4">
      <t>カンリョウ</t>
    </rPh>
    <rPh sb="4" eb="6">
      <t>ズメン</t>
    </rPh>
    <phoneticPr fontId="3"/>
  </si>
  <si>
    <t>外作完了図面</t>
    <rPh sb="0" eb="2">
      <t>ガイサク</t>
    </rPh>
    <rPh sb="2" eb="4">
      <t>カンリョウ</t>
    </rPh>
    <rPh sb="4" eb="6">
      <t>ズメン</t>
    </rPh>
    <phoneticPr fontId="3"/>
  </si>
  <si>
    <t>内作完了金額</t>
    <rPh sb="0" eb="2">
      <t>ナイサク</t>
    </rPh>
    <rPh sb="2" eb="4">
      <t>カンリョウ</t>
    </rPh>
    <rPh sb="4" eb="6">
      <t>キンガク</t>
    </rPh>
    <phoneticPr fontId="3"/>
  </si>
  <si>
    <t>外作完了金額</t>
    <rPh sb="0" eb="2">
      <t>ガイサク</t>
    </rPh>
    <rPh sb="2" eb="4">
      <t>カンリョウ</t>
    </rPh>
    <rPh sb="4" eb="6">
      <t>キンガク</t>
    </rPh>
    <phoneticPr fontId="3"/>
  </si>
  <si>
    <t>VD151</t>
    <phoneticPr fontId="2"/>
  </si>
  <si>
    <t>VD159</t>
    <phoneticPr fontId="2"/>
  </si>
  <si>
    <t xml:space="preserve">PRECEDE ML </t>
    <phoneticPr fontId="2"/>
  </si>
  <si>
    <t>VIET NHAT TAN</t>
    <phoneticPr fontId="2"/>
  </si>
  <si>
    <t>A0005</t>
    <phoneticPr fontId="2"/>
  </si>
  <si>
    <t>TKM</t>
    <phoneticPr fontId="3"/>
  </si>
  <si>
    <t>VNM</t>
    <phoneticPr fontId="2"/>
  </si>
  <si>
    <t>VD190</t>
    <phoneticPr fontId="2"/>
  </si>
  <si>
    <t>YES SAI GON</t>
    <phoneticPr fontId="2"/>
  </si>
  <si>
    <t>VD203</t>
  </si>
  <si>
    <t>FINECS</t>
  </si>
  <si>
    <t>VD220</t>
  </si>
  <si>
    <t>AMERIX</t>
  </si>
  <si>
    <t>VD221</t>
  </si>
  <si>
    <t>HITECH</t>
  </si>
  <si>
    <t>ISHISEI</t>
  </si>
  <si>
    <t>DONG QUANG</t>
  </si>
  <si>
    <t>YES SAIGON</t>
  </si>
  <si>
    <t>VD069</t>
  </si>
  <si>
    <t>A&amp;D</t>
  </si>
  <si>
    <t xml:space="preserve">CENTRAL TECH </t>
  </si>
  <si>
    <t>SP016</t>
  </si>
  <si>
    <t>加工金額 (単位)(USD)</t>
  </si>
  <si>
    <t>VD329</t>
  </si>
  <si>
    <t>CHÂU ĐÀ</t>
  </si>
  <si>
    <t>VD335</t>
  </si>
  <si>
    <t>VD047</t>
  </si>
  <si>
    <t>CAO SU VIET</t>
  </si>
  <si>
    <t>VD091</t>
  </si>
  <si>
    <t>OSG</t>
  </si>
  <si>
    <t>VD362</t>
  </si>
  <si>
    <t>AN MI</t>
  </si>
  <si>
    <t>SP018</t>
  </si>
  <si>
    <t>CAM</t>
  </si>
  <si>
    <t>VD377</t>
  </si>
  <si>
    <t>TRUNG PHAT</t>
  </si>
  <si>
    <t>VINATECH</t>
  </si>
  <si>
    <t>VD392</t>
  </si>
  <si>
    <t>VD269</t>
  </si>
  <si>
    <t>VD230</t>
  </si>
  <si>
    <t>SAKURA</t>
  </si>
  <si>
    <t>TINH NGUYÊN HẢO</t>
  </si>
  <si>
    <t>VD434</t>
  </si>
  <si>
    <t>VD467</t>
  </si>
  <si>
    <t>CNCLASER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</si>
</sst>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;[Red]\-#,##0.0"/>
    <numFmt numFmtId="166" formatCode="#,##0.000;[Red]\-#,##0.000"/>
    <numFmt numFmtId="167" formatCode="0.0%"/>
  </numFmts>
  <fonts count="25"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Calibri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name val="ＭＳ Ｐゴシック"/>
      <family val="2"/>
      <charset val="128"/>
    </font>
    <font>
      <sz val="12"/>
      <color indexed="8"/>
      <name val="宋体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2"/>
      <name val="宋体"/>
      <charset val="128"/>
    </font>
    <font>
      <b/>
      <sz val="14"/>
      <color rgb="FFFF0000"/>
      <name val="ＭＳ Ｐゴシック"/>
      <family val="3"/>
      <charset val="128"/>
    </font>
    <font>
      <b/>
      <sz val="16"/>
      <color rgb="FFFF0000"/>
      <name val="ＭＳ Ｐゴシック"/>
      <family val="3"/>
      <charset val="128"/>
    </font>
    <font>
      <b/>
      <sz val="11"/>
      <color indexed="81"/>
      <name val="MS P 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rgb="FF0070C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11"/>
      <color theme="10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name val="Calibri"/>
      <family val="2"/>
      <charset val="128"/>
      <scheme val="minor"/>
    </font>
    <font>
      <sz val="11"/>
      <color rgb="FFFF000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rgb="FFFF0000"/>
      </left>
      <right style="thin">
        <color indexed="64"/>
      </right>
      <top style="double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hair">
        <color indexed="64"/>
      </right>
      <top style="double">
        <color rgb="FFFF000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rgb="FFFF0000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hair">
        <color indexed="64"/>
      </right>
      <top style="medium">
        <color rgb="FFFF0000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auto="1"/>
      </right>
      <top style="medium">
        <color rgb="FFFF0000"/>
      </top>
      <bottom style="hair">
        <color auto="1"/>
      </bottom>
      <diagonal/>
    </border>
    <border>
      <left style="medium">
        <color indexed="64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auto="1"/>
      </right>
      <top style="hair">
        <color auto="1"/>
      </top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 style="medium">
        <color indexed="64"/>
      </diagonal>
    </border>
    <border diagonalDown="1"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 style="medium">
        <color indexed="64"/>
      </diagonal>
    </border>
    <border diagonalDown="1"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 style="medium">
        <color indexed="64"/>
      </diagonal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</borders>
  <cellStyleXfs count="19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64" fontId="1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38" fontId="1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0" fontId="22" fillId="0" borderId="0">
      <alignment vertical="center"/>
    </xf>
  </cellStyleXfs>
  <cellXfs count="317">
    <xf numFmtId="0" fontId="0" fillId="0" borderId="0" xfId="0">
      <alignment vertical="center"/>
    </xf>
    <xf numFmtId="0" fontId="1" fillId="0" borderId="0" xfId="7" applyFont="1" applyBorder="1">
      <alignment vertical="center"/>
    </xf>
    <xf numFmtId="0" fontId="1" fillId="0" borderId="0" xfId="7" applyFont="1">
      <alignment vertical="center"/>
    </xf>
    <xf numFmtId="0" fontId="1" fillId="0" borderId="0" xfId="7" applyFont="1" applyFill="1" applyAlignment="1">
      <alignment horizontal="center" vertical="center"/>
    </xf>
    <xf numFmtId="38" fontId="11" fillId="0" borderId="0" xfId="8" applyFont="1">
      <alignment vertical="center"/>
    </xf>
    <xf numFmtId="0" fontId="1" fillId="0" borderId="4" xfId="7" applyFont="1" applyFill="1" applyBorder="1" applyAlignment="1">
      <alignment horizontal="center" vertical="center"/>
    </xf>
    <xf numFmtId="0" fontId="1" fillId="0" borderId="0" xfId="7" applyFont="1" applyFill="1">
      <alignment vertical="center"/>
    </xf>
    <xf numFmtId="0" fontId="1" fillId="0" borderId="0" xfId="7" applyFont="1" applyFill="1" applyBorder="1" applyAlignment="1">
      <alignment horizontal="center" vertical="center"/>
    </xf>
    <xf numFmtId="0" fontId="1" fillId="0" borderId="5" xfId="7" applyFont="1" applyBorder="1">
      <alignment vertical="center"/>
    </xf>
    <xf numFmtId="0" fontId="1" fillId="0" borderId="5" xfId="7" applyFont="1" applyFill="1" applyBorder="1" applyAlignment="1">
      <alignment horizontal="center" vertical="center"/>
    </xf>
    <xf numFmtId="0" fontId="1" fillId="3" borderId="5" xfId="7" applyFont="1" applyFill="1" applyBorder="1">
      <alignment vertical="center"/>
    </xf>
    <xf numFmtId="0" fontId="1" fillId="3" borderId="5" xfId="7" applyFont="1" applyFill="1" applyBorder="1" applyAlignment="1">
      <alignment horizontal="center" vertical="center"/>
    </xf>
    <xf numFmtId="0" fontId="1" fillId="0" borderId="5" xfId="7" applyFont="1" applyFill="1" applyBorder="1">
      <alignment vertical="center"/>
    </xf>
    <xf numFmtId="0" fontId="13" fillId="0" borderId="0" xfId="7" applyFont="1" applyAlignment="1">
      <alignment horizontal="left" vertical="center"/>
    </xf>
    <xf numFmtId="0" fontId="14" fillId="0" borderId="0" xfId="7" applyFont="1" applyAlignment="1">
      <alignment horizontal="left" vertical="center"/>
    </xf>
    <xf numFmtId="0" fontId="13" fillId="0" borderId="0" xfId="7" applyFont="1">
      <alignment vertical="center"/>
    </xf>
    <xf numFmtId="38" fontId="13" fillId="0" borderId="0" xfId="8" applyFont="1" applyAlignment="1">
      <alignment horizontal="left" vertical="center"/>
    </xf>
    <xf numFmtId="0" fontId="1" fillId="2" borderId="6" xfId="7" applyFont="1" applyFill="1" applyBorder="1" applyAlignment="1">
      <alignment horizontal="center" vertical="center"/>
    </xf>
    <xf numFmtId="10" fontId="1" fillId="0" borderId="5" xfId="7" applyNumberFormat="1" applyFont="1" applyFill="1" applyBorder="1" applyAlignment="1">
      <alignment horizontal="center" vertical="center"/>
    </xf>
    <xf numFmtId="0" fontId="1" fillId="0" borderId="5" xfId="7" applyNumberFormat="1" applyFont="1" applyFill="1" applyBorder="1" applyAlignment="1">
      <alignment horizontal="center" vertical="center"/>
    </xf>
    <xf numFmtId="0" fontId="1" fillId="0" borderId="0" xfId="7" applyFont="1" applyFill="1" applyBorder="1">
      <alignment vertical="center"/>
    </xf>
    <xf numFmtId="0" fontId="4" fillId="0" borderId="0" xfId="7" applyFont="1" applyFill="1">
      <alignment vertical="center"/>
    </xf>
    <xf numFmtId="0" fontId="1" fillId="0" borderId="7" xfId="7" applyFont="1" applyFill="1" applyBorder="1" applyAlignment="1">
      <alignment horizontal="center" vertical="center"/>
    </xf>
    <xf numFmtId="0" fontId="1" fillId="2" borderId="7" xfId="7" applyFont="1" applyFill="1" applyBorder="1" applyAlignment="1">
      <alignment horizontal="center" vertical="center"/>
    </xf>
    <xf numFmtId="0" fontId="1" fillId="0" borderId="7" xfId="7" applyFont="1" applyBorder="1" applyAlignment="1">
      <alignment horizontal="center" vertical="center"/>
    </xf>
    <xf numFmtId="0" fontId="1" fillId="0" borderId="6" xfId="7" applyFont="1" applyBorder="1" applyAlignment="1">
      <alignment horizontal="center" vertical="center"/>
    </xf>
    <xf numFmtId="38" fontId="11" fillId="0" borderId="11" xfId="8" applyFont="1" applyBorder="1">
      <alignment vertical="center"/>
    </xf>
    <xf numFmtId="38" fontId="11" fillId="0" borderId="12" xfId="8" applyFont="1" applyFill="1" applyBorder="1" applyAlignment="1">
      <alignment horizontal="center" vertical="center"/>
    </xf>
    <xf numFmtId="0" fontId="1" fillId="0" borderId="13" xfId="7" applyFont="1" applyBorder="1">
      <alignment vertical="center"/>
    </xf>
    <xf numFmtId="0" fontId="1" fillId="0" borderId="14" xfId="7" applyFont="1" applyFill="1" applyBorder="1" applyAlignment="1">
      <alignment horizontal="center" vertical="center"/>
    </xf>
    <xf numFmtId="0" fontId="1" fillId="0" borderId="17" xfId="7" applyFont="1" applyBorder="1">
      <alignment vertical="center"/>
    </xf>
    <xf numFmtId="0" fontId="1" fillId="2" borderId="14" xfId="7" applyFont="1" applyFill="1" applyBorder="1" applyAlignment="1">
      <alignment horizontal="center" vertical="center"/>
    </xf>
    <xf numFmtId="0" fontId="1" fillId="0" borderId="14" xfId="7" applyFont="1" applyBorder="1" applyAlignment="1">
      <alignment horizontal="center" vertical="center"/>
    </xf>
    <xf numFmtId="0" fontId="1" fillId="3" borderId="20" xfId="7" applyFont="1" applyFill="1" applyBorder="1">
      <alignment vertical="center"/>
    </xf>
    <xf numFmtId="0" fontId="1" fillId="3" borderId="21" xfId="7" applyFont="1" applyFill="1" applyBorder="1" applyAlignment="1">
      <alignment horizontal="center" vertical="center"/>
    </xf>
    <xf numFmtId="0" fontId="1" fillId="0" borderId="21" xfId="7" applyFont="1" applyFill="1" applyBorder="1" applyAlignment="1">
      <alignment horizontal="center" vertical="center"/>
    </xf>
    <xf numFmtId="0" fontId="1" fillId="3" borderId="13" xfId="7" applyFont="1" applyFill="1" applyBorder="1">
      <alignment vertical="center"/>
    </xf>
    <xf numFmtId="0" fontId="1" fillId="3" borderId="14" xfId="7" applyFont="1" applyFill="1" applyBorder="1" applyAlignment="1">
      <alignment horizontal="center" vertical="center"/>
    </xf>
    <xf numFmtId="0" fontId="1" fillId="0" borderId="20" xfId="7" applyFont="1" applyFill="1" applyBorder="1">
      <alignment vertical="center"/>
    </xf>
    <xf numFmtId="0" fontId="1" fillId="0" borderId="21" xfId="7" applyFont="1" applyBorder="1" applyAlignment="1">
      <alignment horizontal="center" vertical="center"/>
    </xf>
    <xf numFmtId="0" fontId="1" fillId="0" borderId="13" xfId="7" applyFont="1" applyFill="1" applyBorder="1">
      <alignment vertical="center"/>
    </xf>
    <xf numFmtId="0" fontId="1" fillId="0" borderId="20" xfId="7" applyFont="1" applyBorder="1">
      <alignment vertical="center"/>
    </xf>
    <xf numFmtId="38" fontId="1" fillId="0" borderId="0" xfId="7" applyNumberFormat="1" applyFont="1" applyBorder="1">
      <alignment vertical="center"/>
    </xf>
    <xf numFmtId="10" fontId="1" fillId="0" borderId="0" xfId="7" applyNumberFormat="1" applyFont="1" applyFill="1" applyBorder="1" applyAlignment="1">
      <alignment horizontal="center" vertical="center"/>
    </xf>
    <xf numFmtId="0" fontId="1" fillId="4" borderId="15" xfId="7" applyFont="1" applyFill="1" applyBorder="1">
      <alignment vertical="center"/>
    </xf>
    <xf numFmtId="10" fontId="1" fillId="4" borderId="16" xfId="7" applyNumberFormat="1" applyFont="1" applyFill="1" applyBorder="1" applyAlignment="1">
      <alignment horizontal="center" vertical="center"/>
    </xf>
    <xf numFmtId="0" fontId="1" fillId="4" borderId="18" xfId="7" applyFont="1" applyFill="1" applyBorder="1">
      <alignment vertical="center"/>
    </xf>
    <xf numFmtId="10" fontId="1" fillId="4" borderId="19" xfId="7" applyNumberFormat="1" applyFont="1" applyFill="1" applyBorder="1" applyAlignment="1">
      <alignment horizontal="center" vertical="center"/>
    </xf>
    <xf numFmtId="0" fontId="1" fillId="0" borderId="5" xfId="7" applyFont="1" applyBorder="1" applyAlignment="1">
      <alignment horizontal="center" vertical="center"/>
    </xf>
    <xf numFmtId="0" fontId="1" fillId="0" borderId="6" xfId="7" applyFont="1" applyFill="1" applyBorder="1" applyAlignment="1">
      <alignment horizontal="center" vertical="center"/>
    </xf>
    <xf numFmtId="0" fontId="1" fillId="0" borderId="4" xfId="7" applyFont="1" applyBorder="1" applyAlignment="1">
      <alignment horizontal="center" vertical="center"/>
    </xf>
    <xf numFmtId="0" fontId="1" fillId="0" borderId="21" xfId="7" applyNumberFormat="1" applyFont="1" applyFill="1" applyBorder="1" applyAlignment="1">
      <alignment horizontal="center" vertical="center"/>
    </xf>
    <xf numFmtId="0" fontId="1" fillId="0" borderId="14" xfId="7" applyNumberFormat="1" applyFont="1" applyFill="1" applyBorder="1" applyAlignment="1">
      <alignment horizontal="center" vertical="center"/>
    </xf>
    <xf numFmtId="0" fontId="1" fillId="0" borderId="0" xfId="7" applyFont="1" applyAlignment="1">
      <alignment horizontal="center" vertical="center"/>
    </xf>
    <xf numFmtId="0" fontId="1" fillId="4" borderId="22" xfId="7" applyFont="1" applyFill="1" applyBorder="1" applyAlignment="1">
      <alignment horizontal="center" vertical="center"/>
    </xf>
    <xf numFmtId="0" fontId="9" fillId="0" borderId="0" xfId="7" applyFont="1" applyFill="1" applyAlignment="1">
      <alignment horizontal="left" vertical="center"/>
    </xf>
    <xf numFmtId="0" fontId="10" fillId="0" borderId="0" xfId="7" applyFont="1" applyAlignment="1">
      <alignment horizontal="center" vertical="center"/>
    </xf>
    <xf numFmtId="0" fontId="1" fillId="4" borderId="6" xfId="7" applyFont="1" applyFill="1" applyBorder="1" applyAlignment="1">
      <alignment horizontal="center" vertical="center"/>
    </xf>
    <xf numFmtId="38" fontId="11" fillId="4" borderId="28" xfId="8" applyFont="1" applyFill="1" applyBorder="1">
      <alignment vertical="center"/>
    </xf>
    <xf numFmtId="38" fontId="11" fillId="4" borderId="29" xfId="8" applyFont="1" applyFill="1" applyBorder="1">
      <alignment vertical="center"/>
    </xf>
    <xf numFmtId="38" fontId="11" fillId="4" borderId="30" xfId="8" applyFont="1" applyFill="1" applyBorder="1">
      <alignment vertical="center"/>
    </xf>
    <xf numFmtId="10" fontId="1" fillId="4" borderId="31" xfId="7" applyNumberFormat="1" applyFont="1" applyFill="1" applyBorder="1" applyAlignment="1">
      <alignment horizontal="center" vertical="center"/>
    </xf>
    <xf numFmtId="38" fontId="11" fillId="4" borderId="32" xfId="8" applyFont="1" applyFill="1" applyBorder="1">
      <alignment vertical="center"/>
    </xf>
    <xf numFmtId="10" fontId="1" fillId="4" borderId="33" xfId="7" applyNumberFormat="1" applyFont="1" applyFill="1" applyBorder="1" applyAlignment="1">
      <alignment horizontal="center" vertical="center"/>
    </xf>
    <xf numFmtId="0" fontId="1" fillId="5" borderId="22" xfId="7" applyFont="1" applyFill="1" applyBorder="1" applyAlignment="1">
      <alignment horizontal="center" vertical="center"/>
    </xf>
    <xf numFmtId="10" fontId="1" fillId="0" borderId="0" xfId="7" applyNumberFormat="1" applyFont="1" applyFill="1" applyBorder="1">
      <alignment vertical="center"/>
    </xf>
    <xf numFmtId="0" fontId="1" fillId="0" borderId="0" xfId="1" applyFo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  <xf numFmtId="0" fontId="17" fillId="0" borderId="0" xfId="1" applyFont="1" applyFill="1">
      <alignment vertical="center"/>
    </xf>
    <xf numFmtId="0" fontId="1" fillId="0" borderId="0" xfId="1" applyFont="1" applyFill="1" applyAlignment="1">
      <alignment horizontal="center" vertical="center"/>
    </xf>
    <xf numFmtId="0" fontId="1" fillId="0" borderId="0" xfId="1" applyFont="1" applyFill="1" applyAlignment="1">
      <alignment horizontal="right" vertical="center"/>
    </xf>
    <xf numFmtId="0" fontId="1" fillId="4" borderId="22" xfId="1" applyFont="1" applyFill="1" applyBorder="1" applyAlignment="1">
      <alignment horizontal="center" vertical="center"/>
    </xf>
    <xf numFmtId="0" fontId="1" fillId="0" borderId="37" xfId="14" applyFont="1" applyBorder="1" applyAlignment="1">
      <alignment vertical="center" wrapText="1"/>
    </xf>
    <xf numFmtId="0" fontId="1" fillId="0" borderId="37" xfId="14" applyFont="1" applyBorder="1" applyAlignment="1">
      <alignment horizontal="center" vertical="center" wrapText="1"/>
    </xf>
    <xf numFmtId="0" fontId="4" fillId="6" borderId="37" xfId="14" applyFont="1" applyFill="1" applyBorder="1" applyAlignment="1">
      <alignment vertical="center" wrapText="1"/>
    </xf>
    <xf numFmtId="0" fontId="4" fillId="0" borderId="0" xfId="14" applyFont="1" applyFill="1" applyAlignment="1">
      <alignment vertical="center" wrapText="1"/>
    </xf>
    <xf numFmtId="0" fontId="1" fillId="0" borderId="0" xfId="14" applyFont="1"/>
    <xf numFmtId="0" fontId="1" fillId="0" borderId="38" xfId="14" applyFont="1" applyBorder="1" applyAlignment="1">
      <alignment vertical="center"/>
    </xf>
    <xf numFmtId="0" fontId="1" fillId="0" borderId="39" xfId="14" applyFont="1" applyBorder="1" applyAlignment="1">
      <alignment horizontal="center" vertical="center"/>
    </xf>
    <xf numFmtId="0" fontId="1" fillId="0" borderId="40" xfId="14" applyFont="1" applyBorder="1" applyAlignment="1">
      <alignment vertical="center"/>
    </xf>
    <xf numFmtId="0" fontId="1" fillId="0" borderId="41" xfId="14" applyFont="1" applyFill="1" applyBorder="1" applyAlignment="1">
      <alignment horizontal="center" vertical="center"/>
    </xf>
    <xf numFmtId="0" fontId="1" fillId="0" borderId="40" xfId="14" applyFont="1" applyFill="1" applyBorder="1" applyAlignment="1">
      <alignment horizontal="center" vertical="center"/>
    </xf>
    <xf numFmtId="0" fontId="1" fillId="0" borderId="42" xfId="14" applyFont="1" applyFill="1" applyBorder="1" applyAlignment="1">
      <alignment horizontal="center" vertical="center"/>
    </xf>
    <xf numFmtId="0" fontId="1" fillId="0" borderId="0" xfId="14" applyFont="1" applyBorder="1" applyAlignment="1">
      <alignment horizontal="center" vertical="center"/>
    </xf>
    <xf numFmtId="0" fontId="1" fillId="0" borderId="0" xfId="14" applyFont="1" applyAlignment="1">
      <alignment vertical="center"/>
    </xf>
    <xf numFmtId="0" fontId="5" fillId="0" borderId="0" xfId="14" applyFont="1" applyAlignment="1">
      <alignment vertical="center"/>
    </xf>
    <xf numFmtId="0" fontId="1" fillId="0" borderId="44" xfId="14" applyFont="1" applyBorder="1" applyAlignment="1">
      <alignment horizontal="center" vertical="center" wrapText="1"/>
    </xf>
    <xf numFmtId="0" fontId="1" fillId="0" borderId="44" xfId="14" applyFont="1" applyBorder="1" applyAlignment="1">
      <alignment vertical="center" wrapText="1"/>
    </xf>
    <xf numFmtId="0" fontId="1" fillId="0" borderId="44" xfId="14" applyFont="1" applyBorder="1" applyAlignment="1">
      <alignment horizontal="left" vertical="center" wrapText="1"/>
    </xf>
    <xf numFmtId="0" fontId="1" fillId="0" borderId="44" xfId="14" applyFont="1" applyFill="1" applyBorder="1" applyAlignment="1">
      <alignment horizontal="center" vertical="center" wrapText="1"/>
    </xf>
    <xf numFmtId="0" fontId="1" fillId="0" borderId="44" xfId="14" applyFont="1" applyFill="1" applyBorder="1" applyAlignment="1">
      <alignment horizontal="center" vertical="center"/>
    </xf>
    <xf numFmtId="0" fontId="1" fillId="0" borderId="45" xfId="14" applyFont="1" applyFill="1" applyBorder="1" applyAlignment="1">
      <alignment horizontal="center" vertical="center"/>
    </xf>
    <xf numFmtId="0" fontId="1" fillId="0" borderId="47" xfId="14" applyFont="1" applyBorder="1" applyAlignment="1">
      <alignment horizontal="center" vertical="center" wrapText="1"/>
    </xf>
    <xf numFmtId="0" fontId="1" fillId="0" borderId="47" xfId="14" applyFont="1" applyBorder="1" applyAlignment="1">
      <alignment vertical="center" wrapText="1"/>
    </xf>
    <xf numFmtId="0" fontId="1" fillId="0" borderId="47" xfId="14" applyFont="1" applyBorder="1" applyAlignment="1">
      <alignment horizontal="left" vertical="center" wrapText="1"/>
    </xf>
    <xf numFmtId="0" fontId="1" fillId="4" borderId="47" xfId="14" applyFont="1" applyFill="1" applyBorder="1" applyAlignment="1">
      <alignment horizontal="center" vertical="center" wrapText="1"/>
    </xf>
    <xf numFmtId="0" fontId="1" fillId="4" borderId="47" xfId="14" applyFont="1" applyFill="1" applyBorder="1" applyAlignment="1">
      <alignment horizontal="center" vertical="center"/>
    </xf>
    <xf numFmtId="0" fontId="1" fillId="4" borderId="48" xfId="14" applyFont="1" applyFill="1" applyBorder="1" applyAlignment="1">
      <alignment horizontal="center" vertical="center"/>
    </xf>
    <xf numFmtId="0" fontId="1" fillId="0" borderId="50" xfId="14" applyFont="1" applyBorder="1" applyAlignment="1">
      <alignment horizontal="center" vertical="center" wrapText="1"/>
    </xf>
    <xf numFmtId="0" fontId="1" fillId="0" borderId="51" xfId="14" applyFont="1" applyBorder="1" applyAlignment="1">
      <alignment vertical="center" wrapText="1"/>
    </xf>
    <xf numFmtId="0" fontId="1" fillId="0" borderId="51" xfId="14" applyFont="1" applyBorder="1" applyAlignment="1">
      <alignment horizontal="center" vertical="center" wrapText="1"/>
    </xf>
    <xf numFmtId="0" fontId="1" fillId="0" borderId="51" xfId="14" applyFont="1" applyBorder="1" applyAlignment="1">
      <alignment horizontal="left" vertical="center" wrapText="1"/>
    </xf>
    <xf numFmtId="0" fontId="1" fillId="0" borderId="51" xfId="14" applyFont="1" applyFill="1" applyBorder="1" applyAlignment="1">
      <alignment horizontal="center" vertical="center" wrapText="1"/>
    </xf>
    <xf numFmtId="0" fontId="1" fillId="0" borderId="51" xfId="14" applyFont="1" applyFill="1" applyBorder="1" applyAlignment="1">
      <alignment horizontal="center" vertical="center"/>
    </xf>
    <xf numFmtId="0" fontId="1" fillId="0" borderId="52" xfId="14" applyFont="1" applyFill="1" applyBorder="1" applyAlignment="1">
      <alignment horizontal="center" vertical="center"/>
    </xf>
    <xf numFmtId="0" fontId="1" fillId="0" borderId="40" xfId="14" applyFont="1" applyBorder="1" applyAlignment="1">
      <alignment vertical="center" wrapText="1"/>
    </xf>
    <xf numFmtId="0" fontId="1" fillId="0" borderId="53" xfId="14" applyFont="1" applyBorder="1" applyAlignment="1">
      <alignment horizontal="center" vertical="center" wrapText="1"/>
    </xf>
    <xf numFmtId="0" fontId="1" fillId="0" borderId="51" xfId="1" applyFont="1" applyFill="1" applyBorder="1" applyAlignment="1">
      <alignment horizontal="center" vertical="center"/>
    </xf>
    <xf numFmtId="0" fontId="1" fillId="0" borderId="54" xfId="14" applyFont="1" applyBorder="1" applyAlignment="1">
      <alignment horizontal="center" vertical="center" wrapText="1"/>
    </xf>
    <xf numFmtId="0" fontId="1" fillId="0" borderId="47" xfId="14" applyFont="1" applyFill="1" applyBorder="1" applyAlignment="1">
      <alignment horizontal="center" vertical="center" wrapText="1"/>
    </xf>
    <xf numFmtId="38" fontId="1" fillId="0" borderId="47" xfId="2" applyFont="1" applyFill="1" applyBorder="1" applyAlignment="1">
      <alignment horizontal="center" vertical="center"/>
    </xf>
    <xf numFmtId="38" fontId="1" fillId="0" borderId="48" xfId="2" applyFont="1" applyFill="1" applyBorder="1" applyAlignment="1">
      <alignment horizontal="center" vertical="center"/>
    </xf>
    <xf numFmtId="0" fontId="1" fillId="0" borderId="53" xfId="14" applyFont="1" applyFill="1" applyBorder="1" applyAlignment="1">
      <alignment horizontal="center" vertical="center" wrapText="1"/>
    </xf>
    <xf numFmtId="0" fontId="1" fillId="0" borderId="51" xfId="14" applyFont="1" applyFill="1" applyBorder="1" applyAlignment="1">
      <alignment horizontal="left" vertical="center" wrapText="1"/>
    </xf>
    <xf numFmtId="0" fontId="1" fillId="4" borderId="51" xfId="14" applyFont="1" applyFill="1" applyBorder="1" applyAlignment="1">
      <alignment horizontal="center" vertical="center" wrapText="1"/>
    </xf>
    <xf numFmtId="38" fontId="1" fillId="4" borderId="51" xfId="2" applyFont="1" applyFill="1" applyBorder="1" applyAlignment="1">
      <alignment horizontal="center" vertical="center"/>
    </xf>
    <xf numFmtId="38" fontId="1" fillId="4" borderId="52" xfId="2" applyFont="1" applyFill="1" applyBorder="1" applyAlignment="1">
      <alignment horizontal="center" vertical="center"/>
    </xf>
    <xf numFmtId="0" fontId="1" fillId="0" borderId="55" xfId="14" applyFont="1" applyBorder="1" applyAlignment="1">
      <alignment horizontal="center" vertical="center" wrapText="1"/>
    </xf>
    <xf numFmtId="0" fontId="1" fillId="0" borderId="55" xfId="14" applyFont="1" applyBorder="1" applyAlignment="1">
      <alignment horizontal="left" vertical="center" wrapText="1"/>
    </xf>
    <xf numFmtId="0" fontId="1" fillId="0" borderId="55" xfId="14" applyFont="1" applyFill="1" applyBorder="1" applyAlignment="1">
      <alignment horizontal="center" vertical="center" wrapText="1"/>
    </xf>
    <xf numFmtId="0" fontId="1" fillId="0" borderId="55" xfId="14" applyFont="1" applyFill="1" applyBorder="1" applyAlignment="1">
      <alignment horizontal="left" vertical="center" wrapText="1"/>
    </xf>
    <xf numFmtId="0" fontId="1" fillId="4" borderId="55" xfId="14" applyFont="1" applyFill="1" applyBorder="1" applyAlignment="1">
      <alignment horizontal="center" vertical="center" wrapText="1"/>
    </xf>
    <xf numFmtId="165" fontId="1" fillId="4" borderId="55" xfId="2" applyNumberFormat="1" applyFont="1" applyFill="1" applyBorder="1" applyAlignment="1">
      <alignment horizontal="center" vertical="center"/>
    </xf>
    <xf numFmtId="38" fontId="1" fillId="4" borderId="55" xfId="2" applyFont="1" applyFill="1" applyBorder="1" applyAlignment="1">
      <alignment horizontal="center" vertical="center"/>
    </xf>
    <xf numFmtId="38" fontId="1" fillId="4" borderId="56" xfId="2" applyFont="1" applyFill="1" applyBorder="1" applyAlignment="1">
      <alignment horizontal="center" vertical="center"/>
    </xf>
    <xf numFmtId="0" fontId="1" fillId="0" borderId="44" xfId="14" applyFont="1" applyFill="1" applyBorder="1" applyAlignment="1">
      <alignment horizontal="left" vertical="center" wrapText="1"/>
    </xf>
    <xf numFmtId="38" fontId="1" fillId="0" borderId="44" xfId="15" applyFont="1" applyFill="1" applyBorder="1" applyAlignment="1">
      <alignment horizontal="center" vertical="center"/>
    </xf>
    <xf numFmtId="38" fontId="1" fillId="0" borderId="45" xfId="15" applyFont="1" applyFill="1" applyBorder="1" applyAlignment="1">
      <alignment horizontal="center" vertical="center"/>
    </xf>
    <xf numFmtId="38" fontId="1" fillId="0" borderId="57" xfId="15" applyFont="1" applyFill="1" applyBorder="1" applyAlignment="1">
      <alignment horizontal="center" vertical="center"/>
    </xf>
    <xf numFmtId="38" fontId="1" fillId="0" borderId="51" xfId="15" applyFont="1" applyFill="1" applyBorder="1" applyAlignment="1">
      <alignment horizontal="center" vertical="center"/>
    </xf>
    <xf numFmtId="38" fontId="1" fillId="0" borderId="51" xfId="15" applyFont="1" applyFill="1" applyBorder="1" applyAlignment="1">
      <alignment horizontal="center"/>
    </xf>
    <xf numFmtId="38" fontId="1" fillId="0" borderId="52" xfId="15" applyFont="1" applyFill="1" applyBorder="1" applyAlignment="1">
      <alignment horizontal="center" vertical="center"/>
    </xf>
    <xf numFmtId="0" fontId="1" fillId="0" borderId="53" xfId="14" applyFont="1" applyFill="1" applyBorder="1" applyAlignment="1">
      <alignment vertical="center" wrapText="1"/>
    </xf>
    <xf numFmtId="40" fontId="1" fillId="4" borderId="51" xfId="2" applyNumberFormat="1" applyFont="1" applyFill="1" applyBorder="1" applyAlignment="1">
      <alignment horizontal="center" vertical="center"/>
    </xf>
    <xf numFmtId="40" fontId="1" fillId="4" borderId="52" xfId="2" applyNumberFormat="1" applyFont="1" applyFill="1" applyBorder="1" applyAlignment="1">
      <alignment horizontal="center" vertical="center"/>
    </xf>
    <xf numFmtId="38" fontId="18" fillId="0" borderId="0" xfId="15" applyFont="1" applyFill="1" applyAlignment="1">
      <alignment vertical="center"/>
    </xf>
    <xf numFmtId="0" fontId="1" fillId="0" borderId="40" xfId="14" applyFont="1" applyBorder="1" applyAlignment="1">
      <alignment horizontal="center" vertical="center" wrapText="1"/>
    </xf>
    <xf numFmtId="0" fontId="1" fillId="0" borderId="58" xfId="14" applyFont="1" applyFill="1" applyBorder="1" applyAlignment="1">
      <alignment horizontal="center" vertical="center" wrapText="1"/>
    </xf>
    <xf numFmtId="0" fontId="1" fillId="0" borderId="40" xfId="1" applyFont="1" applyFill="1" applyBorder="1" applyAlignment="1">
      <alignment horizontal="center" vertical="center" wrapText="1"/>
    </xf>
    <xf numFmtId="0" fontId="1" fillId="0" borderId="47" xfId="1" applyFont="1" applyFill="1" applyBorder="1" applyAlignment="1">
      <alignment vertical="center" wrapText="1"/>
    </xf>
    <xf numFmtId="38" fontId="1" fillId="0" borderId="47" xfId="2" applyFont="1" applyFill="1" applyBorder="1" applyAlignment="1">
      <alignment horizontal="center" vertical="center" wrapText="1"/>
    </xf>
    <xf numFmtId="38" fontId="1" fillId="0" borderId="48" xfId="2" applyFont="1" applyFill="1" applyBorder="1" applyAlignment="1">
      <alignment horizontal="center" vertical="center" wrapText="1"/>
    </xf>
    <xf numFmtId="0" fontId="1" fillId="0" borderId="0" xfId="1" applyFont="1" applyFill="1" applyAlignment="1">
      <alignment horizontal="right"/>
    </xf>
    <xf numFmtId="0" fontId="1" fillId="0" borderId="58" xfId="1" applyFont="1" applyFill="1" applyBorder="1" applyAlignment="1">
      <alignment horizontal="center" vertical="center" wrapText="1"/>
    </xf>
    <xf numFmtId="0" fontId="1" fillId="0" borderId="51" xfId="1" applyFont="1" applyFill="1" applyBorder="1" applyAlignment="1">
      <alignment horizontal="left" vertical="center" wrapText="1"/>
    </xf>
    <xf numFmtId="38" fontId="1" fillId="4" borderId="51" xfId="2" applyFont="1" applyFill="1" applyBorder="1" applyAlignment="1">
      <alignment horizontal="center" vertical="center" wrapText="1"/>
    </xf>
    <xf numFmtId="38" fontId="1" fillId="4" borderId="52" xfId="2" applyFont="1" applyFill="1" applyBorder="1" applyAlignment="1">
      <alignment horizontal="center" vertical="center" wrapText="1"/>
    </xf>
    <xf numFmtId="166" fontId="1" fillId="4" borderId="59" xfId="2" applyNumberFormat="1" applyFont="1" applyFill="1" applyBorder="1" applyAlignment="1">
      <alignment horizontal="center" vertical="center"/>
    </xf>
    <xf numFmtId="166" fontId="1" fillId="4" borderId="47" xfId="2" applyNumberFormat="1" applyFont="1" applyFill="1" applyBorder="1" applyAlignment="1">
      <alignment horizontal="center" vertical="center"/>
    </xf>
    <xf numFmtId="166" fontId="1" fillId="4" borderId="48" xfId="2" applyNumberFormat="1" applyFont="1" applyFill="1" applyBorder="1" applyAlignment="1">
      <alignment horizontal="center" vertical="center"/>
    </xf>
    <xf numFmtId="166" fontId="1" fillId="4" borderId="57" xfId="2" applyNumberFormat="1" applyFont="1" applyFill="1" applyBorder="1" applyAlignment="1">
      <alignment horizontal="center" vertical="center"/>
    </xf>
    <xf numFmtId="166" fontId="1" fillId="4" borderId="51" xfId="2" applyNumberFormat="1" applyFont="1" applyFill="1" applyBorder="1" applyAlignment="1">
      <alignment horizontal="center" vertical="center"/>
    </xf>
    <xf numFmtId="166" fontId="1" fillId="4" borderId="52" xfId="2" applyNumberFormat="1" applyFont="1" applyFill="1" applyBorder="1" applyAlignment="1">
      <alignment horizontal="center" vertical="center"/>
    </xf>
    <xf numFmtId="0" fontId="1" fillId="0" borderId="54" xfId="14" applyFont="1" applyFill="1" applyBorder="1" applyAlignment="1">
      <alignment horizontal="center" vertical="center" wrapText="1"/>
    </xf>
    <xf numFmtId="0" fontId="1" fillId="4" borderId="44" xfId="14" applyFont="1" applyFill="1" applyBorder="1" applyAlignment="1">
      <alignment horizontal="center" vertical="center" wrapText="1"/>
    </xf>
    <xf numFmtId="40" fontId="1" fillId="4" borderId="60" xfId="2" applyNumberFormat="1" applyFont="1" applyFill="1" applyBorder="1" applyAlignment="1">
      <alignment horizontal="center" vertical="center"/>
    </xf>
    <xf numFmtId="40" fontId="1" fillId="4" borderId="44" xfId="2" applyNumberFormat="1" applyFont="1" applyFill="1" applyBorder="1" applyAlignment="1">
      <alignment horizontal="center" vertical="center"/>
    </xf>
    <xf numFmtId="166" fontId="1" fillId="4" borderId="44" xfId="2" applyNumberFormat="1" applyFont="1" applyFill="1" applyBorder="1" applyAlignment="1">
      <alignment horizontal="center" vertical="center"/>
    </xf>
    <xf numFmtId="166" fontId="1" fillId="4" borderId="45" xfId="2" applyNumberFormat="1" applyFont="1" applyFill="1" applyBorder="1" applyAlignment="1">
      <alignment horizontal="center" vertical="center"/>
    </xf>
    <xf numFmtId="0" fontId="1" fillId="0" borderId="61" xfId="14" applyFont="1" applyFill="1" applyBorder="1" applyAlignment="1">
      <alignment horizontal="left" vertical="center" wrapText="1"/>
    </xf>
    <xf numFmtId="0" fontId="1" fillId="4" borderId="61" xfId="14" applyFont="1" applyFill="1" applyBorder="1" applyAlignment="1">
      <alignment horizontal="center" vertical="center" wrapText="1"/>
    </xf>
    <xf numFmtId="40" fontId="1" fillId="4" borderId="57" xfId="2" applyNumberFormat="1" applyFont="1" applyFill="1" applyBorder="1" applyAlignment="1">
      <alignment horizontal="center" vertical="center"/>
    </xf>
    <xf numFmtId="0" fontId="1" fillId="0" borderId="54" xfId="14" applyFont="1" applyFill="1" applyBorder="1" applyAlignment="1">
      <alignment horizontal="left" vertical="center" wrapText="1"/>
    </xf>
    <xf numFmtId="38" fontId="1" fillId="0" borderId="54" xfId="2" applyFont="1" applyFill="1" applyBorder="1" applyAlignment="1">
      <alignment horizontal="center" vertical="center"/>
    </xf>
    <xf numFmtId="38" fontId="1" fillId="0" borderId="62" xfId="2" applyFont="1" applyFill="1" applyBorder="1" applyAlignment="1">
      <alignment horizontal="center" vertical="center"/>
    </xf>
    <xf numFmtId="0" fontId="1" fillId="0" borderId="47" xfId="14" applyFont="1" applyFill="1" applyBorder="1" applyAlignment="1">
      <alignment horizontal="left" vertical="center" wrapText="1"/>
    </xf>
    <xf numFmtId="0" fontId="1" fillId="7" borderId="63" xfId="1" applyFont="1" applyFill="1" applyBorder="1" applyAlignment="1">
      <alignment horizontal="center" vertical="center"/>
    </xf>
    <xf numFmtId="0" fontId="1" fillId="7" borderId="44" xfId="14" applyFont="1" applyFill="1" applyBorder="1" applyAlignment="1">
      <alignment vertical="center" wrapText="1"/>
    </xf>
    <xf numFmtId="38" fontId="1" fillId="7" borderId="44" xfId="2" applyFont="1" applyFill="1" applyBorder="1" applyAlignment="1">
      <alignment horizontal="center" vertical="center"/>
    </xf>
    <xf numFmtId="0" fontId="1" fillId="7" borderId="64" xfId="1" applyFont="1" applyFill="1" applyBorder="1" applyAlignment="1">
      <alignment horizontal="center" vertical="center"/>
    </xf>
    <xf numFmtId="0" fontId="1" fillId="7" borderId="47" xfId="1" applyFont="1" applyFill="1" applyBorder="1" applyAlignment="1">
      <alignment vertical="center" wrapText="1"/>
    </xf>
    <xf numFmtId="0" fontId="1" fillId="7" borderId="47" xfId="14" applyFont="1" applyFill="1" applyBorder="1" applyAlignment="1">
      <alignment horizontal="center" vertical="center" wrapText="1"/>
    </xf>
    <xf numFmtId="0" fontId="1" fillId="7" borderId="65" xfId="1" applyFont="1" applyFill="1" applyBorder="1" applyAlignment="1">
      <alignment horizontal="center" vertical="center"/>
    </xf>
    <xf numFmtId="0" fontId="1" fillId="7" borderId="51" xfId="14" applyFont="1" applyFill="1" applyBorder="1" applyAlignment="1">
      <alignment vertical="center" wrapText="1"/>
    </xf>
    <xf numFmtId="0" fontId="1" fillId="7" borderId="51" xfId="14" applyFont="1" applyFill="1" applyBorder="1" applyAlignment="1">
      <alignment horizontal="left" vertical="center" wrapText="1"/>
    </xf>
    <xf numFmtId="0" fontId="1" fillId="7" borderId="51" xfId="14" applyFont="1" applyFill="1" applyBorder="1" applyAlignment="1">
      <alignment horizontal="center" vertical="center" wrapText="1"/>
    </xf>
    <xf numFmtId="38" fontId="1" fillId="7" borderId="51" xfId="2" applyFont="1" applyFill="1" applyBorder="1" applyAlignment="1">
      <alignment horizontal="center" vertical="center"/>
    </xf>
    <xf numFmtId="0" fontId="1" fillId="7" borderId="66" xfId="1" applyFont="1" applyFill="1" applyBorder="1" applyAlignment="1">
      <alignment horizontal="center" vertical="center"/>
    </xf>
    <xf numFmtId="0" fontId="1" fillId="7" borderId="54" xfId="14" applyFont="1" applyFill="1" applyBorder="1" applyAlignment="1">
      <alignment vertical="center" wrapText="1"/>
    </xf>
    <xf numFmtId="0" fontId="1" fillId="7" borderId="54" xfId="14" applyFont="1" applyFill="1" applyBorder="1" applyAlignment="1">
      <alignment horizontal="left" vertical="center" wrapText="1"/>
    </xf>
    <xf numFmtId="0" fontId="1" fillId="7" borderId="54" xfId="14" applyFont="1" applyFill="1" applyBorder="1" applyAlignment="1">
      <alignment horizontal="center" vertical="center" wrapText="1"/>
    </xf>
    <xf numFmtId="0" fontId="1" fillId="7" borderId="59" xfId="1" applyFont="1" applyFill="1" applyBorder="1" applyAlignment="1">
      <alignment horizontal="center" vertical="center"/>
    </xf>
    <xf numFmtId="0" fontId="1" fillId="7" borderId="47" xfId="1" applyFont="1" applyFill="1" applyBorder="1" applyAlignment="1">
      <alignment horizontal="left" vertical="center" wrapText="1"/>
    </xf>
    <xf numFmtId="0" fontId="1" fillId="7" borderId="57" xfId="1" applyFont="1" applyFill="1" applyBorder="1" applyAlignment="1">
      <alignment horizontal="center" vertical="center"/>
    </xf>
    <xf numFmtId="0" fontId="1" fillId="7" borderId="63" xfId="14" applyFont="1" applyFill="1" applyBorder="1" applyAlignment="1">
      <alignment horizontal="center" vertical="center" wrapText="1"/>
    </xf>
    <xf numFmtId="0" fontId="1" fillId="7" borderId="64" xfId="14" applyFont="1" applyFill="1" applyBorder="1" applyAlignment="1">
      <alignment horizontal="center" vertical="center" wrapText="1"/>
    </xf>
    <xf numFmtId="0" fontId="1" fillId="7" borderId="65" xfId="14" applyFont="1" applyFill="1" applyBorder="1" applyAlignment="1">
      <alignment horizontal="center" vertical="center" wrapText="1"/>
    </xf>
    <xf numFmtId="166" fontId="1" fillId="4" borderId="58" xfId="2" applyNumberFormat="1" applyFont="1" applyFill="1" applyBorder="1" applyAlignment="1">
      <alignment horizontal="center" vertical="center"/>
    </xf>
    <xf numFmtId="38" fontId="1" fillId="7" borderId="70" xfId="2" applyFont="1" applyFill="1" applyBorder="1" applyAlignment="1">
      <alignment horizontal="center" vertical="center"/>
    </xf>
    <xf numFmtId="38" fontId="1" fillId="7" borderId="71" xfId="2" applyFont="1" applyFill="1" applyBorder="1" applyAlignment="1">
      <alignment horizontal="center" vertical="center"/>
    </xf>
    <xf numFmtId="38" fontId="1" fillId="7" borderId="72" xfId="2" applyFont="1" applyFill="1" applyBorder="1" applyAlignment="1">
      <alignment horizontal="center" vertical="center"/>
    </xf>
    <xf numFmtId="0" fontId="0" fillId="0" borderId="0" xfId="0" applyNumberFormat="1" applyBorder="1">
      <alignment vertical="center"/>
    </xf>
    <xf numFmtId="0" fontId="1" fillId="0" borderId="0" xfId="1" applyFont="1" applyFill="1" applyBorder="1" applyAlignment="1">
      <alignment horizontal="righ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167" fontId="0" fillId="0" borderId="0" xfId="17" applyNumberFormat="1" applyFont="1" applyBorder="1" applyAlignment="1">
      <alignment horizontal="center" vertical="center"/>
    </xf>
    <xf numFmtId="0" fontId="0" fillId="0" borderId="0" xfId="0" applyNumberFormat="1" applyFill="1" applyBorder="1">
      <alignment vertical="center"/>
    </xf>
    <xf numFmtId="0" fontId="1" fillId="0" borderId="73" xfId="7" applyFont="1" applyFill="1" applyBorder="1" applyAlignment="1">
      <alignment horizontal="center" vertical="center"/>
    </xf>
    <xf numFmtId="0" fontId="1" fillId="0" borderId="5" xfId="7" applyFont="1" applyBorder="1" applyAlignment="1">
      <alignment horizontal="center" vertical="center" wrapText="1"/>
    </xf>
    <xf numFmtId="167" fontId="0" fillId="0" borderId="0" xfId="17" applyNumberFormat="1" applyFont="1" applyAlignment="1">
      <alignment vertical="center"/>
    </xf>
    <xf numFmtId="0" fontId="0" fillId="0" borderId="0" xfId="0" applyNumberFormat="1" applyFill="1" applyBorder="1" applyAlignment="1">
      <alignment horizontal="center" vertical="center"/>
    </xf>
    <xf numFmtId="38" fontId="11" fillId="0" borderId="0" xfId="8" applyFont="1" applyBorder="1">
      <alignment vertical="center"/>
    </xf>
    <xf numFmtId="167" fontId="1" fillId="3" borderId="0" xfId="17" applyNumberFormat="1" applyFont="1" applyFill="1" applyBorder="1" applyAlignment="1">
      <alignment horizontal="center" vertical="center"/>
    </xf>
    <xf numFmtId="167" fontId="1" fillId="0" borderId="0" xfId="17" applyNumberFormat="1" applyFont="1" applyFill="1" applyBorder="1" applyAlignment="1">
      <alignment horizontal="center" vertical="center"/>
    </xf>
    <xf numFmtId="167" fontId="0" fillId="0" borderId="0" xfId="17" applyNumberFormat="1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167" fontId="0" fillId="0" borderId="0" xfId="17" applyNumberFormat="1" applyFont="1" applyFill="1" applyBorder="1" applyAlignment="1">
      <alignment vertical="center"/>
    </xf>
    <xf numFmtId="167" fontId="1" fillId="0" borderId="0" xfId="17" applyNumberFormat="1" applyFont="1" applyFill="1" applyAlignment="1">
      <alignment horizontal="center" vertical="center"/>
    </xf>
    <xf numFmtId="167" fontId="0" fillId="0" borderId="0" xfId="17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7" fontId="1" fillId="0" borderId="5" xfId="7" applyNumberFormat="1" applyFont="1" applyFill="1" applyBorder="1" applyAlignment="1">
      <alignment horizontal="center" vertical="center"/>
    </xf>
    <xf numFmtId="167" fontId="1" fillId="3" borderId="5" xfId="7" applyNumberFormat="1" applyFont="1" applyFill="1" applyBorder="1" applyAlignment="1">
      <alignment horizontal="center" vertical="center"/>
    </xf>
    <xf numFmtId="167" fontId="1" fillId="0" borderId="4" xfId="7" applyNumberFormat="1" applyFont="1" applyFill="1" applyBorder="1" applyAlignment="1">
      <alignment horizontal="center" vertical="center"/>
    </xf>
    <xf numFmtId="38" fontId="1" fillId="7" borderId="55" xfId="2" applyFont="1" applyFill="1" applyBorder="1" applyAlignment="1">
      <alignment horizontal="center" vertical="center"/>
    </xf>
    <xf numFmtId="0" fontId="1" fillId="0" borderId="0" xfId="1" applyFont="1" applyBorder="1">
      <alignment vertical="center"/>
    </xf>
    <xf numFmtId="0" fontId="0" fillId="0" borderId="0" xfId="17" applyNumberFormat="1" applyFont="1" applyFill="1" applyBorder="1" applyAlignment="1">
      <alignment horizontal="center" vertical="center"/>
    </xf>
    <xf numFmtId="0" fontId="0" fillId="0" borderId="74" xfId="0" applyFill="1" applyBorder="1">
      <alignment vertical="center"/>
    </xf>
    <xf numFmtId="0" fontId="0" fillId="0" borderId="75" xfId="0" applyFill="1" applyBorder="1">
      <alignment vertical="center"/>
    </xf>
    <xf numFmtId="0" fontId="0" fillId="0" borderId="76" xfId="0" applyFill="1" applyBorder="1">
      <alignment vertical="center"/>
    </xf>
    <xf numFmtId="0" fontId="0" fillId="0" borderId="77" xfId="0" applyFill="1" applyBorder="1">
      <alignment vertical="center"/>
    </xf>
    <xf numFmtId="0" fontId="0" fillId="0" borderId="0" xfId="0" applyFill="1">
      <alignment vertical="center"/>
    </xf>
    <xf numFmtId="0" fontId="1" fillId="4" borderId="78" xfId="7" applyFont="1" applyFill="1" applyBorder="1">
      <alignment vertical="center"/>
    </xf>
    <xf numFmtId="10" fontId="1" fillId="4" borderId="79" xfId="7" applyNumberFormat="1" applyFont="1" applyFill="1" applyBorder="1" applyAlignment="1">
      <alignment horizontal="center" vertical="center"/>
    </xf>
    <xf numFmtId="0" fontId="1" fillId="0" borderId="80" xfId="7" applyFont="1" applyFill="1" applyBorder="1" applyAlignment="1">
      <alignment horizontal="center" vertical="center"/>
    </xf>
    <xf numFmtId="38" fontId="11" fillId="4" borderId="31" xfId="8" applyFont="1" applyFill="1" applyBorder="1">
      <alignment vertical="center"/>
    </xf>
    <xf numFmtId="0" fontId="1" fillId="0" borderId="82" xfId="7" applyFont="1" applyBorder="1">
      <alignment vertical="center"/>
    </xf>
    <xf numFmtId="0" fontId="1" fillId="0" borderId="81" xfId="7" applyFont="1" applyBorder="1">
      <alignment vertical="center"/>
    </xf>
    <xf numFmtId="10" fontId="11" fillId="4" borderId="31" xfId="8" applyNumberFormat="1" applyFont="1" applyFill="1" applyBorder="1">
      <alignment vertical="center"/>
    </xf>
    <xf numFmtId="10" fontId="11" fillId="4" borderId="32" xfId="8" applyNumberFormat="1" applyFont="1" applyFill="1" applyBorder="1">
      <alignment vertical="center"/>
    </xf>
    <xf numFmtId="0" fontId="11" fillId="3" borderId="14" xfId="7" applyFont="1" applyFill="1" applyBorder="1" applyAlignment="1">
      <alignment horizontal="center" vertical="center"/>
    </xf>
    <xf numFmtId="0" fontId="1" fillId="4" borderId="86" xfId="7" applyFont="1" applyFill="1" applyBorder="1">
      <alignment vertical="center"/>
    </xf>
    <xf numFmtId="0" fontId="1" fillId="0" borderId="87" xfId="7" applyFont="1" applyFill="1" applyBorder="1" applyAlignment="1">
      <alignment horizontal="center" vertical="center"/>
    </xf>
    <xf numFmtId="0" fontId="1" fillId="0" borderId="88" xfId="7" applyFont="1" applyFill="1" applyBorder="1" applyAlignment="1">
      <alignment horizontal="center" vertical="center"/>
    </xf>
    <xf numFmtId="0" fontId="1" fillId="4" borderId="89" xfId="7" applyFont="1" applyFill="1" applyBorder="1" applyAlignment="1">
      <alignment vertical="center"/>
    </xf>
    <xf numFmtId="0" fontId="1" fillId="4" borderId="90" xfId="7" applyFont="1" applyFill="1" applyBorder="1" applyAlignment="1">
      <alignment vertical="center"/>
    </xf>
    <xf numFmtId="0" fontId="1" fillId="0" borderId="92" xfId="7" applyFont="1" applyBorder="1">
      <alignment vertical="center"/>
    </xf>
    <xf numFmtId="0" fontId="1" fillId="0" borderId="93" xfId="7" applyFont="1" applyFill="1" applyBorder="1" applyAlignment="1">
      <alignment horizontal="center" vertical="center"/>
    </xf>
    <xf numFmtId="0" fontId="1" fillId="0" borderId="94" xfId="7" applyFont="1" applyBorder="1">
      <alignment vertical="center"/>
    </xf>
    <xf numFmtId="0" fontId="1" fillId="4" borderId="95" xfId="7" applyFont="1" applyFill="1" applyBorder="1">
      <alignment vertical="center"/>
    </xf>
    <xf numFmtId="0" fontId="1" fillId="0" borderId="96" xfId="7" applyFont="1" applyFill="1" applyBorder="1" applyAlignment="1">
      <alignment horizontal="center" vertical="center"/>
    </xf>
    <xf numFmtId="10" fontId="1" fillId="4" borderId="91" xfId="7" applyNumberFormat="1" applyFont="1" applyFill="1" applyBorder="1" applyAlignment="1">
      <alignment vertical="center"/>
    </xf>
    <xf numFmtId="10" fontId="11" fillId="4" borderId="33" xfId="8" applyNumberFormat="1" applyFont="1" applyFill="1" applyBorder="1">
      <alignment vertical="center"/>
    </xf>
    <xf numFmtId="38" fontId="11" fillId="0" borderId="68" xfId="8" applyFont="1" applyFill="1" applyBorder="1" applyAlignment="1">
      <alignment horizontal="center" vertical="center"/>
    </xf>
    <xf numFmtId="38" fontId="11" fillId="0" borderId="67" xfId="8" applyFont="1" applyFill="1" applyBorder="1" applyAlignment="1">
      <alignment horizontal="center" vertical="center"/>
    </xf>
    <xf numFmtId="38" fontId="11" fillId="0" borderId="69" xfId="8" applyFont="1" applyFill="1" applyBorder="1" applyAlignment="1">
      <alignment horizontal="center" vertical="center"/>
    </xf>
    <xf numFmtId="38" fontId="11" fillId="0" borderId="23" xfId="8" applyFont="1" applyFill="1" applyBorder="1" applyAlignment="1">
      <alignment horizontal="center" vertical="center"/>
    </xf>
    <xf numFmtId="38" fontId="11" fillId="0" borderId="24" xfId="8" applyFont="1" applyFill="1" applyBorder="1" applyAlignment="1">
      <alignment horizontal="center" vertical="center"/>
    </xf>
    <xf numFmtId="38" fontId="11" fillId="0" borderId="25" xfId="8" applyFont="1" applyFill="1" applyBorder="1" applyAlignment="1">
      <alignment horizontal="center" vertical="center"/>
    </xf>
    <xf numFmtId="0" fontId="1" fillId="0" borderId="1" xfId="7" applyFont="1" applyBorder="1" applyAlignment="1">
      <alignment horizontal="center" vertical="center"/>
    </xf>
    <xf numFmtId="0" fontId="1" fillId="0" borderId="2" xfId="7" applyFont="1" applyBorder="1" applyAlignment="1">
      <alignment horizontal="center" vertical="center"/>
    </xf>
    <xf numFmtId="0" fontId="1" fillId="0" borderId="3" xfId="7" applyFont="1" applyBorder="1" applyAlignment="1">
      <alignment horizontal="center" vertical="center"/>
    </xf>
    <xf numFmtId="38" fontId="11" fillId="0" borderId="68" xfId="8" applyFont="1" applyBorder="1" applyAlignment="1">
      <alignment horizontal="center" vertical="center"/>
    </xf>
    <xf numFmtId="38" fontId="11" fillId="0" borderId="67" xfId="8" applyFont="1" applyBorder="1" applyAlignment="1">
      <alignment horizontal="center" vertical="center"/>
    </xf>
    <xf numFmtId="38" fontId="11" fillId="0" borderId="69" xfId="8" applyFont="1" applyBorder="1" applyAlignment="1">
      <alignment horizontal="center" vertical="center"/>
    </xf>
    <xf numFmtId="38" fontId="1" fillId="0" borderId="68" xfId="8" applyFont="1" applyBorder="1" applyAlignment="1">
      <alignment horizontal="center" vertical="center"/>
    </xf>
    <xf numFmtId="38" fontId="1" fillId="0" borderId="67" xfId="8" applyFont="1" applyBorder="1" applyAlignment="1">
      <alignment horizontal="center" vertical="center"/>
    </xf>
    <xf numFmtId="38" fontId="1" fillId="0" borderId="69" xfId="8" applyFont="1" applyBorder="1" applyAlignment="1">
      <alignment horizontal="center" vertical="center"/>
    </xf>
    <xf numFmtId="38" fontId="11" fillId="0" borderId="34" xfId="8" applyFont="1" applyBorder="1" applyAlignment="1">
      <alignment horizontal="center" vertical="center"/>
    </xf>
    <xf numFmtId="38" fontId="11" fillId="0" borderId="35" xfId="8" applyFont="1" applyBorder="1" applyAlignment="1">
      <alignment horizontal="center" vertical="center"/>
    </xf>
    <xf numFmtId="38" fontId="11" fillId="0" borderId="36" xfId="8" applyFont="1" applyBorder="1" applyAlignment="1">
      <alignment horizontal="center" vertical="center"/>
    </xf>
    <xf numFmtId="38" fontId="11" fillId="0" borderId="26" xfId="8" applyFont="1" applyBorder="1" applyAlignment="1">
      <alignment horizontal="center" vertical="center"/>
    </xf>
    <xf numFmtId="38" fontId="11" fillId="0" borderId="24" xfId="8" applyFont="1" applyBorder="1" applyAlignment="1">
      <alignment horizontal="center" vertical="center"/>
    </xf>
    <xf numFmtId="38" fontId="11" fillId="0" borderId="27" xfId="8" applyFont="1" applyBorder="1" applyAlignment="1">
      <alignment horizontal="center" vertical="center"/>
    </xf>
    <xf numFmtId="38" fontId="11" fillId="0" borderId="23" xfId="8" applyFont="1" applyBorder="1" applyAlignment="1">
      <alignment horizontal="center" vertical="center"/>
    </xf>
    <xf numFmtId="38" fontId="11" fillId="0" borderId="25" xfId="8" applyFont="1" applyBorder="1" applyAlignment="1">
      <alignment horizontal="center" vertical="center"/>
    </xf>
    <xf numFmtId="38" fontId="24" fillId="0" borderId="23" xfId="8" applyFont="1" applyBorder="1" applyAlignment="1">
      <alignment horizontal="center" vertical="center"/>
    </xf>
    <xf numFmtId="38" fontId="24" fillId="0" borderId="24" xfId="8" applyFont="1" applyBorder="1" applyAlignment="1">
      <alignment horizontal="center" vertical="center"/>
    </xf>
    <xf numFmtId="38" fontId="24" fillId="0" borderId="25" xfId="8" applyFont="1" applyBorder="1" applyAlignment="1">
      <alignment horizontal="center" vertical="center"/>
    </xf>
    <xf numFmtId="0" fontId="1" fillId="3" borderId="1" xfId="7" applyFont="1" applyFill="1" applyBorder="1" applyAlignment="1">
      <alignment horizontal="center" vertical="center"/>
    </xf>
    <xf numFmtId="0" fontId="1" fillId="3" borderId="2" xfId="7" applyFont="1" applyFill="1" applyBorder="1" applyAlignment="1">
      <alignment horizontal="center" vertical="center"/>
    </xf>
    <xf numFmtId="0" fontId="1" fillId="3" borderId="3" xfId="7" applyFont="1" applyFill="1" applyBorder="1" applyAlignment="1">
      <alignment horizontal="center" vertical="center"/>
    </xf>
    <xf numFmtId="0" fontId="1" fillId="0" borderId="1" xfId="7" applyFont="1" applyFill="1" applyBorder="1" applyAlignment="1">
      <alignment horizontal="center" vertical="center"/>
    </xf>
    <xf numFmtId="0" fontId="1" fillId="0" borderId="2" xfId="7" applyFont="1" applyFill="1" applyBorder="1" applyAlignment="1">
      <alignment horizontal="center" vertical="center"/>
    </xf>
    <xf numFmtId="0" fontId="1" fillId="0" borderId="3" xfId="7" applyFont="1" applyFill="1" applyBorder="1" applyAlignment="1">
      <alignment horizontal="center" vertical="center"/>
    </xf>
    <xf numFmtId="38" fontId="24" fillId="0" borderId="68" xfId="8" applyFont="1" applyBorder="1" applyAlignment="1">
      <alignment horizontal="center" vertical="center"/>
    </xf>
    <xf numFmtId="38" fontId="24" fillId="0" borderId="67" xfId="8" applyFont="1" applyBorder="1" applyAlignment="1">
      <alignment horizontal="center" vertical="center"/>
    </xf>
    <xf numFmtId="38" fontId="24" fillId="0" borderId="69" xfId="8" applyFont="1" applyBorder="1" applyAlignment="1">
      <alignment horizontal="center" vertical="center"/>
    </xf>
    <xf numFmtId="0" fontId="5" fillId="0" borderId="8" xfId="7" applyFont="1" applyBorder="1" applyAlignment="1">
      <alignment horizontal="center" vertical="center"/>
    </xf>
    <xf numFmtId="0" fontId="1" fillId="0" borderId="9" xfId="7" applyFont="1" applyBorder="1" applyAlignment="1">
      <alignment horizontal="center" vertical="center"/>
    </xf>
    <xf numFmtId="0" fontId="1" fillId="0" borderId="10" xfId="7" applyFont="1" applyBorder="1" applyAlignment="1">
      <alignment horizontal="center" vertical="center"/>
    </xf>
    <xf numFmtId="38" fontId="11" fillId="3" borderId="23" xfId="8" applyFont="1" applyFill="1" applyBorder="1" applyAlignment="1">
      <alignment horizontal="center" vertical="center"/>
    </xf>
    <xf numFmtId="38" fontId="11" fillId="3" borderId="24" xfId="8" applyFont="1" applyFill="1" applyBorder="1" applyAlignment="1">
      <alignment horizontal="center" vertical="center"/>
    </xf>
    <xf numFmtId="38" fontId="11" fillId="3" borderId="25" xfId="8" applyFont="1" applyFill="1" applyBorder="1" applyAlignment="1">
      <alignment horizontal="center" vertical="center"/>
    </xf>
    <xf numFmtId="38" fontId="24" fillId="0" borderId="23" xfId="8" applyFont="1" applyFill="1" applyBorder="1" applyAlignment="1">
      <alignment horizontal="center" vertical="center"/>
    </xf>
    <xf numFmtId="38" fontId="24" fillId="0" borderId="24" xfId="8" applyFont="1" applyFill="1" applyBorder="1" applyAlignment="1">
      <alignment horizontal="center" vertical="center"/>
    </xf>
    <xf numFmtId="38" fontId="24" fillId="0" borderId="25" xfId="8" applyFont="1" applyFill="1" applyBorder="1" applyAlignment="1">
      <alignment horizontal="center" vertical="center"/>
    </xf>
    <xf numFmtId="0" fontId="23" fillId="0" borderId="1" xfId="16" applyFont="1" applyFill="1" applyBorder="1" applyAlignment="1">
      <alignment horizontal="center" vertical="center"/>
    </xf>
    <xf numFmtId="38" fontId="11" fillId="0" borderId="84" xfId="8" applyFont="1" applyFill="1" applyBorder="1" applyAlignment="1">
      <alignment horizontal="center" vertical="center"/>
    </xf>
    <xf numFmtId="38" fontId="11" fillId="0" borderId="85" xfId="8" applyFont="1" applyFill="1" applyBorder="1" applyAlignment="1">
      <alignment horizontal="center" vertical="center"/>
    </xf>
    <xf numFmtId="38" fontId="11" fillId="0" borderId="83" xfId="8" applyFont="1" applyFill="1" applyBorder="1" applyAlignment="1">
      <alignment horizontal="center" vertical="center"/>
    </xf>
    <xf numFmtId="0" fontId="4" fillId="0" borderId="37" xfId="14" applyFont="1" applyBorder="1" applyAlignment="1">
      <alignment horizontal="center" vertical="center" wrapText="1"/>
    </xf>
    <xf numFmtId="0" fontId="1" fillId="0" borderId="43" xfId="14" applyFont="1" applyBorder="1" applyAlignment="1">
      <alignment horizontal="center" vertical="center" wrapText="1"/>
    </xf>
    <xf numFmtId="0" fontId="1" fillId="0" borderId="46" xfId="14" applyFont="1" applyBorder="1" applyAlignment="1">
      <alignment horizontal="center" vertical="center" wrapText="1"/>
    </xf>
    <xf numFmtId="0" fontId="1" fillId="0" borderId="49" xfId="14" applyFont="1" applyBorder="1" applyAlignment="1">
      <alignment horizontal="center" vertical="center" wrapText="1"/>
    </xf>
    <xf numFmtId="0" fontId="1" fillId="0" borderId="2" xfId="14" applyFont="1" applyBorder="1" applyAlignment="1">
      <alignment horizontal="center" vertical="center" wrapText="1"/>
    </xf>
    <xf numFmtId="0" fontId="1" fillId="0" borderId="3" xfId="14" applyFont="1" applyBorder="1" applyAlignment="1">
      <alignment horizontal="center" vertical="center" wrapText="1"/>
    </xf>
    <xf numFmtId="0" fontId="1" fillId="0" borderId="40" xfId="14" applyFont="1" applyBorder="1" applyAlignment="1">
      <alignment horizontal="left" vertical="center" wrapText="1"/>
    </xf>
    <xf numFmtId="0" fontId="1" fillId="0" borderId="53" xfId="14" applyFont="1" applyBorder="1" applyAlignment="1">
      <alignment horizontal="left" vertical="center" wrapText="1"/>
    </xf>
    <xf numFmtId="0" fontId="1" fillId="0" borderId="44" xfId="14" applyFont="1" applyBorder="1" applyAlignment="1">
      <alignment horizontal="left" vertical="center" wrapText="1"/>
    </xf>
    <xf numFmtId="0" fontId="1" fillId="0" borderId="51" xfId="14" applyFont="1" applyBorder="1" applyAlignment="1">
      <alignment horizontal="left" vertical="center" wrapText="1"/>
    </xf>
    <xf numFmtId="0" fontId="1" fillId="0" borderId="44" xfId="14" applyFont="1" applyBorder="1" applyAlignment="1">
      <alignment horizontal="center" vertical="center" wrapText="1"/>
    </xf>
    <xf numFmtId="0" fontId="1" fillId="0" borderId="51" xfId="14" applyFont="1" applyBorder="1" applyAlignment="1">
      <alignment horizontal="center" vertical="center" wrapText="1"/>
    </xf>
    <xf numFmtId="0" fontId="1" fillId="7" borderId="1" xfId="14" applyFont="1" applyFill="1" applyBorder="1" applyAlignment="1">
      <alignment horizontal="center" vertical="center" wrapText="1"/>
    </xf>
    <xf numFmtId="0" fontId="1" fillId="7" borderId="2" xfId="14" applyFont="1" applyFill="1" applyBorder="1" applyAlignment="1">
      <alignment horizontal="center" vertical="center" wrapText="1"/>
    </xf>
    <xf numFmtId="0" fontId="1" fillId="7" borderId="3" xfId="14" applyFont="1" applyFill="1" applyBorder="1" applyAlignment="1">
      <alignment horizontal="center" vertical="center" wrapText="1"/>
    </xf>
    <xf numFmtId="0" fontId="1" fillId="7" borderId="40" xfId="14" applyFont="1" applyFill="1" applyBorder="1" applyAlignment="1">
      <alignment horizontal="center" vertical="center" wrapText="1"/>
    </xf>
    <xf numFmtId="0" fontId="1" fillId="7" borderId="55" xfId="14" applyFont="1" applyFill="1" applyBorder="1" applyAlignment="1">
      <alignment horizontal="center" vertical="center" wrapText="1"/>
    </xf>
    <xf numFmtId="0" fontId="1" fillId="7" borderId="53" xfId="14" applyFont="1" applyFill="1" applyBorder="1" applyAlignment="1">
      <alignment horizontal="center" vertical="center" wrapText="1"/>
    </xf>
    <xf numFmtId="0" fontId="1" fillId="0" borderId="40" xfId="1" applyFont="1" applyFill="1" applyBorder="1" applyAlignment="1">
      <alignment horizontal="left" vertical="center" wrapText="1"/>
    </xf>
    <xf numFmtId="0" fontId="1" fillId="0" borderId="53" xfId="1" applyFont="1" applyFill="1" applyBorder="1" applyAlignment="1">
      <alignment horizontal="left" vertical="center" wrapText="1"/>
    </xf>
    <xf numFmtId="0" fontId="1" fillId="0" borderId="40" xfId="14" applyFont="1" applyFill="1" applyBorder="1" applyAlignment="1">
      <alignment horizontal="left" vertical="center" wrapText="1"/>
    </xf>
    <xf numFmtId="0" fontId="1" fillId="0" borderId="53" xfId="14" applyFont="1" applyFill="1" applyBorder="1" applyAlignment="1">
      <alignment horizontal="left" vertical="center" wrapText="1"/>
    </xf>
    <xf numFmtId="0" fontId="1" fillId="0" borderId="40" xfId="14" applyFont="1" applyFill="1" applyBorder="1" applyAlignment="1">
      <alignment vertical="center" wrapText="1"/>
    </xf>
    <xf numFmtId="0" fontId="1" fillId="0" borderId="53" xfId="14" applyFont="1" applyFill="1" applyBorder="1" applyAlignment="1">
      <alignment vertical="center" wrapText="1"/>
    </xf>
  </cellXfs>
  <cellStyles count="19">
    <cellStyle name="Comma [0] 2" xfId="15" xr:uid="{00000000-0005-0000-0000-000000000000}"/>
    <cellStyle name="Hyperlink" xfId="16" builtinId="8"/>
    <cellStyle name="Normal" xfId="0" builtinId="0"/>
    <cellStyle name="Normal 2" xfId="18" xr:uid="{00000000-0005-0000-0000-000003000000}"/>
    <cellStyle name="Percent" xfId="17" builtinId="5"/>
    <cellStyle name="パーセント 2" xfId="5" xr:uid="{00000000-0005-0000-0000-000005000000}"/>
    <cellStyle name="パーセント 2 2" xfId="12" xr:uid="{00000000-0005-0000-0000-000006000000}"/>
    <cellStyle name="パーセント 3" xfId="9" xr:uid="{00000000-0005-0000-0000-000007000000}"/>
    <cellStyle name="一般 2" xfId="10" xr:uid="{00000000-0005-0000-0000-000008000000}"/>
    <cellStyle name="一般_机械别稼动率2" xfId="4" xr:uid="{00000000-0005-0000-0000-000009000000}"/>
    <cellStyle name="千分位 2" xfId="11" xr:uid="{00000000-0005-0000-0000-00000A000000}"/>
    <cellStyle name="桁区切り 2" xfId="8" xr:uid="{00000000-0005-0000-0000-00000B000000}"/>
    <cellStyle name="桁区切り 3" xfId="2" xr:uid="{00000000-0005-0000-0000-00000C000000}"/>
    <cellStyle name="標準 2" xfId="7" xr:uid="{00000000-0005-0000-0000-00000D000000}"/>
    <cellStyle name="標準 3" xfId="3" xr:uid="{00000000-0005-0000-0000-00000E000000}"/>
    <cellStyle name="標準 3 2" xfId="13" xr:uid="{00000000-0005-0000-0000-00000F000000}"/>
    <cellStyle name="標準 4" xfId="6" xr:uid="{00000000-0005-0000-0000-000010000000}"/>
    <cellStyle name="標準_Du lieu tinh san xuat VNM-VDM" xfId="1" xr:uid="{00000000-0005-0000-0000-000011000000}"/>
    <cellStyle name="標準_Sheet1" xfId="14" xr:uid="{00000000-0005-0000-0000-00001200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99CC"/>
      <color rgb="FFCCFFCC"/>
      <color rgb="FFFF9999"/>
      <color rgb="FFCCFFFF"/>
      <color rgb="FFC0C0C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7.6389949029440088E-2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2394014460785575E-2"/>
          <c:y val="0.12236111111111111"/>
          <c:w val="0.95402572938467056"/>
          <c:h val="0.476443205016039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'指標２(外作)'!$D$112</c:f>
              <c:strCache>
                <c:ptCount val="1"/>
                <c:pt idx="0">
                  <c:v>1月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'指標２(外作)'!$B$113:$B$134</c:f>
              <c:strCache>
                <c:ptCount val="22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PUNCH</c:v>
                </c:pt>
                <c:pt idx="4">
                  <c:v>KA SHIN</c:v>
                </c:pt>
                <c:pt idx="5">
                  <c:v>MINH THINH LOI</c:v>
                </c:pt>
                <c:pt idx="6">
                  <c:v>KIWA</c:v>
                </c:pt>
                <c:pt idx="7">
                  <c:v>ISHISEI</c:v>
                </c:pt>
                <c:pt idx="8">
                  <c:v>LE HOANG ANH</c:v>
                </c:pt>
                <c:pt idx="9">
                  <c:v>TRUNG PHAT</c:v>
                </c:pt>
                <c:pt idx="10">
                  <c:v>OSG</c:v>
                </c:pt>
                <c:pt idx="11">
                  <c:v>AN MI</c:v>
                </c:pt>
                <c:pt idx="12">
                  <c:v>UWC</c:v>
                </c:pt>
                <c:pt idx="13">
                  <c:v>A&amp;D</c:v>
                </c:pt>
                <c:pt idx="14">
                  <c:v>HITECH</c:v>
                </c:pt>
                <c:pt idx="15">
                  <c:v>FINECS</c:v>
                </c:pt>
                <c:pt idx="16">
                  <c:v>SAKURA</c:v>
                </c:pt>
                <c:pt idx="17">
                  <c:v>CAM</c:v>
                </c:pt>
                <c:pt idx="18">
                  <c:v>HUYNH DUC</c:v>
                </c:pt>
                <c:pt idx="19">
                  <c:v>YES SAIGON</c:v>
                </c:pt>
                <c:pt idx="20">
                  <c:v>CHÂU ĐÀ</c:v>
                </c:pt>
                <c:pt idx="21">
                  <c:v>AMERIX</c:v>
                </c:pt>
              </c:strCache>
            </c:strRef>
          </c:cat>
          <c:val>
            <c:numRef>
              <c:f>'指標２(外作)'!$D$113:$D$134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5-4D9E-91C5-96AF8A0CCA85}"/>
            </c:ext>
          </c:extLst>
        </c:ser>
        <c:ser>
          <c:idx val="1"/>
          <c:order val="1"/>
          <c:tx>
            <c:strRef>
              <c:f>'指標２(外作)'!$E$112</c:f>
              <c:strCache>
                <c:ptCount val="1"/>
                <c:pt idx="0">
                  <c:v>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'指標２(外作)'!$B$113:$B$134</c:f>
              <c:strCache>
                <c:ptCount val="22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PUNCH</c:v>
                </c:pt>
                <c:pt idx="4">
                  <c:v>KA SHIN</c:v>
                </c:pt>
                <c:pt idx="5">
                  <c:v>MINH THINH LOI</c:v>
                </c:pt>
                <c:pt idx="6">
                  <c:v>KIWA</c:v>
                </c:pt>
                <c:pt idx="7">
                  <c:v>ISHISEI</c:v>
                </c:pt>
                <c:pt idx="8">
                  <c:v>LE HOANG ANH</c:v>
                </c:pt>
                <c:pt idx="9">
                  <c:v>TRUNG PHAT</c:v>
                </c:pt>
                <c:pt idx="10">
                  <c:v>OSG</c:v>
                </c:pt>
                <c:pt idx="11">
                  <c:v>AN MI</c:v>
                </c:pt>
                <c:pt idx="12">
                  <c:v>UWC</c:v>
                </c:pt>
                <c:pt idx="13">
                  <c:v>A&amp;D</c:v>
                </c:pt>
                <c:pt idx="14">
                  <c:v>HITECH</c:v>
                </c:pt>
                <c:pt idx="15">
                  <c:v>FINECS</c:v>
                </c:pt>
                <c:pt idx="16">
                  <c:v>SAKURA</c:v>
                </c:pt>
                <c:pt idx="17">
                  <c:v>CAM</c:v>
                </c:pt>
                <c:pt idx="18">
                  <c:v>HUYNH DUC</c:v>
                </c:pt>
                <c:pt idx="19">
                  <c:v>YES SAIGON</c:v>
                </c:pt>
                <c:pt idx="20">
                  <c:v>CHÂU ĐÀ</c:v>
                </c:pt>
                <c:pt idx="21">
                  <c:v>AMERIX</c:v>
                </c:pt>
              </c:strCache>
            </c:strRef>
          </c:cat>
          <c:val>
            <c:numRef>
              <c:f>'指標２(外作)'!$E$113:$E$126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A5-4D9E-91C5-96AF8A0CCA85}"/>
            </c:ext>
          </c:extLst>
        </c:ser>
        <c:ser>
          <c:idx val="2"/>
          <c:order val="2"/>
          <c:tx>
            <c:strRef>
              <c:f>'指標２(外作)'!$F$112</c:f>
              <c:strCache>
                <c:ptCount val="1"/>
                <c:pt idx="0">
                  <c:v>3月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'指標２(外作)'!$B$113:$B$134</c:f>
              <c:strCache>
                <c:ptCount val="22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PUNCH</c:v>
                </c:pt>
                <c:pt idx="4">
                  <c:v>KA SHIN</c:v>
                </c:pt>
                <c:pt idx="5">
                  <c:v>MINH THINH LOI</c:v>
                </c:pt>
                <c:pt idx="6">
                  <c:v>KIWA</c:v>
                </c:pt>
                <c:pt idx="7">
                  <c:v>ISHISEI</c:v>
                </c:pt>
                <c:pt idx="8">
                  <c:v>LE HOANG ANH</c:v>
                </c:pt>
                <c:pt idx="9">
                  <c:v>TRUNG PHAT</c:v>
                </c:pt>
                <c:pt idx="10">
                  <c:v>OSG</c:v>
                </c:pt>
                <c:pt idx="11">
                  <c:v>AN MI</c:v>
                </c:pt>
                <c:pt idx="12">
                  <c:v>UWC</c:v>
                </c:pt>
                <c:pt idx="13">
                  <c:v>A&amp;D</c:v>
                </c:pt>
                <c:pt idx="14">
                  <c:v>HITECH</c:v>
                </c:pt>
                <c:pt idx="15">
                  <c:v>FINECS</c:v>
                </c:pt>
                <c:pt idx="16">
                  <c:v>SAKURA</c:v>
                </c:pt>
                <c:pt idx="17">
                  <c:v>CAM</c:v>
                </c:pt>
                <c:pt idx="18">
                  <c:v>HUYNH DUC</c:v>
                </c:pt>
                <c:pt idx="19">
                  <c:v>YES SAIGON</c:v>
                </c:pt>
                <c:pt idx="20">
                  <c:v>CHÂU ĐÀ</c:v>
                </c:pt>
                <c:pt idx="21">
                  <c:v>AMERIX</c:v>
                </c:pt>
              </c:strCache>
            </c:strRef>
          </c:cat>
          <c:val>
            <c:numRef>
              <c:f>'指標２(外作)'!$F$113:$F$126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A5-4D9E-91C5-96AF8A0CCA85}"/>
            </c:ext>
          </c:extLst>
        </c:ser>
        <c:ser>
          <c:idx val="3"/>
          <c:order val="3"/>
          <c:tx>
            <c:strRef>
              <c:f>'指標２(外作)'!$G$112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'指標２(外作)'!$B$113:$B$134</c:f>
              <c:strCache>
                <c:ptCount val="22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PUNCH</c:v>
                </c:pt>
                <c:pt idx="4">
                  <c:v>KA SHIN</c:v>
                </c:pt>
                <c:pt idx="5">
                  <c:v>MINH THINH LOI</c:v>
                </c:pt>
                <c:pt idx="6">
                  <c:v>KIWA</c:v>
                </c:pt>
                <c:pt idx="7">
                  <c:v>ISHISEI</c:v>
                </c:pt>
                <c:pt idx="8">
                  <c:v>LE HOANG ANH</c:v>
                </c:pt>
                <c:pt idx="9">
                  <c:v>TRUNG PHAT</c:v>
                </c:pt>
                <c:pt idx="10">
                  <c:v>OSG</c:v>
                </c:pt>
                <c:pt idx="11">
                  <c:v>AN MI</c:v>
                </c:pt>
                <c:pt idx="12">
                  <c:v>UWC</c:v>
                </c:pt>
                <c:pt idx="13">
                  <c:v>A&amp;D</c:v>
                </c:pt>
                <c:pt idx="14">
                  <c:v>HITECH</c:v>
                </c:pt>
                <c:pt idx="15">
                  <c:v>FINECS</c:v>
                </c:pt>
                <c:pt idx="16">
                  <c:v>SAKURA</c:v>
                </c:pt>
                <c:pt idx="17">
                  <c:v>CAM</c:v>
                </c:pt>
                <c:pt idx="18">
                  <c:v>HUYNH DUC</c:v>
                </c:pt>
                <c:pt idx="19">
                  <c:v>YES SAIGON</c:v>
                </c:pt>
                <c:pt idx="20">
                  <c:v>CHÂU ĐÀ</c:v>
                </c:pt>
                <c:pt idx="21">
                  <c:v>AMERIX</c:v>
                </c:pt>
              </c:strCache>
            </c:strRef>
          </c:cat>
          <c:val>
            <c:numRef>
              <c:f>'指標２(外作)'!$G$113:$G$126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A5-4D9E-91C5-96AF8A0CCA85}"/>
            </c:ext>
          </c:extLst>
        </c:ser>
        <c:ser>
          <c:idx val="4"/>
          <c:order val="4"/>
          <c:tx>
            <c:strRef>
              <c:f>'指標２(外作)'!$H$112</c:f>
              <c:strCache>
                <c:ptCount val="1"/>
                <c:pt idx="0">
                  <c:v>5月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'指標２(外作)'!$B$113:$B$134</c:f>
              <c:strCache>
                <c:ptCount val="22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PUNCH</c:v>
                </c:pt>
                <c:pt idx="4">
                  <c:v>KA SHIN</c:v>
                </c:pt>
                <c:pt idx="5">
                  <c:v>MINH THINH LOI</c:v>
                </c:pt>
                <c:pt idx="6">
                  <c:v>KIWA</c:v>
                </c:pt>
                <c:pt idx="7">
                  <c:v>ISHISEI</c:v>
                </c:pt>
                <c:pt idx="8">
                  <c:v>LE HOANG ANH</c:v>
                </c:pt>
                <c:pt idx="9">
                  <c:v>TRUNG PHAT</c:v>
                </c:pt>
                <c:pt idx="10">
                  <c:v>OSG</c:v>
                </c:pt>
                <c:pt idx="11">
                  <c:v>AN MI</c:v>
                </c:pt>
                <c:pt idx="12">
                  <c:v>UWC</c:v>
                </c:pt>
                <c:pt idx="13">
                  <c:v>A&amp;D</c:v>
                </c:pt>
                <c:pt idx="14">
                  <c:v>HITECH</c:v>
                </c:pt>
                <c:pt idx="15">
                  <c:v>FINECS</c:v>
                </c:pt>
                <c:pt idx="16">
                  <c:v>SAKURA</c:v>
                </c:pt>
                <c:pt idx="17">
                  <c:v>CAM</c:v>
                </c:pt>
                <c:pt idx="18">
                  <c:v>HUYNH DUC</c:v>
                </c:pt>
                <c:pt idx="19">
                  <c:v>YES SAIGON</c:v>
                </c:pt>
                <c:pt idx="20">
                  <c:v>CHÂU ĐÀ</c:v>
                </c:pt>
                <c:pt idx="21">
                  <c:v>AMERIX</c:v>
                </c:pt>
              </c:strCache>
            </c:strRef>
          </c:cat>
          <c:val>
            <c:numRef>
              <c:f>'指標２(外作)'!$H$113:$H$126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A5-4D9E-91C5-96AF8A0CCA85}"/>
            </c:ext>
          </c:extLst>
        </c:ser>
        <c:ser>
          <c:idx val="5"/>
          <c:order val="5"/>
          <c:tx>
            <c:strRef>
              <c:f>'指標２(外作)'!$I$112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'指標２(外作)'!$B$113:$B$134</c:f>
              <c:strCache>
                <c:ptCount val="22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PUNCH</c:v>
                </c:pt>
                <c:pt idx="4">
                  <c:v>KA SHIN</c:v>
                </c:pt>
                <c:pt idx="5">
                  <c:v>MINH THINH LOI</c:v>
                </c:pt>
                <c:pt idx="6">
                  <c:v>KIWA</c:v>
                </c:pt>
                <c:pt idx="7">
                  <c:v>ISHISEI</c:v>
                </c:pt>
                <c:pt idx="8">
                  <c:v>LE HOANG ANH</c:v>
                </c:pt>
                <c:pt idx="9">
                  <c:v>TRUNG PHAT</c:v>
                </c:pt>
                <c:pt idx="10">
                  <c:v>OSG</c:v>
                </c:pt>
                <c:pt idx="11">
                  <c:v>AN MI</c:v>
                </c:pt>
                <c:pt idx="12">
                  <c:v>UWC</c:v>
                </c:pt>
                <c:pt idx="13">
                  <c:v>A&amp;D</c:v>
                </c:pt>
                <c:pt idx="14">
                  <c:v>HITECH</c:v>
                </c:pt>
                <c:pt idx="15">
                  <c:v>FINECS</c:v>
                </c:pt>
                <c:pt idx="16">
                  <c:v>SAKURA</c:v>
                </c:pt>
                <c:pt idx="17">
                  <c:v>CAM</c:v>
                </c:pt>
                <c:pt idx="18">
                  <c:v>HUYNH DUC</c:v>
                </c:pt>
                <c:pt idx="19">
                  <c:v>YES SAIGON</c:v>
                </c:pt>
                <c:pt idx="20">
                  <c:v>CHÂU ĐÀ</c:v>
                </c:pt>
                <c:pt idx="21">
                  <c:v>AMERIX</c:v>
                </c:pt>
              </c:strCache>
            </c:strRef>
          </c:cat>
          <c:val>
            <c:numRef>
              <c:f>'指標２(外作)'!$I$113:$I$126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A5-4D9E-91C5-96AF8A0CCA85}"/>
            </c:ext>
          </c:extLst>
        </c:ser>
        <c:ser>
          <c:idx val="6"/>
          <c:order val="6"/>
          <c:tx>
            <c:strRef>
              <c:f>'指標２(外作)'!$J$112</c:f>
              <c:strCache>
                <c:ptCount val="1"/>
                <c:pt idx="0">
                  <c:v>7月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'指標２(外作)'!$B$113:$B$134</c:f>
              <c:strCache>
                <c:ptCount val="22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PUNCH</c:v>
                </c:pt>
                <c:pt idx="4">
                  <c:v>KA SHIN</c:v>
                </c:pt>
                <c:pt idx="5">
                  <c:v>MINH THINH LOI</c:v>
                </c:pt>
                <c:pt idx="6">
                  <c:v>KIWA</c:v>
                </c:pt>
                <c:pt idx="7">
                  <c:v>ISHISEI</c:v>
                </c:pt>
                <c:pt idx="8">
                  <c:v>LE HOANG ANH</c:v>
                </c:pt>
                <c:pt idx="9">
                  <c:v>TRUNG PHAT</c:v>
                </c:pt>
                <c:pt idx="10">
                  <c:v>OSG</c:v>
                </c:pt>
                <c:pt idx="11">
                  <c:v>AN MI</c:v>
                </c:pt>
                <c:pt idx="12">
                  <c:v>UWC</c:v>
                </c:pt>
                <c:pt idx="13">
                  <c:v>A&amp;D</c:v>
                </c:pt>
                <c:pt idx="14">
                  <c:v>HITECH</c:v>
                </c:pt>
                <c:pt idx="15">
                  <c:v>FINECS</c:v>
                </c:pt>
                <c:pt idx="16">
                  <c:v>SAKURA</c:v>
                </c:pt>
                <c:pt idx="17">
                  <c:v>CAM</c:v>
                </c:pt>
                <c:pt idx="18">
                  <c:v>HUYNH DUC</c:v>
                </c:pt>
                <c:pt idx="19">
                  <c:v>YES SAIGON</c:v>
                </c:pt>
                <c:pt idx="20">
                  <c:v>CHÂU ĐÀ</c:v>
                </c:pt>
                <c:pt idx="21">
                  <c:v>AMERIX</c:v>
                </c:pt>
              </c:strCache>
            </c:strRef>
          </c:cat>
          <c:val>
            <c:numRef>
              <c:f>'指標２(外作)'!$J$113:$J$126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A5-4D9E-91C5-96AF8A0CCA85}"/>
            </c:ext>
          </c:extLst>
        </c:ser>
        <c:ser>
          <c:idx val="7"/>
          <c:order val="7"/>
          <c:tx>
            <c:strRef>
              <c:f>'指標２(外作)'!$K$112</c:f>
              <c:strCache>
                <c:ptCount val="1"/>
                <c:pt idx="0">
                  <c:v>8月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'指標２(外作)'!$B$113:$B$134</c:f>
              <c:strCache>
                <c:ptCount val="22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PUNCH</c:v>
                </c:pt>
                <c:pt idx="4">
                  <c:v>KA SHIN</c:v>
                </c:pt>
                <c:pt idx="5">
                  <c:v>MINH THINH LOI</c:v>
                </c:pt>
                <c:pt idx="6">
                  <c:v>KIWA</c:v>
                </c:pt>
                <c:pt idx="7">
                  <c:v>ISHISEI</c:v>
                </c:pt>
                <c:pt idx="8">
                  <c:v>LE HOANG ANH</c:v>
                </c:pt>
                <c:pt idx="9">
                  <c:v>TRUNG PHAT</c:v>
                </c:pt>
                <c:pt idx="10">
                  <c:v>OSG</c:v>
                </c:pt>
                <c:pt idx="11">
                  <c:v>AN MI</c:v>
                </c:pt>
                <c:pt idx="12">
                  <c:v>UWC</c:v>
                </c:pt>
                <c:pt idx="13">
                  <c:v>A&amp;D</c:v>
                </c:pt>
                <c:pt idx="14">
                  <c:v>HITECH</c:v>
                </c:pt>
                <c:pt idx="15">
                  <c:v>FINECS</c:v>
                </c:pt>
                <c:pt idx="16">
                  <c:v>SAKURA</c:v>
                </c:pt>
                <c:pt idx="17">
                  <c:v>CAM</c:v>
                </c:pt>
                <c:pt idx="18">
                  <c:v>HUYNH DUC</c:v>
                </c:pt>
                <c:pt idx="19">
                  <c:v>YES SAIGON</c:v>
                </c:pt>
                <c:pt idx="20">
                  <c:v>CHÂU ĐÀ</c:v>
                </c:pt>
                <c:pt idx="21">
                  <c:v>AMERIX</c:v>
                </c:pt>
              </c:strCache>
            </c:strRef>
          </c:cat>
          <c:val>
            <c:numRef>
              <c:f>'指標２(外作)'!$K$113:$K$126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5A5-4D9E-91C5-96AF8A0CCA85}"/>
            </c:ext>
          </c:extLst>
        </c:ser>
        <c:ser>
          <c:idx val="8"/>
          <c:order val="8"/>
          <c:tx>
            <c:strRef>
              <c:f>'指標２(外作)'!$L$112</c:f>
              <c:strCache>
                <c:ptCount val="1"/>
                <c:pt idx="0">
                  <c:v>9月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'指標２(外作)'!$B$113:$B$134</c:f>
              <c:strCache>
                <c:ptCount val="22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PUNCH</c:v>
                </c:pt>
                <c:pt idx="4">
                  <c:v>KA SHIN</c:v>
                </c:pt>
                <c:pt idx="5">
                  <c:v>MINH THINH LOI</c:v>
                </c:pt>
                <c:pt idx="6">
                  <c:v>KIWA</c:v>
                </c:pt>
                <c:pt idx="7">
                  <c:v>ISHISEI</c:v>
                </c:pt>
                <c:pt idx="8">
                  <c:v>LE HOANG ANH</c:v>
                </c:pt>
                <c:pt idx="9">
                  <c:v>TRUNG PHAT</c:v>
                </c:pt>
                <c:pt idx="10">
                  <c:v>OSG</c:v>
                </c:pt>
                <c:pt idx="11">
                  <c:v>AN MI</c:v>
                </c:pt>
                <c:pt idx="12">
                  <c:v>UWC</c:v>
                </c:pt>
                <c:pt idx="13">
                  <c:v>A&amp;D</c:v>
                </c:pt>
                <c:pt idx="14">
                  <c:v>HITECH</c:v>
                </c:pt>
                <c:pt idx="15">
                  <c:v>FINECS</c:v>
                </c:pt>
                <c:pt idx="16">
                  <c:v>SAKURA</c:v>
                </c:pt>
                <c:pt idx="17">
                  <c:v>CAM</c:v>
                </c:pt>
                <c:pt idx="18">
                  <c:v>HUYNH DUC</c:v>
                </c:pt>
                <c:pt idx="19">
                  <c:v>YES SAIGON</c:v>
                </c:pt>
                <c:pt idx="20">
                  <c:v>CHÂU ĐÀ</c:v>
                </c:pt>
                <c:pt idx="21">
                  <c:v>AMERIX</c:v>
                </c:pt>
              </c:strCache>
            </c:strRef>
          </c:cat>
          <c:val>
            <c:numRef>
              <c:f>'指標２(外作)'!$L$113:$L$126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A5-4D9E-91C5-96AF8A0CCA85}"/>
            </c:ext>
          </c:extLst>
        </c:ser>
        <c:ser>
          <c:idx val="9"/>
          <c:order val="9"/>
          <c:tx>
            <c:strRef>
              <c:f>'指標２(外作)'!$M$112</c:f>
              <c:strCache>
                <c:ptCount val="1"/>
                <c:pt idx="0">
                  <c:v>10月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'指標２(外作)'!$B$113:$B$134</c:f>
              <c:strCache>
                <c:ptCount val="22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PUNCH</c:v>
                </c:pt>
                <c:pt idx="4">
                  <c:v>KA SHIN</c:v>
                </c:pt>
                <c:pt idx="5">
                  <c:v>MINH THINH LOI</c:v>
                </c:pt>
                <c:pt idx="6">
                  <c:v>KIWA</c:v>
                </c:pt>
                <c:pt idx="7">
                  <c:v>ISHISEI</c:v>
                </c:pt>
                <c:pt idx="8">
                  <c:v>LE HOANG ANH</c:v>
                </c:pt>
                <c:pt idx="9">
                  <c:v>TRUNG PHAT</c:v>
                </c:pt>
                <c:pt idx="10">
                  <c:v>OSG</c:v>
                </c:pt>
                <c:pt idx="11">
                  <c:v>AN MI</c:v>
                </c:pt>
                <c:pt idx="12">
                  <c:v>UWC</c:v>
                </c:pt>
                <c:pt idx="13">
                  <c:v>A&amp;D</c:v>
                </c:pt>
                <c:pt idx="14">
                  <c:v>HITECH</c:v>
                </c:pt>
                <c:pt idx="15">
                  <c:v>FINECS</c:v>
                </c:pt>
                <c:pt idx="16">
                  <c:v>SAKURA</c:v>
                </c:pt>
                <c:pt idx="17">
                  <c:v>CAM</c:v>
                </c:pt>
                <c:pt idx="18">
                  <c:v>HUYNH DUC</c:v>
                </c:pt>
                <c:pt idx="19">
                  <c:v>YES SAIGON</c:v>
                </c:pt>
                <c:pt idx="20">
                  <c:v>CHÂU ĐÀ</c:v>
                </c:pt>
                <c:pt idx="21">
                  <c:v>AMERIX</c:v>
                </c:pt>
              </c:strCache>
            </c:strRef>
          </c:cat>
          <c:val>
            <c:numRef>
              <c:f>'指標２(外作)'!$M$113:$M$126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5A5-4D9E-91C5-96AF8A0CCA85}"/>
            </c:ext>
          </c:extLst>
        </c:ser>
        <c:ser>
          <c:idx val="10"/>
          <c:order val="10"/>
          <c:tx>
            <c:strRef>
              <c:f>'指標２(外作)'!$N$112</c:f>
              <c:strCache>
                <c:ptCount val="1"/>
                <c:pt idx="0">
                  <c:v>11月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'指標２(外作)'!$B$113:$B$134</c:f>
              <c:strCache>
                <c:ptCount val="22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PUNCH</c:v>
                </c:pt>
                <c:pt idx="4">
                  <c:v>KA SHIN</c:v>
                </c:pt>
                <c:pt idx="5">
                  <c:v>MINH THINH LOI</c:v>
                </c:pt>
                <c:pt idx="6">
                  <c:v>KIWA</c:v>
                </c:pt>
                <c:pt idx="7">
                  <c:v>ISHISEI</c:v>
                </c:pt>
                <c:pt idx="8">
                  <c:v>LE HOANG ANH</c:v>
                </c:pt>
                <c:pt idx="9">
                  <c:v>TRUNG PHAT</c:v>
                </c:pt>
                <c:pt idx="10">
                  <c:v>OSG</c:v>
                </c:pt>
                <c:pt idx="11">
                  <c:v>AN MI</c:v>
                </c:pt>
                <c:pt idx="12">
                  <c:v>UWC</c:v>
                </c:pt>
                <c:pt idx="13">
                  <c:v>A&amp;D</c:v>
                </c:pt>
                <c:pt idx="14">
                  <c:v>HITECH</c:v>
                </c:pt>
                <c:pt idx="15">
                  <c:v>FINECS</c:v>
                </c:pt>
                <c:pt idx="16">
                  <c:v>SAKURA</c:v>
                </c:pt>
                <c:pt idx="17">
                  <c:v>CAM</c:v>
                </c:pt>
                <c:pt idx="18">
                  <c:v>HUYNH DUC</c:v>
                </c:pt>
                <c:pt idx="19">
                  <c:v>YES SAIGON</c:v>
                </c:pt>
                <c:pt idx="20">
                  <c:v>CHÂU ĐÀ</c:v>
                </c:pt>
                <c:pt idx="21">
                  <c:v>AMERIX</c:v>
                </c:pt>
              </c:strCache>
            </c:strRef>
          </c:cat>
          <c:val>
            <c:numRef>
              <c:f>'指標２(外作)'!$N$113:$N$126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A5-4D9E-91C5-96AF8A0CCA85}"/>
            </c:ext>
          </c:extLst>
        </c:ser>
        <c:ser>
          <c:idx val="11"/>
          <c:order val="11"/>
          <c:tx>
            <c:strRef>
              <c:f>'指標２(外作)'!$O$112</c:f>
              <c:strCache>
                <c:ptCount val="1"/>
                <c:pt idx="0">
                  <c:v>12月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'指標２(外作)'!$B$113:$B$134</c:f>
              <c:strCache>
                <c:ptCount val="22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PUNCH</c:v>
                </c:pt>
                <c:pt idx="4">
                  <c:v>KA SHIN</c:v>
                </c:pt>
                <c:pt idx="5">
                  <c:v>MINH THINH LOI</c:v>
                </c:pt>
                <c:pt idx="6">
                  <c:v>KIWA</c:v>
                </c:pt>
                <c:pt idx="7">
                  <c:v>ISHISEI</c:v>
                </c:pt>
                <c:pt idx="8">
                  <c:v>LE HOANG ANH</c:v>
                </c:pt>
                <c:pt idx="9">
                  <c:v>TRUNG PHAT</c:v>
                </c:pt>
                <c:pt idx="10">
                  <c:v>OSG</c:v>
                </c:pt>
                <c:pt idx="11">
                  <c:v>AN MI</c:v>
                </c:pt>
                <c:pt idx="12">
                  <c:v>UWC</c:v>
                </c:pt>
                <c:pt idx="13">
                  <c:v>A&amp;D</c:v>
                </c:pt>
                <c:pt idx="14">
                  <c:v>HITECH</c:v>
                </c:pt>
                <c:pt idx="15">
                  <c:v>FINECS</c:v>
                </c:pt>
                <c:pt idx="16">
                  <c:v>SAKURA</c:v>
                </c:pt>
                <c:pt idx="17">
                  <c:v>CAM</c:v>
                </c:pt>
                <c:pt idx="18">
                  <c:v>HUYNH DUC</c:v>
                </c:pt>
                <c:pt idx="19">
                  <c:v>YES SAIGON</c:v>
                </c:pt>
                <c:pt idx="20">
                  <c:v>CHÂU ĐÀ</c:v>
                </c:pt>
                <c:pt idx="21">
                  <c:v>AMERIX</c:v>
                </c:pt>
              </c:strCache>
            </c:strRef>
          </c:cat>
          <c:val>
            <c:numRef>
              <c:f>'指標２(外作)'!$O$113:$O$126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5A5-4D9E-91C5-96AF8A0CC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11520"/>
        <c:axId val="88421504"/>
      </c:barChart>
      <c:catAx>
        <c:axId val="8841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ja-JP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88421504"/>
        <c:crosses val="autoZero"/>
        <c:auto val="1"/>
        <c:lblAlgn val="ctr"/>
        <c:lblOffset val="100"/>
        <c:noMultiLvlLbl val="0"/>
      </c:catAx>
      <c:valAx>
        <c:axId val="88421504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endParaRPr lang="en-US"/>
          </a:p>
        </c:txPr>
        <c:crossAx val="884115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577001733013802"/>
          <c:y val="5.7815689705453398E-4"/>
          <c:w val="0.6424140000102071"/>
          <c:h val="0.184722222222222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7.6389949029440088E-2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29261148619716743"/>
          <c:y val="0.16394429862933799"/>
          <c:w val="0.40026653408323526"/>
          <c:h val="0.78974154272382624"/>
        </c:manualLayout>
      </c:layout>
      <c:pieChart>
        <c:varyColors val="1"/>
        <c:ser>
          <c:idx val="0"/>
          <c:order val="0"/>
          <c:tx>
            <c:strRef>
              <c:f>'指標２(外作)'!$P$112</c:f>
              <c:strCache>
                <c:ptCount val="1"/>
                <c:pt idx="0">
                  <c:v>累計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22-40C7-B693-285CE0A9AE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22-40C7-B693-285CE0A9AE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22-40C7-B693-285CE0A9AE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B22-40C7-B693-285CE0A9AE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B22-40C7-B693-285CE0A9AE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B22-40C7-B693-285CE0A9AEA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B22-40C7-B693-285CE0A9AEA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B22-40C7-B693-285CE0A9AEA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B22-40C7-B693-285CE0A9AEA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B22-40C7-B693-285CE0A9AEA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B22-40C7-B693-285CE0A9AEA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B22-40C7-B693-285CE0A9AEA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B22-40C7-B693-285CE0A9AEA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5B22-40C7-B693-285CE0A9AEA6}"/>
              </c:ext>
            </c:extLst>
          </c:dPt>
          <c:dLbls>
            <c:dLbl>
              <c:idx val="0"/>
              <c:layout>
                <c:manualLayout>
                  <c:x val="6.5700485233926714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22-40C7-B693-285CE0A9AEA6}"/>
                </c:ext>
              </c:extLst>
            </c:dLbl>
            <c:dLbl>
              <c:idx val="1"/>
              <c:layout>
                <c:manualLayout>
                  <c:x val="0.15721187538118189"/>
                  <c:y val="-1.388888888888889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22-40C7-B693-285CE0A9AEA6}"/>
                </c:ext>
              </c:extLst>
            </c:dLbl>
            <c:dLbl>
              <c:idx val="2"/>
              <c:layout>
                <c:manualLayout>
                  <c:x val="0.13374741636906526"/>
                  <c:y val="7.40740740740740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22-40C7-B693-285CE0A9AEA6}"/>
                </c:ext>
              </c:extLst>
            </c:dLbl>
            <c:dLbl>
              <c:idx val="3"/>
              <c:layout>
                <c:manualLayout>
                  <c:x val="7.9779160641196833E-2"/>
                  <c:y val="6.4814814814814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22-40C7-B693-285CE0A9AEA6}"/>
                </c:ext>
              </c:extLst>
            </c:dLbl>
            <c:dLbl>
              <c:idx val="5"/>
              <c:layout>
                <c:manualLayout>
                  <c:x val="1.6425121308481786E-2"/>
                  <c:y val="7.87037037037037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22-40C7-B693-285CE0A9AEA6}"/>
                </c:ext>
              </c:extLst>
            </c:dLbl>
            <c:dLbl>
              <c:idx val="6"/>
              <c:layout>
                <c:manualLayout>
                  <c:x val="-0.157211875381182"/>
                  <c:y val="-4.166666666666683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B22-40C7-B693-285CE0A9AEA6}"/>
                </c:ext>
              </c:extLst>
            </c:dLbl>
            <c:dLbl>
              <c:idx val="8"/>
              <c:layout>
                <c:manualLayout>
                  <c:x val="-6.5700485233926798E-2"/>
                  <c:y val="0.208333333333333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B22-40C7-B693-285CE0A9AEA6}"/>
                </c:ext>
              </c:extLst>
            </c:dLbl>
            <c:dLbl>
              <c:idx val="12"/>
              <c:layout>
                <c:manualLayout>
                  <c:x val="-0.15486542947997031"/>
                  <c:y val="3.703703703703699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B22-40C7-B693-285CE0A9AEA6}"/>
                </c:ext>
              </c:extLst>
            </c:dLbl>
            <c:dLbl>
              <c:idx val="13"/>
              <c:layout>
                <c:manualLayout>
                  <c:x val="5.8661147530291786E-2"/>
                  <c:y val="-8.333333333333332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B22-40C7-B693-285CE0A9AEA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'指標２(外作)'!$B$113:$B$126</c:f>
              <c:strCache>
                <c:ptCount val="14"/>
                <c:pt idx="0">
                  <c:v>MMK</c:v>
                </c:pt>
                <c:pt idx="1">
                  <c:v>TWM</c:v>
                </c:pt>
                <c:pt idx="2">
                  <c:v>ＤＧＭ</c:v>
                </c:pt>
                <c:pt idx="3">
                  <c:v>PUNCH</c:v>
                </c:pt>
                <c:pt idx="4">
                  <c:v>KA SHIN</c:v>
                </c:pt>
                <c:pt idx="5">
                  <c:v>MINH THINH LOI</c:v>
                </c:pt>
                <c:pt idx="6">
                  <c:v>KIWA</c:v>
                </c:pt>
                <c:pt idx="7">
                  <c:v>ISHISEI</c:v>
                </c:pt>
                <c:pt idx="8">
                  <c:v>LE HOANG ANH</c:v>
                </c:pt>
                <c:pt idx="9">
                  <c:v>TRUNG PHAT</c:v>
                </c:pt>
                <c:pt idx="10">
                  <c:v>OSG</c:v>
                </c:pt>
                <c:pt idx="11">
                  <c:v>AN MI</c:v>
                </c:pt>
                <c:pt idx="12">
                  <c:v>UWC</c:v>
                </c:pt>
                <c:pt idx="13">
                  <c:v>A&amp;D</c:v>
                </c:pt>
              </c:strCache>
            </c:strRef>
          </c:cat>
          <c:val>
            <c:numRef>
              <c:f>'指標２(外作)'!$P$113:$P$126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B22-40C7-B693-285CE0A9A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ＭＳ Ｐゴシック" panose="020B0600070205080204" pitchFamily="50" charset="-128"/>
          <a:ea typeface="ＭＳ Ｐゴシック" panose="020B0600070205080204" pitchFamily="50" charset="-12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人員推移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1194675758966625"/>
          <c:y val="3.874654913546762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3361284827193559E-2"/>
          <c:y val="0.21034532861916985"/>
          <c:w val="0.92523675650865245"/>
          <c:h val="0.6678288088982822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'指標４（生産性）'!$C$7</c:f>
              <c:strCache>
                <c:ptCount val="1"/>
                <c:pt idx="0">
                  <c:v>直接人数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'指標４（生産性）'!$G$5:$R$5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'指標４（生産性）'!$G$7:$R$7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A28D-449D-ADC5-84AF947015C7}"/>
            </c:ext>
          </c:extLst>
        </c:ser>
        <c:ser>
          <c:idx val="2"/>
          <c:order val="2"/>
          <c:tx>
            <c:strRef>
              <c:f>'指標４（生産性）'!$C$8</c:f>
              <c:strCache>
                <c:ptCount val="1"/>
                <c:pt idx="0">
                  <c:v>間接人数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'指標４（生産性）'!$G$5:$R$5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'指標４（生産性）'!$G$8:$R$8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A28D-449D-ADC5-84AF94701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987520"/>
        <c:axId val="91001600"/>
      </c:barChart>
      <c:lineChart>
        <c:grouping val="standard"/>
        <c:varyColors val="0"/>
        <c:ser>
          <c:idx val="0"/>
          <c:order val="0"/>
          <c:tx>
            <c:strRef>
              <c:f>'指標４（生産性）'!$C$6</c:f>
              <c:strCache>
                <c:ptCount val="1"/>
                <c:pt idx="0">
                  <c:v>総人数 （合計）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'指標４（生産性）'!$G$5:$R$5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'指標４（生産性）'!$G$6:$R$6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8D-449D-ADC5-84AF94701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987520"/>
        <c:axId val="91001600"/>
      </c:lineChart>
      <c:catAx>
        <c:axId val="9098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01600"/>
        <c:crosses val="autoZero"/>
        <c:auto val="1"/>
        <c:lblAlgn val="ctr"/>
        <c:lblOffset val="100"/>
        <c:noMultiLvlLbl val="0"/>
      </c:catAx>
      <c:valAx>
        <c:axId val="9100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8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724917685802137"/>
          <c:y val="4.6471070323842539E-2"/>
          <c:w val="0.40275078006734838"/>
          <c:h val="8.9789659571526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内外作比較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1194675758966625"/>
          <c:y val="3.874654913546762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219358910421353E-2"/>
          <c:y val="0.21034532861916985"/>
          <c:w val="0.84604529024684116"/>
          <c:h val="0.66782880889828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'指標４（生産性）'!$A$50</c:f>
              <c:strCache>
                <c:ptCount val="1"/>
                <c:pt idx="0">
                  <c:v>内作完了図面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'指標４（生産性）'!$G$5:$R$5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'指標４（生産性）'!$G$16:$R$16</c:f>
              <c:numCache>
                <c:formatCode>#,##0_);[Red]\(#,##0\)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39AA-4E90-BD05-84ACECA931AE}"/>
            </c:ext>
          </c:extLst>
        </c:ser>
        <c:ser>
          <c:idx val="1"/>
          <c:order val="1"/>
          <c:tx>
            <c:strRef>
              <c:f>'指標４（生産性）'!$A$51</c:f>
              <c:strCache>
                <c:ptCount val="1"/>
                <c:pt idx="0">
                  <c:v>外作完了図面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'指標４（生産性）'!$G$5:$R$5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'指標４（生産性）'!$G$28:$R$28</c:f>
              <c:numCache>
                <c:formatCode>#,##0_);[Red]\(#,##0\)</c:formatCode>
                <c:ptCount val="12"/>
                <c:pt idx="0">
                  <c:v>2076</c:v>
                </c:pt>
                <c:pt idx="1">
                  <c:v>1771</c:v>
                </c:pt>
                <c:pt idx="2">
                  <c:v>2440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A-4E90-BD05-84ACECA93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027328"/>
        <c:axId val="91028864"/>
      </c:barChart>
      <c:lineChart>
        <c:grouping val="standard"/>
        <c:varyColors val="0"/>
        <c:ser>
          <c:idx val="2"/>
          <c:order val="2"/>
          <c:tx>
            <c:strRef>
              <c:f>'指標４（生産性）'!$A$52</c:f>
              <c:strCache>
                <c:ptCount val="1"/>
                <c:pt idx="0">
                  <c:v>内作完了金額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'指標４（生産性）'!$G$5:$R$5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'指標４（生産性）'!$G$24:$R$24</c:f>
              <c:numCache>
                <c:formatCode>#,##0_);[Red]\(#,##0\)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AA-4E90-BD05-84ACECA931AE}"/>
            </c:ext>
          </c:extLst>
        </c:ser>
        <c:ser>
          <c:idx val="3"/>
          <c:order val="3"/>
          <c:tx>
            <c:strRef>
              <c:f>'指標４（生産性）'!$A$53</c:f>
              <c:strCache>
                <c:ptCount val="1"/>
                <c:pt idx="0">
                  <c:v>外作完了金額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'指標４（生産性）'!$G$30:$R$30</c:f>
              <c:numCache>
                <c:formatCode>#,##0_);[Red]\(#,##0\)</c:formatCode>
                <c:ptCount val="12"/>
                <c:pt idx="0">
                  <c:v>159134</c:v>
                </c:pt>
                <c:pt idx="1">
                  <c:v>120846</c:v>
                </c:pt>
                <c:pt idx="2">
                  <c:v>187021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AA-4E90-BD05-84ACECA93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32928"/>
        <c:axId val="101131392"/>
      </c:lineChart>
      <c:catAx>
        <c:axId val="9102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28864"/>
        <c:crosses val="autoZero"/>
        <c:auto val="1"/>
        <c:lblAlgn val="ctr"/>
        <c:lblOffset val="100"/>
        <c:noMultiLvlLbl val="0"/>
      </c:catAx>
      <c:valAx>
        <c:axId val="9102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27328"/>
        <c:crosses val="autoZero"/>
        <c:crossBetween val="between"/>
      </c:valAx>
      <c:valAx>
        <c:axId val="101131392"/>
        <c:scaling>
          <c:orientation val="minMax"/>
        </c:scaling>
        <c:delete val="0"/>
        <c:axPos val="r"/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32928"/>
        <c:crosses val="max"/>
        <c:crossBetween val="between"/>
      </c:valAx>
      <c:catAx>
        <c:axId val="101132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131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7034517152654873"/>
          <c:y val="3.9043172053484791E-3"/>
          <c:w val="0.42965482847345121"/>
          <c:h val="0.169602131684294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【M.H</a:t>
            </a:r>
            <a:r>
              <a:rPr lang="ja-JP" altLang="en-US"/>
              <a:t>比較</a:t>
            </a:r>
            <a:r>
              <a:rPr lang="en-US" altLang="ja-JP"/>
              <a:t>】</a:t>
            </a:r>
            <a:endParaRPr lang="ja-JP" altLang="en-US"/>
          </a:p>
        </c:rich>
      </c:tx>
      <c:layout>
        <c:manualLayout>
          <c:xMode val="edge"/>
          <c:yMode val="edge"/>
          <c:x val="0.1194675758966625"/>
          <c:y val="3.874654913546762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393555019233052E-2"/>
          <c:y val="0.21034545603086924"/>
          <c:w val="0.85615690497521879"/>
          <c:h val="0.6678288088982822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'指標４（生産性）'!$C$22</c:f>
              <c:strCache>
                <c:ptCount val="1"/>
                <c:pt idx="0">
                  <c:v>P/M.H 値 (Ｐｃｓ)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'指標４（生産性）'!$G$5:$R$5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'指標４（生産性）'!$G$22:$R$22</c:f>
              <c:numCache>
                <c:formatCode>#,##0.00_);[Red]\(#,##0.00\)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247A-4C1A-8E89-687A7B0FA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47776"/>
        <c:axId val="101149312"/>
      </c:barChart>
      <c:lineChart>
        <c:grouping val="standard"/>
        <c:varyColors val="0"/>
        <c:ser>
          <c:idx val="0"/>
          <c:order val="0"/>
          <c:tx>
            <c:strRef>
              <c:f>'指標４（生産性）'!$C$20</c:f>
              <c:strCache>
                <c:ptCount val="1"/>
                <c:pt idx="0">
                  <c:v>P/M.H 値 (図面）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'指標４（生産性）'!$G$5:$R$5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'指標４（生産性）'!$G$20:$R$20</c:f>
              <c:numCache>
                <c:formatCode>#,##0.000;[Red]\-#,##0.000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7A-4C1A-8E89-687A7B0FA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56736"/>
        <c:axId val="101155200"/>
      </c:lineChart>
      <c:catAx>
        <c:axId val="1011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49312"/>
        <c:crosses val="autoZero"/>
        <c:auto val="1"/>
        <c:lblAlgn val="ctr"/>
        <c:lblOffset val="100"/>
        <c:noMultiLvlLbl val="0"/>
      </c:catAx>
      <c:valAx>
        <c:axId val="10114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47776"/>
        <c:crosses val="autoZero"/>
        <c:crossBetween val="between"/>
      </c:valAx>
      <c:valAx>
        <c:axId val="101155200"/>
        <c:scaling>
          <c:orientation val="minMax"/>
        </c:scaling>
        <c:delete val="0"/>
        <c:axPos val="r"/>
        <c:numFmt formatCode="#,##0.000;[Red]\-#,##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56736"/>
        <c:crosses val="max"/>
        <c:crossBetween val="between"/>
      </c:valAx>
      <c:catAx>
        <c:axId val="101156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155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8836895951233137"/>
          <c:y val="3.0508474576271188E-2"/>
          <c:w val="0.40275082314197874"/>
          <c:h val="0.169602131684294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571506</xdr:colOff>
      <xdr:row>134</xdr:row>
      <xdr:rowOff>156883</xdr:rowOff>
    </xdr:from>
    <xdr:to>
      <xdr:col>10</xdr:col>
      <xdr:colOff>67236</xdr:colOff>
      <xdr:row>152</xdr:row>
      <xdr:rowOff>116539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112061</xdr:colOff>
      <xdr:row>135</xdr:row>
      <xdr:rowOff>11205</xdr:rowOff>
    </xdr:from>
    <xdr:to>
      <xdr:col>18</xdr:col>
      <xdr:colOff>504265</xdr:colOff>
      <xdr:row>152</xdr:row>
      <xdr:rowOff>100852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145676</xdr:colOff>
      <xdr:row>0</xdr:row>
      <xdr:rowOff>179294</xdr:rowOff>
    </xdr:from>
    <xdr:to>
      <xdr:col>1</xdr:col>
      <xdr:colOff>806823</xdr:colOff>
      <xdr:row>4</xdr:row>
      <xdr:rowOff>156883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45676" y="179294"/>
          <a:ext cx="1266265" cy="8964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tỷ</a:t>
          </a:r>
          <a:r>
            <a:rPr lang="en-US" sz="1100" baseline="0"/>
            <a:t> lệ hợp cách  gia công ngoài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173689</xdr:colOff>
      <xdr:row>33</xdr:row>
      <xdr:rowOff>67245</xdr:rowOff>
    </xdr:from>
    <xdr:to>
      <xdr:col>9</xdr:col>
      <xdr:colOff>414617</xdr:colOff>
      <xdr:row>47</xdr:row>
      <xdr:rowOff>100854</xdr:rowOff>
    </xdr:to>
    <xdr:graphicFrame macro="">
      <xdr:nvGraphicFramePr>
        <xdr:cNvPr id="2" name="グラフ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49</xdr:row>
      <xdr:rowOff>-1</xdr:rowOff>
    </xdr:from>
    <xdr:to>
      <xdr:col>9</xdr:col>
      <xdr:colOff>431428</xdr:colOff>
      <xdr:row>63</xdr:row>
      <xdr:rowOff>33609</xdr:rowOff>
    </xdr:to>
    <xdr:graphicFrame macro="">
      <xdr:nvGraphicFramePr>
        <xdr:cNvPr id="3" name="グラフ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11206</xdr:colOff>
      <xdr:row>33</xdr:row>
      <xdr:rowOff>112058</xdr:rowOff>
    </xdr:from>
    <xdr:to>
      <xdr:col>18</xdr:col>
      <xdr:colOff>50429</xdr:colOff>
      <xdr:row>47</xdr:row>
      <xdr:rowOff>145668</xdr:rowOff>
    </xdr:to>
    <xdr:graphicFrame macro="">
      <xdr:nvGraphicFramePr>
        <xdr:cNvPr id="4" name="グラフ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459441</xdr:colOff>
      <xdr:row>0</xdr:row>
      <xdr:rowOff>123265</xdr:rowOff>
    </xdr:from>
    <xdr:to>
      <xdr:col>2</xdr:col>
      <xdr:colOff>1221441</xdr:colOff>
      <xdr:row>2</xdr:row>
      <xdr:rowOff>168089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59441" y="123265"/>
          <a:ext cx="1647825" cy="397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tính</a:t>
          </a:r>
          <a:r>
            <a:rPr lang="en-US" sz="1100" baseline="0"/>
            <a:t> sản xuất</a:t>
          </a:r>
          <a:endParaRPr lang="en-US" sz="1100"/>
        </a:p>
      </xdr:txBody>
    </xdr:sp>
    <xdr:clientData/>
  </xdr:twoCellAnchor>
  <xdr:twoCellAnchor>
    <xdr:from>
      <xdr:col>4</xdr:col>
      <xdr:colOff>257734</xdr:colOff>
      <xdr:row>17</xdr:row>
      <xdr:rowOff>100853</xdr:rowOff>
    </xdr:from>
    <xdr:to>
      <xdr:col>7</xdr:col>
      <xdr:colOff>616323</xdr:colOff>
      <xdr:row>22</xdr:row>
      <xdr:rowOff>67236</xdr:rowOff>
    </xdr:to>
    <xdr:sp macro="" textlink="">
      <xdr:nvSpPr>
        <xdr:cNvPr id="6" name="Rounded Rectangular Callou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047999" y="3429000"/>
          <a:ext cx="2095500" cy="1086971"/>
        </a:xfrm>
        <a:prstGeom prst="wedgeRoundRectCallout">
          <a:avLst>
            <a:gd name="adj1" fmla="val -227045"/>
            <a:gd name="adj2" fmla="val 170747"/>
            <a:gd name="adj3" fmla="val 16667"/>
          </a:avLst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PHẦN</a:t>
          </a:r>
          <a:r>
            <a:rPr lang="en-US" sz="1100" baseline="0"/>
            <a:t> QLTB NHẬP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@D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E174"/>
  <sheetViews>
    <sheetView zoomScaleNormal="100" workbookViewId="0">
      <pane xSplit="2" ySplit="9" topLeftCell="C10" activePane="bottomRight" state="frozen"/>
      <selection pane="topRight" activeCell="B1" sqref="B1"/>
      <selection pane="bottomLeft" activeCell="A9" sqref="A9"/>
      <selection pane="bottomRight" activeCell="T17" sqref="T17"/>
    </sheetView>
  </sheetViews>
  <sheetFormatPr defaultRowHeight="13.5"/>
  <cols>
    <col min="1" max="1" width="9" style="2"/>
    <col min="2" max="2" width="17" style="53" customWidth="1"/>
    <col min="3" max="3" width="8.42578125" style="2" customWidth="1"/>
    <col min="4" max="4" width="9.28515625" style="3" customWidth="1"/>
    <col min="5" max="7" width="9" style="53"/>
    <col min="8" max="8" width="9" style="3"/>
    <col min="9" max="11" width="9" style="53"/>
    <col min="12" max="12" width="11" style="53" bestFit="1" customWidth="1"/>
    <col min="13" max="14" width="9" style="53"/>
    <col min="15" max="15" width="8.28515625" style="53" bestFit="1" customWidth="1"/>
    <col min="16" max="16" width="9.42578125" style="2" bestFit="1" customWidth="1"/>
    <col min="17" max="19" width="9" style="2"/>
    <col min="20" max="20" width="35.42578125" style="2" bestFit="1" customWidth="1"/>
    <col min="21" max="21" width="5.85546875" style="2" customWidth="1"/>
    <col min="22" max="22" width="6.42578125" style="2" customWidth="1"/>
    <col min="23" max="23" width="6.28515625" style="2" customWidth="1"/>
    <col min="24" max="24" width="7.7109375" style="2" customWidth="1"/>
    <col min="25" max="257" width="9" style="2"/>
    <col min="258" max="258" width="15.5703125" style="2" customWidth="1"/>
    <col min="259" max="259" width="8.42578125" style="2" customWidth="1"/>
    <col min="260" max="267" width="9" style="2"/>
    <col min="268" max="268" width="11" style="2" bestFit="1" customWidth="1"/>
    <col min="269" max="513" width="9" style="2"/>
    <col min="514" max="514" width="15.5703125" style="2" customWidth="1"/>
    <col min="515" max="515" width="8.42578125" style="2" customWidth="1"/>
    <col min="516" max="523" width="9" style="2"/>
    <col min="524" max="524" width="11" style="2" bestFit="1" customWidth="1"/>
    <col min="525" max="769" width="9" style="2"/>
    <col min="770" max="770" width="15.5703125" style="2" customWidth="1"/>
    <col min="771" max="771" width="8.42578125" style="2" customWidth="1"/>
    <col min="772" max="779" width="9" style="2"/>
    <col min="780" max="780" width="11" style="2" bestFit="1" customWidth="1"/>
    <col min="781" max="1025" width="9" style="2"/>
    <col min="1026" max="1026" width="15.5703125" style="2" customWidth="1"/>
    <col min="1027" max="1027" width="8.42578125" style="2" customWidth="1"/>
    <col min="1028" max="1035" width="9" style="2"/>
    <col min="1036" max="1036" width="11" style="2" bestFit="1" customWidth="1"/>
    <col min="1037" max="1281" width="9" style="2"/>
    <col min="1282" max="1282" width="15.5703125" style="2" customWidth="1"/>
    <col min="1283" max="1283" width="8.42578125" style="2" customWidth="1"/>
    <col min="1284" max="1291" width="9" style="2"/>
    <col min="1292" max="1292" width="11" style="2" bestFit="1" customWidth="1"/>
    <col min="1293" max="1537" width="9" style="2"/>
    <col min="1538" max="1538" width="15.5703125" style="2" customWidth="1"/>
    <col min="1539" max="1539" width="8.42578125" style="2" customWidth="1"/>
    <col min="1540" max="1547" width="9" style="2"/>
    <col min="1548" max="1548" width="11" style="2" bestFit="1" customWidth="1"/>
    <col min="1549" max="1793" width="9" style="2"/>
    <col min="1794" max="1794" width="15.5703125" style="2" customWidth="1"/>
    <col min="1795" max="1795" width="8.42578125" style="2" customWidth="1"/>
    <col min="1796" max="1803" width="9" style="2"/>
    <col min="1804" max="1804" width="11" style="2" bestFit="1" customWidth="1"/>
    <col min="1805" max="2049" width="9" style="2"/>
    <col min="2050" max="2050" width="15.5703125" style="2" customWidth="1"/>
    <col min="2051" max="2051" width="8.42578125" style="2" customWidth="1"/>
    <col min="2052" max="2059" width="9" style="2"/>
    <col min="2060" max="2060" width="11" style="2" bestFit="1" customWidth="1"/>
    <col min="2061" max="2305" width="9" style="2"/>
    <col min="2306" max="2306" width="15.5703125" style="2" customWidth="1"/>
    <col min="2307" max="2307" width="8.42578125" style="2" customWidth="1"/>
    <col min="2308" max="2315" width="9" style="2"/>
    <col min="2316" max="2316" width="11" style="2" bestFit="1" customWidth="1"/>
    <col min="2317" max="2561" width="9" style="2"/>
    <col min="2562" max="2562" width="15.5703125" style="2" customWidth="1"/>
    <col min="2563" max="2563" width="8.42578125" style="2" customWidth="1"/>
    <col min="2564" max="2571" width="9" style="2"/>
    <col min="2572" max="2572" width="11" style="2" bestFit="1" customWidth="1"/>
    <col min="2573" max="2817" width="9" style="2"/>
    <col min="2818" max="2818" width="15.5703125" style="2" customWidth="1"/>
    <col min="2819" max="2819" width="8.42578125" style="2" customWidth="1"/>
    <col min="2820" max="2827" width="9" style="2"/>
    <col min="2828" max="2828" width="11" style="2" bestFit="1" customWidth="1"/>
    <col min="2829" max="3073" width="9" style="2"/>
    <col min="3074" max="3074" width="15.5703125" style="2" customWidth="1"/>
    <col min="3075" max="3075" width="8.42578125" style="2" customWidth="1"/>
    <col min="3076" max="3083" width="9" style="2"/>
    <col min="3084" max="3084" width="11" style="2" bestFit="1" customWidth="1"/>
    <col min="3085" max="3329" width="9" style="2"/>
    <col min="3330" max="3330" width="15.5703125" style="2" customWidth="1"/>
    <col min="3331" max="3331" width="8.42578125" style="2" customWidth="1"/>
    <col min="3332" max="3339" width="9" style="2"/>
    <col min="3340" max="3340" width="11" style="2" bestFit="1" customWidth="1"/>
    <col min="3341" max="3585" width="9" style="2"/>
    <col min="3586" max="3586" width="15.5703125" style="2" customWidth="1"/>
    <col min="3587" max="3587" width="8.42578125" style="2" customWidth="1"/>
    <col min="3588" max="3595" width="9" style="2"/>
    <col min="3596" max="3596" width="11" style="2" bestFit="1" customWidth="1"/>
    <col min="3597" max="3841" width="9" style="2"/>
    <col min="3842" max="3842" width="15.5703125" style="2" customWidth="1"/>
    <col min="3843" max="3843" width="8.42578125" style="2" customWidth="1"/>
    <col min="3844" max="3851" width="9" style="2"/>
    <col min="3852" max="3852" width="11" style="2" bestFit="1" customWidth="1"/>
    <col min="3853" max="4097" width="9" style="2"/>
    <col min="4098" max="4098" width="15.5703125" style="2" customWidth="1"/>
    <col min="4099" max="4099" width="8.42578125" style="2" customWidth="1"/>
    <col min="4100" max="4107" width="9" style="2"/>
    <col min="4108" max="4108" width="11" style="2" bestFit="1" customWidth="1"/>
    <col min="4109" max="4353" width="9" style="2"/>
    <col min="4354" max="4354" width="15.5703125" style="2" customWidth="1"/>
    <col min="4355" max="4355" width="8.42578125" style="2" customWidth="1"/>
    <col min="4356" max="4363" width="9" style="2"/>
    <col min="4364" max="4364" width="11" style="2" bestFit="1" customWidth="1"/>
    <col min="4365" max="4609" width="9" style="2"/>
    <col min="4610" max="4610" width="15.5703125" style="2" customWidth="1"/>
    <col min="4611" max="4611" width="8.42578125" style="2" customWidth="1"/>
    <col min="4612" max="4619" width="9" style="2"/>
    <col min="4620" max="4620" width="11" style="2" bestFit="1" customWidth="1"/>
    <col min="4621" max="4865" width="9" style="2"/>
    <col min="4866" max="4866" width="15.5703125" style="2" customWidth="1"/>
    <col min="4867" max="4867" width="8.42578125" style="2" customWidth="1"/>
    <col min="4868" max="4875" width="9" style="2"/>
    <col min="4876" max="4876" width="11" style="2" bestFit="1" customWidth="1"/>
    <col min="4877" max="5121" width="9" style="2"/>
    <col min="5122" max="5122" width="15.5703125" style="2" customWidth="1"/>
    <col min="5123" max="5123" width="8.42578125" style="2" customWidth="1"/>
    <col min="5124" max="5131" width="9" style="2"/>
    <col min="5132" max="5132" width="11" style="2" bestFit="1" customWidth="1"/>
    <col min="5133" max="5377" width="9" style="2"/>
    <col min="5378" max="5378" width="15.5703125" style="2" customWidth="1"/>
    <col min="5379" max="5379" width="8.42578125" style="2" customWidth="1"/>
    <col min="5380" max="5387" width="9" style="2"/>
    <col min="5388" max="5388" width="11" style="2" bestFit="1" customWidth="1"/>
    <col min="5389" max="5633" width="9" style="2"/>
    <col min="5634" max="5634" width="15.5703125" style="2" customWidth="1"/>
    <col min="5635" max="5635" width="8.42578125" style="2" customWidth="1"/>
    <col min="5636" max="5643" width="9" style="2"/>
    <col min="5644" max="5644" width="11" style="2" bestFit="1" customWidth="1"/>
    <col min="5645" max="5889" width="9" style="2"/>
    <col min="5890" max="5890" width="15.5703125" style="2" customWidth="1"/>
    <col min="5891" max="5891" width="8.42578125" style="2" customWidth="1"/>
    <col min="5892" max="5899" width="9" style="2"/>
    <col min="5900" max="5900" width="11" style="2" bestFit="1" customWidth="1"/>
    <col min="5901" max="6145" width="9" style="2"/>
    <col min="6146" max="6146" width="15.5703125" style="2" customWidth="1"/>
    <col min="6147" max="6147" width="8.42578125" style="2" customWidth="1"/>
    <col min="6148" max="6155" width="9" style="2"/>
    <col min="6156" max="6156" width="11" style="2" bestFit="1" customWidth="1"/>
    <col min="6157" max="6401" width="9" style="2"/>
    <col min="6402" max="6402" width="15.5703125" style="2" customWidth="1"/>
    <col min="6403" max="6403" width="8.42578125" style="2" customWidth="1"/>
    <col min="6404" max="6411" width="9" style="2"/>
    <col min="6412" max="6412" width="11" style="2" bestFit="1" customWidth="1"/>
    <col min="6413" max="6657" width="9" style="2"/>
    <col min="6658" max="6658" width="15.5703125" style="2" customWidth="1"/>
    <col min="6659" max="6659" width="8.42578125" style="2" customWidth="1"/>
    <col min="6660" max="6667" width="9" style="2"/>
    <col min="6668" max="6668" width="11" style="2" bestFit="1" customWidth="1"/>
    <col min="6669" max="6913" width="9" style="2"/>
    <col min="6914" max="6914" width="15.5703125" style="2" customWidth="1"/>
    <col min="6915" max="6915" width="8.42578125" style="2" customWidth="1"/>
    <col min="6916" max="6923" width="9" style="2"/>
    <col min="6924" max="6924" width="11" style="2" bestFit="1" customWidth="1"/>
    <col min="6925" max="7169" width="9" style="2"/>
    <col min="7170" max="7170" width="15.5703125" style="2" customWidth="1"/>
    <col min="7171" max="7171" width="8.42578125" style="2" customWidth="1"/>
    <col min="7172" max="7179" width="9" style="2"/>
    <col min="7180" max="7180" width="11" style="2" bestFit="1" customWidth="1"/>
    <col min="7181" max="7425" width="9" style="2"/>
    <col min="7426" max="7426" width="15.5703125" style="2" customWidth="1"/>
    <col min="7427" max="7427" width="8.42578125" style="2" customWidth="1"/>
    <col min="7428" max="7435" width="9" style="2"/>
    <col min="7436" max="7436" width="11" style="2" bestFit="1" customWidth="1"/>
    <col min="7437" max="7681" width="9" style="2"/>
    <col min="7682" max="7682" width="15.5703125" style="2" customWidth="1"/>
    <col min="7683" max="7683" width="8.42578125" style="2" customWidth="1"/>
    <col min="7684" max="7691" width="9" style="2"/>
    <col min="7692" max="7692" width="11" style="2" bestFit="1" customWidth="1"/>
    <col min="7693" max="7937" width="9" style="2"/>
    <col min="7938" max="7938" width="15.5703125" style="2" customWidth="1"/>
    <col min="7939" max="7939" width="8.42578125" style="2" customWidth="1"/>
    <col min="7940" max="7947" width="9" style="2"/>
    <col min="7948" max="7948" width="11" style="2" bestFit="1" customWidth="1"/>
    <col min="7949" max="8193" width="9" style="2"/>
    <col min="8194" max="8194" width="15.5703125" style="2" customWidth="1"/>
    <col min="8195" max="8195" width="8.42578125" style="2" customWidth="1"/>
    <col min="8196" max="8203" width="9" style="2"/>
    <col min="8204" max="8204" width="11" style="2" bestFit="1" customWidth="1"/>
    <col min="8205" max="8449" width="9" style="2"/>
    <col min="8450" max="8450" width="15.5703125" style="2" customWidth="1"/>
    <col min="8451" max="8451" width="8.42578125" style="2" customWidth="1"/>
    <col min="8452" max="8459" width="9" style="2"/>
    <col min="8460" max="8460" width="11" style="2" bestFit="1" customWidth="1"/>
    <col min="8461" max="8705" width="9" style="2"/>
    <col min="8706" max="8706" width="15.5703125" style="2" customWidth="1"/>
    <col min="8707" max="8707" width="8.42578125" style="2" customWidth="1"/>
    <col min="8708" max="8715" width="9" style="2"/>
    <col min="8716" max="8716" width="11" style="2" bestFit="1" customWidth="1"/>
    <col min="8717" max="8961" width="9" style="2"/>
    <col min="8962" max="8962" width="15.5703125" style="2" customWidth="1"/>
    <col min="8963" max="8963" width="8.42578125" style="2" customWidth="1"/>
    <col min="8964" max="8971" width="9" style="2"/>
    <col min="8972" max="8972" width="11" style="2" bestFit="1" customWidth="1"/>
    <col min="8973" max="9217" width="9" style="2"/>
    <col min="9218" max="9218" width="15.5703125" style="2" customWidth="1"/>
    <col min="9219" max="9219" width="8.42578125" style="2" customWidth="1"/>
    <col min="9220" max="9227" width="9" style="2"/>
    <col min="9228" max="9228" width="11" style="2" bestFit="1" customWidth="1"/>
    <col min="9229" max="9473" width="9" style="2"/>
    <col min="9474" max="9474" width="15.5703125" style="2" customWidth="1"/>
    <col min="9475" max="9475" width="8.42578125" style="2" customWidth="1"/>
    <col min="9476" max="9483" width="9" style="2"/>
    <col min="9484" max="9484" width="11" style="2" bestFit="1" customWidth="1"/>
    <col min="9485" max="9729" width="9" style="2"/>
    <col min="9730" max="9730" width="15.5703125" style="2" customWidth="1"/>
    <col min="9731" max="9731" width="8.42578125" style="2" customWidth="1"/>
    <col min="9732" max="9739" width="9" style="2"/>
    <col min="9740" max="9740" width="11" style="2" bestFit="1" customWidth="1"/>
    <col min="9741" max="9985" width="9" style="2"/>
    <col min="9986" max="9986" width="15.5703125" style="2" customWidth="1"/>
    <col min="9987" max="9987" width="8.42578125" style="2" customWidth="1"/>
    <col min="9988" max="9995" width="9" style="2"/>
    <col min="9996" max="9996" width="11" style="2" bestFit="1" customWidth="1"/>
    <col min="9997" max="10241" width="9" style="2"/>
    <col min="10242" max="10242" width="15.5703125" style="2" customWidth="1"/>
    <col min="10243" max="10243" width="8.42578125" style="2" customWidth="1"/>
    <col min="10244" max="10251" width="9" style="2"/>
    <col min="10252" max="10252" width="11" style="2" bestFit="1" customWidth="1"/>
    <col min="10253" max="10497" width="9" style="2"/>
    <col min="10498" max="10498" width="15.5703125" style="2" customWidth="1"/>
    <col min="10499" max="10499" width="8.42578125" style="2" customWidth="1"/>
    <col min="10500" max="10507" width="9" style="2"/>
    <col min="10508" max="10508" width="11" style="2" bestFit="1" customWidth="1"/>
    <col min="10509" max="10753" width="9" style="2"/>
    <col min="10754" max="10754" width="15.5703125" style="2" customWidth="1"/>
    <col min="10755" max="10755" width="8.42578125" style="2" customWidth="1"/>
    <col min="10756" max="10763" width="9" style="2"/>
    <col min="10764" max="10764" width="11" style="2" bestFit="1" customWidth="1"/>
    <col min="10765" max="11009" width="9" style="2"/>
    <col min="11010" max="11010" width="15.5703125" style="2" customWidth="1"/>
    <col min="11011" max="11011" width="8.42578125" style="2" customWidth="1"/>
    <col min="11012" max="11019" width="9" style="2"/>
    <col min="11020" max="11020" width="11" style="2" bestFit="1" customWidth="1"/>
    <col min="11021" max="11265" width="9" style="2"/>
    <col min="11266" max="11266" width="15.5703125" style="2" customWidth="1"/>
    <col min="11267" max="11267" width="8.42578125" style="2" customWidth="1"/>
    <col min="11268" max="11275" width="9" style="2"/>
    <col min="11276" max="11276" width="11" style="2" bestFit="1" customWidth="1"/>
    <col min="11277" max="11521" width="9" style="2"/>
    <col min="11522" max="11522" width="15.5703125" style="2" customWidth="1"/>
    <col min="11523" max="11523" width="8.42578125" style="2" customWidth="1"/>
    <col min="11524" max="11531" width="9" style="2"/>
    <col min="11532" max="11532" width="11" style="2" bestFit="1" customWidth="1"/>
    <col min="11533" max="11777" width="9" style="2"/>
    <col min="11778" max="11778" width="15.5703125" style="2" customWidth="1"/>
    <col min="11779" max="11779" width="8.42578125" style="2" customWidth="1"/>
    <col min="11780" max="11787" width="9" style="2"/>
    <col min="11788" max="11788" width="11" style="2" bestFit="1" customWidth="1"/>
    <col min="11789" max="12033" width="9" style="2"/>
    <col min="12034" max="12034" width="15.5703125" style="2" customWidth="1"/>
    <col min="12035" max="12035" width="8.42578125" style="2" customWidth="1"/>
    <col min="12036" max="12043" width="9" style="2"/>
    <col min="12044" max="12044" width="11" style="2" bestFit="1" customWidth="1"/>
    <col min="12045" max="12289" width="9" style="2"/>
    <col min="12290" max="12290" width="15.5703125" style="2" customWidth="1"/>
    <col min="12291" max="12291" width="8.42578125" style="2" customWidth="1"/>
    <col min="12292" max="12299" width="9" style="2"/>
    <col min="12300" max="12300" width="11" style="2" bestFit="1" customWidth="1"/>
    <col min="12301" max="12545" width="9" style="2"/>
    <col min="12546" max="12546" width="15.5703125" style="2" customWidth="1"/>
    <col min="12547" max="12547" width="8.42578125" style="2" customWidth="1"/>
    <col min="12548" max="12555" width="9" style="2"/>
    <col min="12556" max="12556" width="11" style="2" bestFit="1" customWidth="1"/>
    <col min="12557" max="12801" width="9" style="2"/>
    <col min="12802" max="12802" width="15.5703125" style="2" customWidth="1"/>
    <col min="12803" max="12803" width="8.42578125" style="2" customWidth="1"/>
    <col min="12804" max="12811" width="9" style="2"/>
    <col min="12812" max="12812" width="11" style="2" bestFit="1" customWidth="1"/>
    <col min="12813" max="13057" width="9" style="2"/>
    <col min="13058" max="13058" width="15.5703125" style="2" customWidth="1"/>
    <col min="13059" max="13059" width="8.42578125" style="2" customWidth="1"/>
    <col min="13060" max="13067" width="9" style="2"/>
    <col min="13068" max="13068" width="11" style="2" bestFit="1" customWidth="1"/>
    <col min="13069" max="13313" width="9" style="2"/>
    <col min="13314" max="13314" width="15.5703125" style="2" customWidth="1"/>
    <col min="13315" max="13315" width="8.42578125" style="2" customWidth="1"/>
    <col min="13316" max="13323" width="9" style="2"/>
    <col min="13324" max="13324" width="11" style="2" bestFit="1" customWidth="1"/>
    <col min="13325" max="13569" width="9" style="2"/>
    <col min="13570" max="13570" width="15.5703125" style="2" customWidth="1"/>
    <col min="13571" max="13571" width="8.42578125" style="2" customWidth="1"/>
    <col min="13572" max="13579" width="9" style="2"/>
    <col min="13580" max="13580" width="11" style="2" bestFit="1" customWidth="1"/>
    <col min="13581" max="13825" width="9" style="2"/>
    <col min="13826" max="13826" width="15.5703125" style="2" customWidth="1"/>
    <col min="13827" max="13827" width="8.42578125" style="2" customWidth="1"/>
    <col min="13828" max="13835" width="9" style="2"/>
    <col min="13836" max="13836" width="11" style="2" bestFit="1" customWidth="1"/>
    <col min="13837" max="14081" width="9" style="2"/>
    <col min="14082" max="14082" width="15.5703125" style="2" customWidth="1"/>
    <col min="14083" max="14083" width="8.42578125" style="2" customWidth="1"/>
    <col min="14084" max="14091" width="9" style="2"/>
    <col min="14092" max="14092" width="11" style="2" bestFit="1" customWidth="1"/>
    <col min="14093" max="14337" width="9" style="2"/>
    <col min="14338" max="14338" width="15.5703125" style="2" customWidth="1"/>
    <col min="14339" max="14339" width="8.42578125" style="2" customWidth="1"/>
    <col min="14340" max="14347" width="9" style="2"/>
    <col min="14348" max="14348" width="11" style="2" bestFit="1" customWidth="1"/>
    <col min="14349" max="14593" width="9" style="2"/>
    <col min="14594" max="14594" width="15.5703125" style="2" customWidth="1"/>
    <col min="14595" max="14595" width="8.42578125" style="2" customWidth="1"/>
    <col min="14596" max="14603" width="9" style="2"/>
    <col min="14604" max="14604" width="11" style="2" bestFit="1" customWidth="1"/>
    <col min="14605" max="14849" width="9" style="2"/>
    <col min="14850" max="14850" width="15.5703125" style="2" customWidth="1"/>
    <col min="14851" max="14851" width="8.42578125" style="2" customWidth="1"/>
    <col min="14852" max="14859" width="9" style="2"/>
    <col min="14860" max="14860" width="11" style="2" bestFit="1" customWidth="1"/>
    <col min="14861" max="15105" width="9" style="2"/>
    <col min="15106" max="15106" width="15.5703125" style="2" customWidth="1"/>
    <col min="15107" max="15107" width="8.42578125" style="2" customWidth="1"/>
    <col min="15108" max="15115" width="9" style="2"/>
    <col min="15116" max="15116" width="11" style="2" bestFit="1" customWidth="1"/>
    <col min="15117" max="15361" width="9" style="2"/>
    <col min="15362" max="15362" width="15.5703125" style="2" customWidth="1"/>
    <col min="15363" max="15363" width="8.42578125" style="2" customWidth="1"/>
    <col min="15364" max="15371" width="9" style="2"/>
    <col min="15372" max="15372" width="11" style="2" bestFit="1" customWidth="1"/>
    <col min="15373" max="15617" width="9" style="2"/>
    <col min="15618" max="15618" width="15.5703125" style="2" customWidth="1"/>
    <col min="15619" max="15619" width="8.42578125" style="2" customWidth="1"/>
    <col min="15620" max="15627" width="9" style="2"/>
    <col min="15628" max="15628" width="11" style="2" bestFit="1" customWidth="1"/>
    <col min="15629" max="15873" width="9" style="2"/>
    <col min="15874" max="15874" width="15.5703125" style="2" customWidth="1"/>
    <col min="15875" max="15875" width="8.42578125" style="2" customWidth="1"/>
    <col min="15876" max="15883" width="9" style="2"/>
    <col min="15884" max="15884" width="11" style="2" bestFit="1" customWidth="1"/>
    <col min="15885" max="16129" width="9" style="2"/>
    <col min="16130" max="16130" width="15.5703125" style="2" customWidth="1"/>
    <col min="16131" max="16131" width="8.42578125" style="2" customWidth="1"/>
    <col min="16132" max="16139" width="9" style="2"/>
    <col min="16140" max="16140" width="11" style="2" bestFit="1" customWidth="1"/>
    <col min="16141" max="16384" width="9" style="2"/>
  </cols>
  <sheetData>
    <row r="1" spans="1:29" ht="18.75">
      <c r="M1" s="14"/>
    </row>
    <row r="2" spans="1:29" ht="18.75">
      <c r="D2" s="55" t="s">
        <v>23</v>
      </c>
      <c r="M2" s="14"/>
      <c r="N2" s="15"/>
    </row>
    <row r="3" spans="1:29" ht="17.25">
      <c r="D3" s="55" t="s">
        <v>24</v>
      </c>
      <c r="M3" s="2"/>
      <c r="N3" s="13"/>
    </row>
    <row r="4" spans="1:29" ht="17.25">
      <c r="D4" s="55" t="s">
        <v>21</v>
      </c>
      <c r="M4" s="2"/>
      <c r="N4" s="13"/>
    </row>
    <row r="5" spans="1:29" ht="17.25">
      <c r="D5" s="55"/>
      <c r="M5" s="2"/>
      <c r="N5" s="13"/>
    </row>
    <row r="6" spans="1:29" ht="10.5" customHeight="1" thickBot="1">
      <c r="D6" s="55"/>
      <c r="M6" s="2"/>
      <c r="N6" s="13"/>
    </row>
    <row r="7" spans="1:29" ht="18" thickBot="1">
      <c r="B7" s="56" t="s">
        <v>26</v>
      </c>
      <c r="D7" s="54" t="s">
        <v>25</v>
      </c>
      <c r="F7" s="64" t="s">
        <v>31</v>
      </c>
      <c r="G7" s="13"/>
    </row>
    <row r="8" spans="1:29">
      <c r="C8" s="2" t="s">
        <v>13</v>
      </c>
    </row>
    <row r="9" spans="1:29" ht="14.25" thickBot="1">
      <c r="A9" s="53" t="s">
        <v>27</v>
      </c>
      <c r="B9" s="53" t="s">
        <v>28</v>
      </c>
      <c r="D9" s="49" t="s">
        <v>12</v>
      </c>
      <c r="E9" s="17" t="s">
        <v>0</v>
      </c>
      <c r="F9" s="25" t="s">
        <v>1</v>
      </c>
      <c r="G9" s="25" t="s">
        <v>2</v>
      </c>
      <c r="H9" s="49" t="s">
        <v>3</v>
      </c>
      <c r="I9" s="49" t="s">
        <v>4</v>
      </c>
      <c r="J9" s="49" t="s">
        <v>5</v>
      </c>
      <c r="K9" s="49" t="s">
        <v>6</v>
      </c>
      <c r="L9" s="49" t="s">
        <v>7</v>
      </c>
      <c r="M9" s="25" t="s">
        <v>8</v>
      </c>
      <c r="N9" s="25" t="s">
        <v>9</v>
      </c>
      <c r="O9" s="25" t="s">
        <v>10</v>
      </c>
      <c r="P9" s="57" t="s">
        <v>29</v>
      </c>
      <c r="Q9" s="1"/>
    </row>
    <row r="10" spans="1:29" s="4" customFormat="1" ht="13.5" customHeight="1" thickTop="1">
      <c r="A10" s="260"/>
      <c r="B10" s="280" t="s">
        <v>14</v>
      </c>
      <c r="C10" s="26" t="s">
        <v>15</v>
      </c>
      <c r="D10" s="27">
        <f>D13+D16+D19+D22+D25+D28+D37+D40+D43+D46+D49+D52+D55+D58+D61+D64+D67+D70+D73+D76+D79+D82+D85+D91+D94+D88+D97+D31+D34+D100+D103</f>
        <v>2126</v>
      </c>
      <c r="E10" s="27">
        <f>E13+E16+E19+E22+E25+E28+E37+E40+E43+E46+E49+E52+E55+E58+E61+E64+E67+E70+E73+E76+E79+E82+E85+E91+E94+E88+E97+E31+E34+E100+E103</f>
        <v>1807</v>
      </c>
      <c r="F10" s="27">
        <f>F13+F16+F19+F22+F25+F28+F37+F40+F43+F46+F49+F52+F55+F58+F61+F64+F67+F70+F73+F76+F79+F82+F85+F91+F94+F88+F97+F31+F34+F100+F103</f>
        <v>2510</v>
      </c>
      <c r="G10" s="27">
        <f t="shared" ref="G10:O10" si="0">G13+G16+G19+G22+G25+G28+G37+G40+G43+G46+G49+G52+G55+G58+G61+G64+G67+G70+G73+G76+G79+G82+G85+G91+G94+G88+G97+G31+G34+G100+G103</f>
        <v>0</v>
      </c>
      <c r="H10" s="27">
        <f t="shared" si="0"/>
        <v>0</v>
      </c>
      <c r="I10" s="27">
        <f t="shared" si="0"/>
        <v>0</v>
      </c>
      <c r="J10" s="27">
        <f t="shared" si="0"/>
        <v>0</v>
      </c>
      <c r="K10" s="27">
        <f t="shared" si="0"/>
        <v>0</v>
      </c>
      <c r="L10" s="27">
        <f t="shared" si="0"/>
        <v>0</v>
      </c>
      <c r="M10" s="27">
        <f t="shared" si="0"/>
        <v>0</v>
      </c>
      <c r="N10" s="27">
        <f t="shared" si="0"/>
        <v>0</v>
      </c>
      <c r="O10" s="27">
        <f t="shared" si="0"/>
        <v>0</v>
      </c>
      <c r="P10" s="27">
        <f>P13+P16+P19+P22+P25+P28+P37+P40+P43+P46+P49+P52+P55+P58+P61+P64+P67+P70+P73+P76+P79+P82+P85+P91+P94+P100+P103</f>
        <v>6443</v>
      </c>
      <c r="Q10" s="42"/>
      <c r="R10" s="203"/>
      <c r="S10" s="194"/>
      <c r="T10" s="194"/>
      <c r="U10" s="194"/>
      <c r="V10" s="194"/>
      <c r="W10" s="194"/>
      <c r="X10" s="194"/>
      <c r="Y10" s="203"/>
      <c r="Z10" s="203"/>
      <c r="AA10" s="203"/>
      <c r="AB10" s="203"/>
      <c r="AC10" s="203"/>
    </row>
    <row r="11" spans="1:29" ht="13.5" customHeight="1">
      <c r="A11" s="261"/>
      <c r="B11" s="281"/>
      <c r="C11" s="28" t="s">
        <v>16</v>
      </c>
      <c r="D11" s="199">
        <f t="shared" ref="D11:E11" si="1">D14+D17+D20+D23+D26+D29+D38+D41+D44+D47+D50+D53+D56+D59+D62+D65+D68+D71+D74+D77+D80+D83+D86+D92+D95+D101</f>
        <v>0</v>
      </c>
      <c r="E11" s="199">
        <f t="shared" si="1"/>
        <v>4</v>
      </c>
      <c r="F11" s="199">
        <f>F14+F17+F20+F23+F26+F29+F38+F41+F44+F47+F50+F53+F56+F59+F62+F65+F68+F71+F74+F77+F80+F83+F86+F92+F95+F101</f>
        <v>4</v>
      </c>
      <c r="G11" s="199">
        <f t="shared" ref="G11:P11" si="2">G14+G17+G20+G23+G26+G29+G38+G41+G44+G47+G50+G53+G56+G59+G62+G65+G68+G71+G74+G77+G80+G83+G86+G92+G95</f>
        <v>0</v>
      </c>
      <c r="H11" s="199">
        <f t="shared" si="2"/>
        <v>0</v>
      </c>
      <c r="I11" s="199">
        <f t="shared" si="2"/>
        <v>0</v>
      </c>
      <c r="J11" s="199">
        <f>J14+J17+J20+J23+J26+J29+J38+J41+J44+J47+J50+J53+J56+J59+J62+J65+J68+J71+J74+J77+J80+J83+J86+J92+J95+J89</f>
        <v>0</v>
      </c>
      <c r="K11" s="199">
        <f>K14+K17+K20+K23+K26+K29+K38+K41+K44+K47+K50+K53+K56+K59+K62+K65+K68+K71+K74+K77+K80+K83+K86+K92+K95+K89+K98+K35</f>
        <v>0</v>
      </c>
      <c r="L11" s="199">
        <f>L14+L17+L20+L23+L26+L29+L38+L41+L44+L47+L50+L53+L56+L59+L62+L65+L68+L71+L74+L77+L80+L83+L86+L92+L95+L89+L98+L32+L35</f>
        <v>0</v>
      </c>
      <c r="M11" s="199">
        <f t="shared" ref="M11:O11" si="3">M14+M17+M20+M23+M26+M29+M38+M41+M44+M47+M50+M53+M56+M59+M62+M65+M68+M71+M74+M77+M80+M83+M86+M92+M95+M89+M98+M32+M35</f>
        <v>0</v>
      </c>
      <c r="N11" s="199">
        <f t="shared" si="3"/>
        <v>0</v>
      </c>
      <c r="O11" s="199">
        <f t="shared" si="3"/>
        <v>0</v>
      </c>
      <c r="P11" s="199">
        <f t="shared" si="2"/>
        <v>6</v>
      </c>
      <c r="Q11" s="7"/>
      <c r="R11" s="1"/>
      <c r="S11" s="194"/>
      <c r="T11" s="194"/>
      <c r="U11" s="194"/>
      <c r="V11" s="194"/>
      <c r="W11" s="194"/>
      <c r="X11" s="194"/>
      <c r="Y11" s="194"/>
      <c r="Z11" s="194"/>
      <c r="AA11" s="195"/>
      <c r="AB11" s="204"/>
      <c r="AC11" s="1"/>
    </row>
    <row r="12" spans="1:29" ht="13.5" customHeight="1" thickBot="1">
      <c r="A12" s="262"/>
      <c r="B12" s="282"/>
      <c r="C12" s="44" t="s">
        <v>17</v>
      </c>
      <c r="D12" s="45">
        <f t="shared" ref="D12" si="4">D11/D10</f>
        <v>0</v>
      </c>
      <c r="E12" s="45">
        <f t="shared" ref="E12:P12" si="5">E11/E10</f>
        <v>2.2136137244050912E-3</v>
      </c>
      <c r="F12" s="45">
        <f t="shared" si="5"/>
        <v>1.5936254980079682E-3</v>
      </c>
      <c r="G12" s="45" t="e">
        <f t="shared" si="5"/>
        <v>#DIV/0!</v>
      </c>
      <c r="H12" s="45" t="e">
        <f t="shared" si="5"/>
        <v>#DIV/0!</v>
      </c>
      <c r="I12" s="45" t="e">
        <f t="shared" si="5"/>
        <v>#DIV/0!</v>
      </c>
      <c r="J12" s="45" t="e">
        <f t="shared" si="5"/>
        <v>#DIV/0!</v>
      </c>
      <c r="K12" s="45" t="e">
        <f t="shared" si="5"/>
        <v>#DIV/0!</v>
      </c>
      <c r="L12" s="45" t="e">
        <f>L11/L10</f>
        <v>#DIV/0!</v>
      </c>
      <c r="M12" s="45" t="e">
        <f t="shared" si="5"/>
        <v>#DIV/0!</v>
      </c>
      <c r="N12" s="45" t="e">
        <f t="shared" si="5"/>
        <v>#DIV/0!</v>
      </c>
      <c r="O12" s="45" t="e">
        <f t="shared" si="5"/>
        <v>#DIV/0!</v>
      </c>
      <c r="P12" s="45">
        <f t="shared" si="5"/>
        <v>9.3124320968492936E-4</v>
      </c>
      <c r="Q12" s="43"/>
      <c r="R12" s="1"/>
      <c r="S12" s="194"/>
      <c r="T12" s="194"/>
      <c r="U12" s="194"/>
      <c r="V12" s="194"/>
      <c r="W12" s="194"/>
      <c r="X12" s="194"/>
      <c r="Y12" s="194"/>
      <c r="Z12" s="194"/>
      <c r="AA12" s="195"/>
      <c r="AB12" s="204"/>
      <c r="AC12" s="1"/>
    </row>
    <row r="13" spans="1:29" ht="13.5" customHeight="1">
      <c r="A13" s="263" t="s">
        <v>33</v>
      </c>
      <c r="B13" s="252" t="s">
        <v>34</v>
      </c>
      <c r="C13" s="30" t="s">
        <v>15</v>
      </c>
      <c r="D13" s="232">
        <v>13</v>
      </c>
      <c r="E13" s="232">
        <v>0</v>
      </c>
      <c r="F13" s="232">
        <v>0</v>
      </c>
      <c r="G13" s="232">
        <v>0</v>
      </c>
      <c r="H13" s="232">
        <v>0</v>
      </c>
      <c r="I13" s="232">
        <v>0</v>
      </c>
      <c r="J13" s="232">
        <v>0</v>
      </c>
      <c r="K13" s="232">
        <v>0</v>
      </c>
      <c r="L13" s="232">
        <v>0</v>
      </c>
      <c r="M13" s="232">
        <v>0</v>
      </c>
      <c r="N13" s="232">
        <v>0</v>
      </c>
      <c r="O13" s="232">
        <v>0</v>
      </c>
      <c r="P13" s="60">
        <f t="shared" ref="P13:P14" si="6">SUM(D13:O13)</f>
        <v>13</v>
      </c>
      <c r="Q13" s="1"/>
      <c r="R13" s="1"/>
      <c r="S13" s="194"/>
      <c r="T13" s="194"/>
      <c r="U13" s="194"/>
      <c r="V13" s="194"/>
      <c r="W13" s="194"/>
      <c r="X13" s="194"/>
      <c r="Y13" s="194"/>
      <c r="Z13" s="194"/>
      <c r="AA13" s="195"/>
      <c r="AB13" s="204"/>
      <c r="AC13" s="1"/>
    </row>
    <row r="14" spans="1:29" ht="13.5" customHeight="1">
      <c r="A14" s="264"/>
      <c r="B14" s="252"/>
      <c r="C14" s="28" t="s">
        <v>16</v>
      </c>
      <c r="D14" s="29">
        <v>0</v>
      </c>
      <c r="E14" s="31">
        <v>0</v>
      </c>
      <c r="F14" s="32">
        <v>0</v>
      </c>
      <c r="G14" s="32">
        <v>0</v>
      </c>
      <c r="H14" s="29">
        <v>0</v>
      </c>
      <c r="I14" s="32">
        <v>0</v>
      </c>
      <c r="J14" s="32">
        <v>0</v>
      </c>
      <c r="K14" s="29">
        <v>0</v>
      </c>
      <c r="L14" s="32">
        <v>0</v>
      </c>
      <c r="M14" s="32">
        <v>0</v>
      </c>
      <c r="N14" s="32">
        <v>0</v>
      </c>
      <c r="O14" s="32">
        <v>0</v>
      </c>
      <c r="P14" s="59">
        <f t="shared" si="6"/>
        <v>0</v>
      </c>
      <c r="Q14" s="1"/>
      <c r="R14" s="1"/>
      <c r="S14" s="194"/>
      <c r="T14" s="194"/>
      <c r="U14" s="194"/>
      <c r="V14" s="194"/>
      <c r="W14" s="194"/>
      <c r="X14" s="194"/>
      <c r="Y14" s="194"/>
      <c r="Z14" s="194"/>
      <c r="AA14" s="195"/>
      <c r="AB14" s="204"/>
      <c r="AC14" s="1"/>
    </row>
    <row r="15" spans="1:29" ht="13.5" customHeight="1" thickBot="1">
      <c r="A15" s="265"/>
      <c r="B15" s="252"/>
      <c r="C15" s="46" t="s">
        <v>17</v>
      </c>
      <c r="D15" s="47">
        <f>D14/D13</f>
        <v>0</v>
      </c>
      <c r="E15" s="47" t="e">
        <f t="shared" ref="E15:K15" si="7">E14/E13</f>
        <v>#DIV/0!</v>
      </c>
      <c r="F15" s="47" t="e">
        <f t="shared" si="7"/>
        <v>#DIV/0!</v>
      </c>
      <c r="G15" s="47" t="e">
        <f t="shared" si="7"/>
        <v>#DIV/0!</v>
      </c>
      <c r="H15" s="47" t="e">
        <f t="shared" si="7"/>
        <v>#DIV/0!</v>
      </c>
      <c r="I15" s="47" t="e">
        <f t="shared" si="7"/>
        <v>#DIV/0!</v>
      </c>
      <c r="J15" s="47" t="e">
        <f t="shared" si="7"/>
        <v>#DIV/0!</v>
      </c>
      <c r="K15" s="47" t="e">
        <f t="shared" si="7"/>
        <v>#DIV/0!</v>
      </c>
      <c r="L15" s="47">
        <v>0</v>
      </c>
      <c r="M15" s="47">
        <v>0</v>
      </c>
      <c r="N15" s="47">
        <v>0</v>
      </c>
      <c r="O15" s="47">
        <v>0</v>
      </c>
      <c r="P15" s="63">
        <f t="shared" ref="P15" si="8">P14/P13</f>
        <v>0</v>
      </c>
      <c r="Q15" s="1"/>
      <c r="R15" s="1"/>
      <c r="S15" s="194"/>
      <c r="T15" s="194"/>
      <c r="U15" s="194"/>
      <c r="V15" s="194"/>
      <c r="W15" s="194"/>
      <c r="X15" s="194"/>
      <c r="Y15" s="194"/>
      <c r="Z15" s="194"/>
      <c r="AA15" s="195"/>
      <c r="AB15" s="204"/>
      <c r="AC15" s="1"/>
    </row>
    <row r="16" spans="1:29" ht="13.5" customHeight="1">
      <c r="A16" s="266" t="s">
        <v>35</v>
      </c>
      <c r="B16" s="271" t="s">
        <v>36</v>
      </c>
      <c r="C16" s="33" t="s">
        <v>15</v>
      </c>
      <c r="D16" s="232">
        <v>13</v>
      </c>
      <c r="E16" s="232">
        <v>13</v>
      </c>
      <c r="F16" s="232">
        <v>15</v>
      </c>
      <c r="G16" s="232">
        <v>0</v>
      </c>
      <c r="H16" s="232">
        <v>0</v>
      </c>
      <c r="I16" s="232">
        <v>0</v>
      </c>
      <c r="J16" s="232">
        <v>0</v>
      </c>
      <c r="K16" s="232">
        <v>0</v>
      </c>
      <c r="L16" s="232">
        <v>0</v>
      </c>
      <c r="M16" s="232">
        <v>0</v>
      </c>
      <c r="N16" s="232">
        <v>0</v>
      </c>
      <c r="O16" s="232">
        <v>0</v>
      </c>
      <c r="P16" s="58">
        <f t="shared" ref="P16:P17" si="9">SUM(D16:O16)</f>
        <v>41</v>
      </c>
      <c r="R16" s="1"/>
      <c r="S16" s="1"/>
      <c r="T16" s="1"/>
      <c r="U16" s="194"/>
      <c r="V16" s="194"/>
      <c r="W16" s="194"/>
      <c r="X16" s="194"/>
      <c r="Y16" s="194"/>
      <c r="Z16" s="194"/>
      <c r="AA16" s="195"/>
      <c r="AB16" s="204"/>
      <c r="AC16" s="1"/>
    </row>
    <row r="17" spans="1:31" ht="13.5" customHeight="1">
      <c r="A17" s="264"/>
      <c r="B17" s="272"/>
      <c r="C17" s="36" t="s">
        <v>16</v>
      </c>
      <c r="D17" s="37">
        <v>0</v>
      </c>
      <c r="E17" s="37">
        <v>0</v>
      </c>
      <c r="F17" s="37">
        <v>0</v>
      </c>
      <c r="G17" s="37">
        <v>0</v>
      </c>
      <c r="H17" s="29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59">
        <f t="shared" si="9"/>
        <v>0</v>
      </c>
      <c r="R17" s="1"/>
      <c r="S17" s="1"/>
      <c r="T17" s="1"/>
      <c r="U17" s="194"/>
      <c r="V17" s="194"/>
      <c r="W17" s="194"/>
      <c r="X17" s="194"/>
      <c r="Y17" s="194"/>
      <c r="Z17" s="194"/>
      <c r="AA17" s="195"/>
      <c r="AB17" s="205"/>
      <c r="AC17" s="1"/>
    </row>
    <row r="18" spans="1:31" ht="13.5" customHeight="1" thickBot="1">
      <c r="A18" s="267"/>
      <c r="B18" s="273"/>
      <c r="C18" s="46" t="s">
        <v>17</v>
      </c>
      <c r="D18" s="47">
        <f t="shared" ref="D18:O18" si="10">D17/D16</f>
        <v>0</v>
      </c>
      <c r="E18" s="47">
        <f t="shared" si="10"/>
        <v>0</v>
      </c>
      <c r="F18" s="47">
        <f t="shared" si="10"/>
        <v>0</v>
      </c>
      <c r="G18" s="47" t="e">
        <f t="shared" si="10"/>
        <v>#DIV/0!</v>
      </c>
      <c r="H18" s="47" t="e">
        <f t="shared" si="10"/>
        <v>#DIV/0!</v>
      </c>
      <c r="I18" s="47" t="e">
        <f t="shared" si="10"/>
        <v>#DIV/0!</v>
      </c>
      <c r="J18" s="47" t="e">
        <f t="shared" si="10"/>
        <v>#DIV/0!</v>
      </c>
      <c r="K18" s="47" t="e">
        <f t="shared" si="10"/>
        <v>#DIV/0!</v>
      </c>
      <c r="L18" s="47" t="e">
        <f t="shared" si="10"/>
        <v>#DIV/0!</v>
      </c>
      <c r="M18" s="47" t="e">
        <f t="shared" si="10"/>
        <v>#DIV/0!</v>
      </c>
      <c r="N18" s="47" t="e">
        <f t="shared" si="10"/>
        <v>#DIV/0!</v>
      </c>
      <c r="O18" s="47" t="e">
        <f t="shared" si="10"/>
        <v>#DIV/0!</v>
      </c>
      <c r="P18" s="63">
        <f t="shared" ref="P18" si="11">P17/P16</f>
        <v>0</v>
      </c>
      <c r="T18" s="194"/>
      <c r="U18" s="194"/>
      <c r="V18" s="194"/>
      <c r="W18" s="194"/>
      <c r="X18" s="194"/>
      <c r="Y18" s="194"/>
      <c r="Z18" s="194"/>
      <c r="AA18" s="195"/>
      <c r="AB18" s="205"/>
      <c r="AC18" s="1"/>
    </row>
    <row r="19" spans="1:31" s="6" customFormat="1" ht="13.5" customHeight="1">
      <c r="A19" s="266" t="s">
        <v>37</v>
      </c>
      <c r="B19" s="274" t="s">
        <v>30</v>
      </c>
      <c r="C19" s="38" t="s">
        <v>15</v>
      </c>
      <c r="D19" s="232">
        <v>8</v>
      </c>
      <c r="E19" s="232">
        <v>20</v>
      </c>
      <c r="F19" s="232">
        <v>40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58">
        <f t="shared" ref="P19:P20" si="12">SUM(D19:O19)</f>
        <v>68</v>
      </c>
      <c r="T19" s="194"/>
      <c r="U19" s="194"/>
      <c r="V19" s="194"/>
      <c r="W19" s="194"/>
      <c r="X19" s="194"/>
      <c r="Y19" s="194"/>
      <c r="Z19" s="194"/>
      <c r="AA19" s="195"/>
      <c r="AB19" s="205"/>
      <c r="AC19" s="20"/>
    </row>
    <row r="20" spans="1:31" s="6" customFormat="1" ht="13.5" customHeight="1">
      <c r="A20" s="264"/>
      <c r="B20" s="275"/>
      <c r="C20" s="40" t="s">
        <v>16</v>
      </c>
      <c r="D20" s="29">
        <v>0</v>
      </c>
      <c r="E20" s="31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59">
        <f t="shared" si="12"/>
        <v>0</v>
      </c>
      <c r="T20" s="194"/>
      <c r="U20" s="194"/>
      <c r="V20" s="194"/>
      <c r="W20" s="194"/>
      <c r="X20" s="194"/>
      <c r="Y20" s="194"/>
      <c r="Z20" s="194"/>
      <c r="AA20" s="195"/>
      <c r="AB20" s="205"/>
      <c r="AC20" s="20"/>
    </row>
    <row r="21" spans="1:31" s="6" customFormat="1" ht="13.5" customHeight="1" thickBot="1">
      <c r="A21" s="267"/>
      <c r="B21" s="276"/>
      <c r="C21" s="46" t="s">
        <v>17</v>
      </c>
      <c r="D21" s="47">
        <f t="shared" ref="D21:P21" si="13">D20/D19</f>
        <v>0</v>
      </c>
      <c r="E21" s="47">
        <f t="shared" si="13"/>
        <v>0</v>
      </c>
      <c r="F21" s="47">
        <f t="shared" si="13"/>
        <v>0</v>
      </c>
      <c r="G21" s="47" t="e">
        <f t="shared" si="13"/>
        <v>#DIV/0!</v>
      </c>
      <c r="H21" s="47" t="e">
        <f t="shared" si="13"/>
        <v>#DIV/0!</v>
      </c>
      <c r="I21" s="47" t="e">
        <f t="shared" si="13"/>
        <v>#DIV/0!</v>
      </c>
      <c r="J21" s="47" t="e">
        <f t="shared" si="13"/>
        <v>#DIV/0!</v>
      </c>
      <c r="K21" s="47" t="e">
        <f t="shared" si="13"/>
        <v>#DIV/0!</v>
      </c>
      <c r="L21" s="47" t="e">
        <f t="shared" si="13"/>
        <v>#DIV/0!</v>
      </c>
      <c r="M21" s="47" t="e">
        <f t="shared" si="13"/>
        <v>#DIV/0!</v>
      </c>
      <c r="N21" s="47" t="e">
        <f t="shared" si="13"/>
        <v>#DIV/0!</v>
      </c>
      <c r="O21" s="47" t="e">
        <f t="shared" si="13"/>
        <v>#DIV/0!</v>
      </c>
      <c r="P21" s="61">
        <f t="shared" si="13"/>
        <v>0</v>
      </c>
      <c r="T21" s="20"/>
      <c r="U21" s="194"/>
      <c r="V21" s="194"/>
      <c r="W21" s="194"/>
      <c r="X21" s="194"/>
      <c r="Y21" s="194"/>
      <c r="Z21" s="194"/>
      <c r="AA21" s="195"/>
      <c r="AB21" s="205"/>
      <c r="AC21" s="20"/>
    </row>
    <row r="22" spans="1:31" s="6" customFormat="1" ht="13.5" customHeight="1">
      <c r="A22" s="254" t="s">
        <v>141</v>
      </c>
      <c r="B22" s="274" t="s">
        <v>142</v>
      </c>
      <c r="C22" s="38" t="s">
        <v>15</v>
      </c>
      <c r="D22" s="35">
        <v>12</v>
      </c>
      <c r="E22" s="35">
        <v>0</v>
      </c>
      <c r="F22" s="35">
        <v>12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58">
        <f t="shared" ref="P22:P23" si="14">SUM(D22:O22)</f>
        <v>24</v>
      </c>
      <c r="U22" s="194"/>
      <c r="V22" s="194"/>
      <c r="W22" s="194"/>
      <c r="X22" s="194"/>
      <c r="Y22" s="194"/>
      <c r="Z22" s="194"/>
      <c r="AA22" s="195"/>
      <c r="AB22" s="205"/>
      <c r="AC22" s="20"/>
    </row>
    <row r="23" spans="1:31" s="6" customFormat="1" ht="13.5" customHeight="1">
      <c r="A23" s="255"/>
      <c r="B23" s="275"/>
      <c r="C23" s="40" t="s">
        <v>16</v>
      </c>
      <c r="D23" s="29">
        <v>0</v>
      </c>
      <c r="E23" s="31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59">
        <f t="shared" si="14"/>
        <v>0</v>
      </c>
      <c r="T23" s="20"/>
      <c r="U23" s="194"/>
      <c r="V23" s="194"/>
      <c r="W23" s="194"/>
      <c r="X23" s="194"/>
      <c r="Y23" s="194"/>
      <c r="Z23" s="194"/>
      <c r="AA23" s="195"/>
      <c r="AB23" s="205"/>
      <c r="AC23" s="20"/>
    </row>
    <row r="24" spans="1:31" s="6" customFormat="1" ht="13.5" customHeight="1" thickBot="1">
      <c r="A24" s="256"/>
      <c r="B24" s="276"/>
      <c r="C24" s="46" t="s">
        <v>17</v>
      </c>
      <c r="D24" s="47">
        <f t="shared" ref="D24:O24" si="15">D23/D22</f>
        <v>0</v>
      </c>
      <c r="E24" s="47" t="e">
        <f t="shared" si="15"/>
        <v>#DIV/0!</v>
      </c>
      <c r="F24" s="47">
        <f t="shared" si="15"/>
        <v>0</v>
      </c>
      <c r="G24" s="47" t="e">
        <f t="shared" si="15"/>
        <v>#DIV/0!</v>
      </c>
      <c r="H24" s="47" t="e">
        <f t="shared" si="15"/>
        <v>#DIV/0!</v>
      </c>
      <c r="I24" s="47" t="e">
        <f t="shared" si="15"/>
        <v>#DIV/0!</v>
      </c>
      <c r="J24" s="47" t="e">
        <f t="shared" si="15"/>
        <v>#DIV/0!</v>
      </c>
      <c r="K24" s="47" t="e">
        <f t="shared" si="15"/>
        <v>#DIV/0!</v>
      </c>
      <c r="L24" s="47" t="e">
        <f t="shared" si="15"/>
        <v>#DIV/0!</v>
      </c>
      <c r="M24" s="47" t="e">
        <f t="shared" si="15"/>
        <v>#DIV/0!</v>
      </c>
      <c r="N24" s="47" t="e">
        <f t="shared" si="15"/>
        <v>#DIV/0!</v>
      </c>
      <c r="O24" s="47" t="e">
        <f t="shared" si="15"/>
        <v>#DIV/0!</v>
      </c>
      <c r="P24" s="61">
        <f t="shared" ref="P24" si="16">P20/P19</f>
        <v>0</v>
      </c>
      <c r="T24" s="20"/>
      <c r="U24" s="194"/>
      <c r="V24" s="194"/>
      <c r="W24" s="194"/>
      <c r="X24" s="194"/>
      <c r="Y24" s="194"/>
      <c r="Z24" s="194"/>
      <c r="AA24" s="195"/>
      <c r="AB24" s="205"/>
      <c r="AC24" s="20"/>
    </row>
    <row r="25" spans="1:31" s="6" customFormat="1" ht="13.5" customHeight="1">
      <c r="A25" s="254" t="s">
        <v>143</v>
      </c>
      <c r="B25" s="275"/>
      <c r="C25" s="38" t="s">
        <v>15</v>
      </c>
      <c r="D25" s="232">
        <v>4</v>
      </c>
      <c r="E25" s="232">
        <v>3</v>
      </c>
      <c r="F25" s="232">
        <v>4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58">
        <f t="shared" ref="P25:P26" si="17">SUM(D25:O25)</f>
        <v>11</v>
      </c>
      <c r="T25" s="20"/>
      <c r="U25" s="194"/>
      <c r="V25" s="194"/>
      <c r="W25" s="194"/>
      <c r="X25" s="194"/>
      <c r="Y25" s="194"/>
      <c r="Z25" s="194"/>
      <c r="AA25" s="195"/>
      <c r="AB25" s="205"/>
      <c r="AC25" s="20"/>
    </row>
    <row r="26" spans="1:31" s="6" customFormat="1" ht="13.5" customHeight="1">
      <c r="A26" s="255"/>
      <c r="B26" s="275"/>
      <c r="C26" s="40" t="s">
        <v>16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59">
        <f t="shared" si="17"/>
        <v>0</v>
      </c>
      <c r="T26" s="20"/>
      <c r="U26" s="194"/>
      <c r="V26" s="194"/>
      <c r="W26" s="194"/>
      <c r="X26" s="194"/>
      <c r="Y26" s="194"/>
      <c r="Z26" s="194"/>
      <c r="AA26" s="195"/>
      <c r="AB26" s="205"/>
      <c r="AC26" s="196"/>
      <c r="AD26" s="197"/>
      <c r="AE26" s="197"/>
    </row>
    <row r="27" spans="1:31" s="6" customFormat="1" ht="13.5" customHeight="1" thickBot="1">
      <c r="A27" s="256"/>
      <c r="B27" s="276"/>
      <c r="C27" s="46" t="s">
        <v>17</v>
      </c>
      <c r="D27" s="47">
        <f t="shared" ref="D27:G27" si="18">D26/D25</f>
        <v>0</v>
      </c>
      <c r="E27" s="47">
        <f t="shared" si="18"/>
        <v>0</v>
      </c>
      <c r="F27" s="47">
        <f t="shared" si="18"/>
        <v>0</v>
      </c>
      <c r="G27" s="47" t="e">
        <f t="shared" si="18"/>
        <v>#DIV/0!</v>
      </c>
      <c r="H27" s="47" t="e">
        <f t="shared" ref="H27:O27" si="19">H26/H25</f>
        <v>#DIV/0!</v>
      </c>
      <c r="I27" s="47" t="e">
        <f t="shared" si="19"/>
        <v>#DIV/0!</v>
      </c>
      <c r="J27" s="47" t="e">
        <f t="shared" si="19"/>
        <v>#DIV/0!</v>
      </c>
      <c r="K27" s="47" t="e">
        <f t="shared" si="19"/>
        <v>#DIV/0!</v>
      </c>
      <c r="L27" s="47" t="e">
        <f t="shared" si="19"/>
        <v>#DIV/0!</v>
      </c>
      <c r="M27" s="47" t="e">
        <f t="shared" si="19"/>
        <v>#DIV/0!</v>
      </c>
      <c r="N27" s="47" t="e">
        <f t="shared" si="19"/>
        <v>#DIV/0!</v>
      </c>
      <c r="O27" s="47" t="e">
        <f t="shared" si="19"/>
        <v>#DIV/0!</v>
      </c>
      <c r="P27" s="61">
        <f t="shared" ref="P27" si="20">P23/P22</f>
        <v>0</v>
      </c>
      <c r="T27" s="20"/>
      <c r="U27" s="194"/>
      <c r="V27" s="194"/>
      <c r="W27" s="194"/>
      <c r="X27" s="194"/>
      <c r="Y27" s="194"/>
      <c r="Z27" s="194"/>
      <c r="AA27" s="195"/>
      <c r="AB27" s="205"/>
      <c r="AC27" s="196"/>
      <c r="AD27" s="197"/>
      <c r="AE27" s="197"/>
    </row>
    <row r="28" spans="1:31" ht="13.5" customHeight="1">
      <c r="A28" s="268" t="s">
        <v>158</v>
      </c>
      <c r="B28" s="251" t="s">
        <v>38</v>
      </c>
      <c r="C28" s="41" t="s">
        <v>15</v>
      </c>
      <c r="D28" s="232">
        <v>32</v>
      </c>
      <c r="E28" s="232">
        <v>9</v>
      </c>
      <c r="F28" s="232">
        <v>15</v>
      </c>
      <c r="G28" s="232">
        <v>0</v>
      </c>
      <c r="H28" s="232">
        <v>0</v>
      </c>
      <c r="I28" s="232">
        <v>0</v>
      </c>
      <c r="J28" s="232">
        <v>0</v>
      </c>
      <c r="K28" s="232">
        <v>0</v>
      </c>
      <c r="L28" s="232">
        <v>0</v>
      </c>
      <c r="M28" s="232">
        <v>0</v>
      </c>
      <c r="N28" s="232">
        <v>0</v>
      </c>
      <c r="O28" s="232">
        <v>0</v>
      </c>
      <c r="P28" s="62">
        <f t="shared" ref="P28:P29" si="21">SUM(D28:O28)</f>
        <v>56</v>
      </c>
      <c r="S28" s="194"/>
      <c r="T28" s="194"/>
      <c r="U28" s="194"/>
      <c r="V28" s="194"/>
      <c r="W28" s="194"/>
      <c r="X28" s="194"/>
      <c r="Y28" s="192"/>
      <c r="Z28" s="192"/>
      <c r="AA28" s="202"/>
      <c r="AB28" s="206"/>
      <c r="AC28" s="196"/>
      <c r="AD28" s="197"/>
      <c r="AE28" s="197"/>
    </row>
    <row r="29" spans="1:31" ht="13.5" customHeight="1">
      <c r="A29" s="269"/>
      <c r="B29" s="252"/>
      <c r="C29" s="28" t="s">
        <v>16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62">
        <f t="shared" si="21"/>
        <v>0</v>
      </c>
      <c r="S29" s="194"/>
      <c r="T29" s="194"/>
      <c r="U29" s="194"/>
      <c r="V29" s="194"/>
      <c r="W29" s="194"/>
      <c r="X29" s="194"/>
      <c r="Y29" s="194"/>
      <c r="Z29" s="192"/>
      <c r="AA29" s="192"/>
      <c r="AB29" s="198"/>
      <c r="AC29" s="196"/>
      <c r="AD29" s="197"/>
      <c r="AE29" s="197"/>
    </row>
    <row r="30" spans="1:31" ht="13.5" customHeight="1" thickBot="1">
      <c r="A30" s="270"/>
      <c r="B30" s="253"/>
      <c r="C30" s="46" t="s">
        <v>17</v>
      </c>
      <c r="D30" s="47">
        <f t="shared" ref="D30:O30" si="22">D29/D28</f>
        <v>0</v>
      </c>
      <c r="E30" s="47">
        <f t="shared" si="22"/>
        <v>0</v>
      </c>
      <c r="F30" s="47">
        <f t="shared" si="22"/>
        <v>0</v>
      </c>
      <c r="G30" s="47" t="e">
        <f t="shared" si="22"/>
        <v>#DIV/0!</v>
      </c>
      <c r="H30" s="47" t="e">
        <f t="shared" si="22"/>
        <v>#DIV/0!</v>
      </c>
      <c r="I30" s="47" t="e">
        <f t="shared" si="22"/>
        <v>#DIV/0!</v>
      </c>
      <c r="J30" s="47" t="e">
        <f t="shared" si="22"/>
        <v>#DIV/0!</v>
      </c>
      <c r="K30" s="47" t="e">
        <f t="shared" si="22"/>
        <v>#DIV/0!</v>
      </c>
      <c r="L30" s="47" t="e">
        <f t="shared" si="22"/>
        <v>#DIV/0!</v>
      </c>
      <c r="M30" s="47" t="e">
        <f t="shared" si="22"/>
        <v>#DIV/0!</v>
      </c>
      <c r="N30" s="47" t="e">
        <f t="shared" si="22"/>
        <v>#DIV/0!</v>
      </c>
      <c r="O30" s="47" t="e">
        <f t="shared" si="22"/>
        <v>#DIV/0!</v>
      </c>
      <c r="P30" s="230">
        <f t="shared" ref="P30" si="23">P29/P28</f>
        <v>0</v>
      </c>
      <c r="S30" s="194"/>
      <c r="T30" s="194"/>
      <c r="U30" s="194"/>
      <c r="V30" s="194"/>
      <c r="W30" s="194"/>
      <c r="X30" s="194"/>
      <c r="Y30" s="194"/>
      <c r="Z30" s="192"/>
      <c r="AA30" s="192"/>
      <c r="AB30" s="198"/>
      <c r="AC30" s="196"/>
      <c r="AD30" s="197"/>
      <c r="AE30" s="197"/>
    </row>
    <row r="31" spans="1:31" ht="13.5" customHeight="1">
      <c r="A31" s="268" t="s">
        <v>163</v>
      </c>
      <c r="B31" s="251" t="s">
        <v>164</v>
      </c>
      <c r="C31" s="41" t="s">
        <v>15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62">
        <f>SUM(D31:O31)</f>
        <v>0</v>
      </c>
      <c r="S31" s="194"/>
      <c r="T31" s="194"/>
      <c r="U31" s="194"/>
      <c r="V31" s="194"/>
      <c r="W31" s="194"/>
      <c r="X31" s="194"/>
      <c r="Y31" s="194"/>
      <c r="Z31" s="192"/>
      <c r="AA31" s="192"/>
      <c r="AB31" s="198"/>
      <c r="AC31" s="196"/>
      <c r="AD31" s="197"/>
      <c r="AE31" s="197"/>
    </row>
    <row r="32" spans="1:31" ht="13.5" customHeight="1">
      <c r="A32" s="269"/>
      <c r="B32" s="252"/>
      <c r="C32" s="28" t="s">
        <v>16</v>
      </c>
      <c r="D32" s="32"/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62">
        <f>SUM(D32:O32)</f>
        <v>0</v>
      </c>
      <c r="S32" s="194"/>
      <c r="T32" s="194"/>
      <c r="U32" s="194"/>
      <c r="V32" s="194"/>
      <c r="W32" s="194"/>
      <c r="X32" s="194"/>
      <c r="Y32" s="194"/>
      <c r="Z32" s="192"/>
      <c r="AA32" s="192"/>
      <c r="AB32" s="198"/>
      <c r="AC32" s="196"/>
      <c r="AD32" s="197"/>
      <c r="AE32" s="197"/>
    </row>
    <row r="33" spans="1:31" ht="13.5" customHeight="1" thickBot="1">
      <c r="A33" s="270"/>
      <c r="B33" s="253"/>
      <c r="C33" s="46" t="s">
        <v>17</v>
      </c>
      <c r="D33" s="47" t="e">
        <f t="shared" ref="D33:O33" si="24">D32/D31</f>
        <v>#DIV/0!</v>
      </c>
      <c r="E33" s="47" t="e">
        <f t="shared" si="24"/>
        <v>#DIV/0!</v>
      </c>
      <c r="F33" s="47" t="e">
        <f t="shared" si="24"/>
        <v>#DIV/0!</v>
      </c>
      <c r="G33" s="47" t="e">
        <f t="shared" si="24"/>
        <v>#DIV/0!</v>
      </c>
      <c r="H33" s="47" t="e">
        <f t="shared" si="24"/>
        <v>#DIV/0!</v>
      </c>
      <c r="I33" s="47" t="e">
        <f t="shared" si="24"/>
        <v>#DIV/0!</v>
      </c>
      <c r="J33" s="47" t="e">
        <f t="shared" si="24"/>
        <v>#DIV/0!</v>
      </c>
      <c r="K33" s="47" t="e">
        <f t="shared" si="24"/>
        <v>#DIV/0!</v>
      </c>
      <c r="L33" s="47" t="e">
        <f t="shared" si="24"/>
        <v>#DIV/0!</v>
      </c>
      <c r="M33" s="47" t="e">
        <f t="shared" si="24"/>
        <v>#DIV/0!</v>
      </c>
      <c r="N33" s="47" t="e">
        <f t="shared" si="24"/>
        <v>#DIV/0!</v>
      </c>
      <c r="O33" s="47" t="e">
        <f t="shared" si="24"/>
        <v>#DIV/0!</v>
      </c>
      <c r="P33" s="227" t="e">
        <f>P32/P31</f>
        <v>#DIV/0!</v>
      </c>
      <c r="S33" s="194"/>
      <c r="T33" s="194"/>
      <c r="U33" s="194"/>
      <c r="V33" s="194"/>
      <c r="W33" s="194"/>
      <c r="X33" s="194"/>
      <c r="Y33" s="194"/>
      <c r="Z33" s="192"/>
      <c r="AA33" s="192"/>
      <c r="AB33" s="198"/>
      <c r="AC33" s="196"/>
      <c r="AD33" s="197"/>
      <c r="AE33" s="197"/>
    </row>
    <row r="34" spans="1:31" ht="13.5" customHeight="1">
      <c r="A34" s="277" t="s">
        <v>174</v>
      </c>
      <c r="B34" s="251" t="s">
        <v>173</v>
      </c>
      <c r="C34" s="41" t="s">
        <v>15</v>
      </c>
      <c r="D34" s="35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62">
        <f>SUM(D34:O34)</f>
        <v>0</v>
      </c>
      <c r="S34" s="194"/>
      <c r="T34" s="194"/>
      <c r="U34" s="194"/>
      <c r="V34" s="194"/>
      <c r="W34" s="194"/>
      <c r="X34" s="194"/>
      <c r="Y34" s="192"/>
      <c r="Z34" s="192"/>
      <c r="AA34" s="202"/>
      <c r="AB34" s="206"/>
      <c r="AC34" s="196"/>
      <c r="AD34" s="197"/>
      <c r="AE34" s="197"/>
    </row>
    <row r="35" spans="1:31" ht="13.5" customHeight="1">
      <c r="A35" s="278"/>
      <c r="B35" s="252"/>
      <c r="C35" s="28" t="s">
        <v>16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32">
        <v>0</v>
      </c>
      <c r="P35" s="62">
        <f>SUM(D35:O35)</f>
        <v>0</v>
      </c>
      <c r="S35" s="194"/>
      <c r="T35" s="194"/>
      <c r="U35" s="194"/>
      <c r="V35" s="194"/>
      <c r="W35" s="194"/>
      <c r="X35" s="194"/>
      <c r="Y35" s="194"/>
      <c r="Z35" s="192"/>
      <c r="AA35" s="192"/>
      <c r="AB35" s="198"/>
      <c r="AC35" s="196"/>
      <c r="AD35" s="197"/>
      <c r="AE35" s="197"/>
    </row>
    <row r="36" spans="1:31" ht="13.5" customHeight="1" thickBot="1">
      <c r="A36" s="279"/>
      <c r="B36" s="253"/>
      <c r="C36" s="46" t="s">
        <v>17</v>
      </c>
      <c r="D36" s="47" t="e">
        <f>D35/D34</f>
        <v>#DIV/0!</v>
      </c>
      <c r="E36" s="47" t="e">
        <f t="shared" ref="E36:O36" si="25">E35/E34</f>
        <v>#DIV/0!</v>
      </c>
      <c r="F36" s="47" t="e">
        <f t="shared" si="25"/>
        <v>#DIV/0!</v>
      </c>
      <c r="G36" s="47" t="e">
        <f t="shared" si="25"/>
        <v>#DIV/0!</v>
      </c>
      <c r="H36" s="47" t="e">
        <f>H35/H34</f>
        <v>#DIV/0!</v>
      </c>
      <c r="I36" s="47" t="e">
        <f t="shared" si="25"/>
        <v>#DIV/0!</v>
      </c>
      <c r="J36" s="47" t="e">
        <f t="shared" si="25"/>
        <v>#DIV/0!</v>
      </c>
      <c r="K36" s="47" t="e">
        <f t="shared" si="25"/>
        <v>#DIV/0!</v>
      </c>
      <c r="L36" s="47" t="e">
        <f t="shared" si="25"/>
        <v>#DIV/0!</v>
      </c>
      <c r="M36" s="47" t="e">
        <f t="shared" si="25"/>
        <v>#DIV/0!</v>
      </c>
      <c r="N36" s="47" t="e">
        <f t="shared" si="25"/>
        <v>#DIV/0!</v>
      </c>
      <c r="O36" s="47" t="e">
        <f t="shared" si="25"/>
        <v>#DIV/0!</v>
      </c>
      <c r="P36" s="231" t="e">
        <f>P35/P34</f>
        <v>#DIV/0!</v>
      </c>
      <c r="S36" s="194"/>
      <c r="T36" s="194"/>
      <c r="U36" s="194"/>
      <c r="V36" s="194"/>
      <c r="W36" s="194"/>
      <c r="X36" s="194"/>
      <c r="Y36" s="194"/>
      <c r="Z36" s="192"/>
      <c r="AA36" s="192"/>
      <c r="AB36" s="198"/>
      <c r="AC36" s="196"/>
      <c r="AD36" s="197"/>
      <c r="AE36" s="197"/>
    </row>
    <row r="37" spans="1:31" ht="13.5" customHeight="1">
      <c r="A37" s="263" t="s">
        <v>155</v>
      </c>
      <c r="B37" s="252" t="s">
        <v>45</v>
      </c>
      <c r="C37" s="41" t="s">
        <v>15</v>
      </c>
      <c r="D37" s="35">
        <v>14</v>
      </c>
      <c r="E37" s="35">
        <v>0</v>
      </c>
      <c r="F37" s="35">
        <v>29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58">
        <f t="shared" ref="P37:P38" si="26">SUM(D37:O37)</f>
        <v>43</v>
      </c>
      <c r="S37" s="194"/>
      <c r="T37" s="207"/>
      <c r="U37" s="207"/>
      <c r="V37" s="207"/>
      <c r="W37" s="207"/>
      <c r="X37" s="207"/>
      <c r="Y37" s="207"/>
      <c r="Z37" s="198"/>
      <c r="AA37" s="192"/>
      <c r="AB37" s="198"/>
      <c r="AC37" s="196"/>
      <c r="AD37" s="197"/>
      <c r="AE37" s="197"/>
    </row>
    <row r="38" spans="1:31" ht="13.5" customHeight="1">
      <c r="A38" s="264"/>
      <c r="B38" s="252"/>
      <c r="C38" s="28" t="s">
        <v>16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32">
        <v>0</v>
      </c>
      <c r="P38" s="59">
        <f t="shared" si="26"/>
        <v>0</v>
      </c>
      <c r="T38" s="207"/>
      <c r="U38" s="207"/>
      <c r="V38" s="207"/>
      <c r="W38" s="207"/>
      <c r="X38" s="207"/>
      <c r="Y38" s="207"/>
      <c r="Z38" s="207"/>
      <c r="AA38" s="195"/>
      <c r="AB38" s="205"/>
      <c r="AC38" s="196"/>
      <c r="AD38" s="197"/>
      <c r="AE38" s="197"/>
    </row>
    <row r="39" spans="1:31" ht="13.5" customHeight="1" thickBot="1">
      <c r="A39" s="265"/>
      <c r="B39" s="252"/>
      <c r="C39" s="46" t="s">
        <v>17</v>
      </c>
      <c r="D39" s="47">
        <f t="shared" ref="D39:O39" si="27">D38/D37</f>
        <v>0</v>
      </c>
      <c r="E39" s="47" t="e">
        <f t="shared" si="27"/>
        <v>#DIV/0!</v>
      </c>
      <c r="F39" s="47">
        <f t="shared" si="27"/>
        <v>0</v>
      </c>
      <c r="G39" s="47" t="e">
        <f t="shared" si="27"/>
        <v>#DIV/0!</v>
      </c>
      <c r="H39" s="47" t="e">
        <f t="shared" si="27"/>
        <v>#DIV/0!</v>
      </c>
      <c r="I39" s="47" t="e">
        <f t="shared" si="27"/>
        <v>#DIV/0!</v>
      </c>
      <c r="J39" s="47" t="e">
        <f t="shared" si="27"/>
        <v>#DIV/0!</v>
      </c>
      <c r="K39" s="47" t="e">
        <f t="shared" si="27"/>
        <v>#DIV/0!</v>
      </c>
      <c r="L39" s="47" t="e">
        <f t="shared" si="27"/>
        <v>#DIV/0!</v>
      </c>
      <c r="M39" s="47" t="e">
        <f t="shared" si="27"/>
        <v>#DIV/0!</v>
      </c>
      <c r="N39" s="47" t="e">
        <f t="shared" si="27"/>
        <v>#DIV/0!</v>
      </c>
      <c r="O39" s="47" t="e">
        <f t="shared" si="27"/>
        <v>#DIV/0!</v>
      </c>
      <c r="P39" s="61">
        <f t="shared" ref="P39" si="28">P38/P37</f>
        <v>0</v>
      </c>
      <c r="S39" s="1"/>
      <c r="T39" s="207"/>
      <c r="U39" s="207"/>
      <c r="V39" s="207"/>
      <c r="W39" s="207"/>
      <c r="X39" s="207"/>
      <c r="Y39" s="207"/>
      <c r="Z39" s="207"/>
      <c r="AA39" s="195"/>
      <c r="AB39" s="205"/>
      <c r="AC39" s="196"/>
      <c r="AD39" s="197"/>
      <c r="AE39" s="197"/>
    </row>
    <row r="40" spans="1:31" ht="13.5" customHeight="1">
      <c r="A40" s="266" t="s">
        <v>39</v>
      </c>
      <c r="B40" s="271" t="s">
        <v>44</v>
      </c>
      <c r="C40" s="33" t="s">
        <v>15</v>
      </c>
      <c r="D40" s="34">
        <v>16</v>
      </c>
      <c r="E40" s="34">
        <v>3</v>
      </c>
      <c r="F40" s="34">
        <v>21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62">
        <f t="shared" ref="P40:P41" si="29">SUM(D40:O40)</f>
        <v>40</v>
      </c>
      <c r="S40" s="194"/>
      <c r="T40" s="207"/>
      <c r="U40" s="207"/>
      <c r="V40" s="207"/>
      <c r="W40" s="207"/>
      <c r="X40" s="207"/>
      <c r="Y40" s="207"/>
      <c r="Z40" s="205"/>
      <c r="AA40" s="197"/>
      <c r="AB40" s="205"/>
      <c r="AC40" s="196"/>
      <c r="AD40" s="197"/>
      <c r="AE40" s="197"/>
    </row>
    <row r="41" spans="1:31" ht="13.5" customHeight="1">
      <c r="A41" s="264"/>
      <c r="B41" s="272"/>
      <c r="C41" s="36" t="s">
        <v>16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59">
        <f t="shared" si="29"/>
        <v>0</v>
      </c>
      <c r="S41" s="194"/>
      <c r="T41" s="207"/>
      <c r="U41" s="207"/>
      <c r="V41" s="207"/>
      <c r="W41" s="207"/>
      <c r="X41" s="207"/>
      <c r="Y41" s="207"/>
      <c r="Z41" s="205"/>
      <c r="AA41" s="197"/>
      <c r="AB41" s="205"/>
      <c r="AC41" s="196"/>
      <c r="AD41" s="197"/>
      <c r="AE41" s="197"/>
    </row>
    <row r="42" spans="1:31" ht="13.5" customHeight="1" thickBot="1">
      <c r="A42" s="267"/>
      <c r="B42" s="273"/>
      <c r="C42" s="46" t="s">
        <v>17</v>
      </c>
      <c r="D42" s="47">
        <f t="shared" ref="D42:O42" si="30">D41/D40</f>
        <v>0</v>
      </c>
      <c r="E42" s="47">
        <f t="shared" si="30"/>
        <v>0</v>
      </c>
      <c r="F42" s="47">
        <f t="shared" si="30"/>
        <v>0</v>
      </c>
      <c r="G42" s="47" t="e">
        <f t="shared" si="30"/>
        <v>#DIV/0!</v>
      </c>
      <c r="H42" s="47" t="e">
        <f t="shared" si="30"/>
        <v>#DIV/0!</v>
      </c>
      <c r="I42" s="47" t="e">
        <f t="shared" si="30"/>
        <v>#DIV/0!</v>
      </c>
      <c r="J42" s="47" t="e">
        <f t="shared" si="30"/>
        <v>#DIV/0!</v>
      </c>
      <c r="K42" s="47" t="e">
        <f t="shared" si="30"/>
        <v>#DIV/0!</v>
      </c>
      <c r="L42" s="47" t="e">
        <f t="shared" si="30"/>
        <v>#DIV/0!</v>
      </c>
      <c r="M42" s="47" t="e">
        <f t="shared" si="30"/>
        <v>#DIV/0!</v>
      </c>
      <c r="N42" s="47" t="e">
        <f t="shared" si="30"/>
        <v>#DIV/0!</v>
      </c>
      <c r="O42" s="47" t="e">
        <f t="shared" si="30"/>
        <v>#DIV/0!</v>
      </c>
      <c r="P42" s="61">
        <f t="shared" ref="P42" si="31">P41/P40</f>
        <v>0</v>
      </c>
      <c r="S42" s="207"/>
      <c r="T42" s="207"/>
      <c r="U42" s="207"/>
      <c r="V42" s="207"/>
      <c r="W42" s="207"/>
      <c r="X42" s="207"/>
      <c r="Y42" s="212"/>
      <c r="Z42" s="205"/>
      <c r="AA42" s="207"/>
      <c r="AB42"/>
      <c r="AC42" s="196"/>
      <c r="AD42" s="197"/>
      <c r="AE42" s="197"/>
    </row>
    <row r="43" spans="1:31" ht="13.5" customHeight="1">
      <c r="A43" s="263" t="s">
        <v>40</v>
      </c>
      <c r="B43" s="252" t="s">
        <v>41</v>
      </c>
      <c r="C43" s="41" t="s">
        <v>15</v>
      </c>
      <c r="D43" s="35">
        <v>103</v>
      </c>
      <c r="E43" s="35">
        <v>59</v>
      </c>
      <c r="F43" s="35">
        <v>64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62">
        <f t="shared" ref="P43:P44" si="32">SUM(D43:O43)</f>
        <v>226</v>
      </c>
      <c r="S43" s="207"/>
      <c r="T43" s="207"/>
      <c r="U43" s="207"/>
      <c r="V43" s="207"/>
      <c r="W43" s="207"/>
      <c r="X43" s="207"/>
      <c r="Y43" s="212"/>
      <c r="Z43" s="205"/>
      <c r="AA43" s="207"/>
      <c r="AB43"/>
      <c r="AC43" s="196"/>
      <c r="AD43" s="197"/>
      <c r="AE43" s="197"/>
    </row>
    <row r="44" spans="1:31" ht="13.5" customHeight="1">
      <c r="A44" s="264"/>
      <c r="B44" s="252"/>
      <c r="C44" s="28" t="s">
        <v>16</v>
      </c>
      <c r="D44" s="29">
        <v>0</v>
      </c>
      <c r="E44" s="29">
        <v>1</v>
      </c>
      <c r="F44" s="29">
        <v>4</v>
      </c>
      <c r="G44" s="29">
        <v>0</v>
      </c>
      <c r="H44" s="29">
        <v>0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59">
        <f t="shared" si="32"/>
        <v>5</v>
      </c>
      <c r="S44" s="219"/>
      <c r="T44" s="219"/>
      <c r="U44" s="219"/>
      <c r="V44" s="220"/>
      <c r="W44" s="220"/>
      <c r="X44" s="221"/>
      <c r="Y44" s="211"/>
      <c r="Z44" s="209"/>
      <c r="AA44" s="207"/>
      <c r="AB44"/>
      <c r="AC44" s="196"/>
      <c r="AD44" s="197"/>
      <c r="AE44" s="197"/>
    </row>
    <row r="45" spans="1:31" ht="13.5" customHeight="1" thickBot="1">
      <c r="A45" s="265"/>
      <c r="B45" s="252"/>
      <c r="C45" s="46" t="s">
        <v>17</v>
      </c>
      <c r="D45" s="47">
        <f t="shared" ref="D45:O45" si="33">D44/D43</f>
        <v>0</v>
      </c>
      <c r="E45" s="47">
        <f t="shared" si="33"/>
        <v>1.6949152542372881E-2</v>
      </c>
      <c r="F45" s="47">
        <f t="shared" si="33"/>
        <v>6.25E-2</v>
      </c>
      <c r="G45" s="47" t="e">
        <f t="shared" si="33"/>
        <v>#DIV/0!</v>
      </c>
      <c r="H45" s="47" t="e">
        <f t="shared" si="33"/>
        <v>#DIV/0!</v>
      </c>
      <c r="I45" s="47" t="e">
        <f t="shared" si="33"/>
        <v>#DIV/0!</v>
      </c>
      <c r="J45" s="47" t="e">
        <f t="shared" si="33"/>
        <v>#DIV/0!</v>
      </c>
      <c r="K45" s="47" t="e">
        <f t="shared" si="33"/>
        <v>#DIV/0!</v>
      </c>
      <c r="L45" s="47" t="e">
        <f t="shared" si="33"/>
        <v>#DIV/0!</v>
      </c>
      <c r="M45" s="47" t="e">
        <f t="shared" si="33"/>
        <v>#DIV/0!</v>
      </c>
      <c r="N45" s="47" t="e">
        <f t="shared" si="33"/>
        <v>#DIV/0!</v>
      </c>
      <c r="O45" s="47" t="e">
        <f t="shared" si="33"/>
        <v>#DIV/0!</v>
      </c>
      <c r="P45" s="61">
        <f t="shared" ref="P45" si="34">P44/P43</f>
        <v>2.2123893805309734E-2</v>
      </c>
      <c r="S45" s="219"/>
      <c r="T45" s="219"/>
      <c r="U45" s="219"/>
      <c r="V45" s="220"/>
      <c r="W45" s="220"/>
      <c r="X45" s="221"/>
      <c r="Y45" s="211"/>
      <c r="Z45" s="210"/>
      <c r="AA45" s="207"/>
      <c r="AB45"/>
      <c r="AC45" s="196"/>
      <c r="AD45" s="197"/>
      <c r="AE45" s="197"/>
    </row>
    <row r="46" spans="1:31" ht="13.5" customHeight="1">
      <c r="A46" s="268" t="s">
        <v>42</v>
      </c>
      <c r="B46" s="251" t="s">
        <v>43</v>
      </c>
      <c r="C46" s="41" t="s">
        <v>15</v>
      </c>
      <c r="D46" s="35">
        <v>142</v>
      </c>
      <c r="E46" s="35">
        <v>428</v>
      </c>
      <c r="F46" s="35">
        <v>178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62">
        <f t="shared" ref="P46:P47" si="35">SUM(D46:O46)</f>
        <v>748</v>
      </c>
      <c r="S46" s="219"/>
      <c r="T46" s="219"/>
      <c r="U46" s="219"/>
      <c r="V46" s="220"/>
      <c r="W46" s="220"/>
      <c r="X46" s="221"/>
      <c r="Y46" s="211"/>
      <c r="Z46" s="209"/>
      <c r="AA46" s="207"/>
      <c r="AB46"/>
      <c r="AC46" s="196"/>
      <c r="AD46" s="197"/>
      <c r="AE46" s="197"/>
    </row>
    <row r="47" spans="1:31" ht="13.5" customHeight="1">
      <c r="A47" s="269"/>
      <c r="B47" s="252"/>
      <c r="C47" s="28" t="s">
        <v>16</v>
      </c>
      <c r="D47" s="29">
        <v>0</v>
      </c>
      <c r="E47" s="29">
        <v>0</v>
      </c>
      <c r="F47" s="32">
        <v>0</v>
      </c>
      <c r="G47" s="32">
        <v>0</v>
      </c>
      <c r="H47" s="29">
        <v>0</v>
      </c>
      <c r="I47" s="32">
        <v>0</v>
      </c>
      <c r="J47" s="32">
        <v>0</v>
      </c>
      <c r="K47" s="29">
        <v>0</v>
      </c>
      <c r="L47" s="29">
        <v>0</v>
      </c>
      <c r="M47" s="32">
        <v>0</v>
      </c>
      <c r="N47" s="32">
        <v>0</v>
      </c>
      <c r="O47" s="32">
        <v>0</v>
      </c>
      <c r="P47" s="59">
        <f t="shared" si="35"/>
        <v>0</v>
      </c>
      <c r="S47" s="219"/>
      <c r="T47" s="219"/>
      <c r="U47" s="219"/>
      <c r="V47" s="220"/>
      <c r="W47" s="220"/>
      <c r="X47" s="221"/>
      <c r="Y47" s="211"/>
      <c r="Z47" s="209"/>
      <c r="AA47" s="207"/>
      <c r="AB47"/>
      <c r="AC47" s="196"/>
      <c r="AD47" s="197"/>
      <c r="AE47" s="197"/>
    </row>
    <row r="48" spans="1:31" ht="13.5" customHeight="1" thickBot="1">
      <c r="A48" s="270"/>
      <c r="B48" s="253"/>
      <c r="C48" s="46" t="s">
        <v>17</v>
      </c>
      <c r="D48" s="47">
        <f t="shared" ref="D48:O48" si="36">D47/D46</f>
        <v>0</v>
      </c>
      <c r="E48" s="47">
        <f t="shared" si="36"/>
        <v>0</v>
      </c>
      <c r="F48" s="47">
        <f t="shared" si="36"/>
        <v>0</v>
      </c>
      <c r="G48" s="47" t="e">
        <f t="shared" si="36"/>
        <v>#DIV/0!</v>
      </c>
      <c r="H48" s="47" t="e">
        <f t="shared" si="36"/>
        <v>#DIV/0!</v>
      </c>
      <c r="I48" s="47" t="e">
        <f t="shared" si="36"/>
        <v>#DIV/0!</v>
      </c>
      <c r="J48" s="47" t="e">
        <f t="shared" si="36"/>
        <v>#DIV/0!</v>
      </c>
      <c r="K48" s="47" t="e">
        <f t="shared" si="36"/>
        <v>#DIV/0!</v>
      </c>
      <c r="L48" s="47" t="e">
        <f t="shared" si="36"/>
        <v>#DIV/0!</v>
      </c>
      <c r="M48" s="47" t="e">
        <f t="shared" si="36"/>
        <v>#DIV/0!</v>
      </c>
      <c r="N48" s="47" t="e">
        <f t="shared" si="36"/>
        <v>#DIV/0!</v>
      </c>
      <c r="O48" s="47" t="e">
        <f t="shared" si="36"/>
        <v>#DIV/0!</v>
      </c>
      <c r="P48" s="61">
        <f t="shared" ref="P48" si="37">P47/P46</f>
        <v>0</v>
      </c>
      <c r="S48" s="219"/>
      <c r="T48" s="219"/>
      <c r="U48" s="219"/>
      <c r="V48" s="220"/>
      <c r="W48" s="220"/>
      <c r="X48" s="221"/>
      <c r="Y48" s="211"/>
      <c r="Z48" s="209"/>
      <c r="AA48" s="207"/>
      <c r="AB48"/>
      <c r="AC48" s="196"/>
      <c r="AD48" s="197"/>
      <c r="AE48" s="197"/>
    </row>
    <row r="49" spans="1:31" ht="13.5" customHeight="1">
      <c r="A49" s="268" t="s">
        <v>46</v>
      </c>
      <c r="B49" s="274" t="s">
        <v>152</v>
      </c>
      <c r="C49" s="38" t="s">
        <v>15</v>
      </c>
      <c r="D49" s="51">
        <v>31</v>
      </c>
      <c r="E49" s="51">
        <v>44</v>
      </c>
      <c r="F49" s="51">
        <v>64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62">
        <f t="shared" ref="P49:P50" si="38">SUM(D49:O49)</f>
        <v>139</v>
      </c>
      <c r="S49" s="219"/>
      <c r="T49" s="219"/>
      <c r="U49" s="219"/>
      <c r="V49" s="220"/>
      <c r="W49" s="220"/>
      <c r="X49" s="221"/>
      <c r="Y49" s="211"/>
      <c r="Z49" s="209"/>
      <c r="AA49" s="207"/>
      <c r="AB49"/>
      <c r="AC49" s="196"/>
      <c r="AD49" s="197"/>
      <c r="AE49" s="197"/>
    </row>
    <row r="50" spans="1:31" ht="13.5" customHeight="1">
      <c r="A50" s="269"/>
      <c r="B50" s="275"/>
      <c r="C50" s="40" t="s">
        <v>16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9">
        <f t="shared" si="38"/>
        <v>0</v>
      </c>
      <c r="S50" s="219"/>
      <c r="T50" s="219"/>
      <c r="U50" s="219"/>
      <c r="V50" s="220"/>
      <c r="W50" s="220"/>
      <c r="X50" s="221"/>
      <c r="Y50" s="211"/>
      <c r="Z50" s="209"/>
      <c r="AA50" s="207"/>
      <c r="AB50"/>
      <c r="AC50" s="196"/>
      <c r="AD50" s="197"/>
      <c r="AE50" s="197"/>
    </row>
    <row r="51" spans="1:31" ht="13.5" customHeight="1" thickBot="1">
      <c r="A51" s="270"/>
      <c r="B51" s="276"/>
      <c r="C51" s="46" t="s">
        <v>17</v>
      </c>
      <c r="D51" s="47">
        <f t="shared" ref="D51:P51" si="39">D50/D49</f>
        <v>0</v>
      </c>
      <c r="E51" s="47">
        <f t="shared" si="39"/>
        <v>0</v>
      </c>
      <c r="F51" s="47">
        <f t="shared" si="39"/>
        <v>0</v>
      </c>
      <c r="G51" s="47" t="e">
        <f t="shared" si="39"/>
        <v>#DIV/0!</v>
      </c>
      <c r="H51" s="47" t="e">
        <f t="shared" si="39"/>
        <v>#DIV/0!</v>
      </c>
      <c r="I51" s="47" t="e">
        <f t="shared" si="39"/>
        <v>#DIV/0!</v>
      </c>
      <c r="J51" s="47" t="e">
        <f t="shared" si="39"/>
        <v>#DIV/0!</v>
      </c>
      <c r="K51" s="47" t="e">
        <f t="shared" si="39"/>
        <v>#DIV/0!</v>
      </c>
      <c r="L51" s="47" t="e">
        <f t="shared" si="39"/>
        <v>#DIV/0!</v>
      </c>
      <c r="M51" s="47" t="e">
        <f t="shared" si="39"/>
        <v>#DIV/0!</v>
      </c>
      <c r="N51" s="47" t="e">
        <f t="shared" si="39"/>
        <v>#DIV/0!</v>
      </c>
      <c r="O51" s="47" t="e">
        <f t="shared" si="39"/>
        <v>#DIV/0!</v>
      </c>
      <c r="P51" s="61">
        <f t="shared" si="39"/>
        <v>0</v>
      </c>
      <c r="S51" s="219"/>
      <c r="T51" s="219"/>
      <c r="U51" s="219"/>
      <c r="V51" s="220"/>
      <c r="W51" s="220"/>
      <c r="X51" s="221"/>
      <c r="Y51" s="211"/>
      <c r="Z51" s="209"/>
      <c r="AA51" s="207"/>
      <c r="AB51"/>
    </row>
    <row r="52" spans="1:31" ht="13.5" customHeight="1">
      <c r="A52" s="283" t="s">
        <v>171</v>
      </c>
      <c r="B52" s="272" t="s">
        <v>172</v>
      </c>
      <c r="C52" s="41" t="s">
        <v>15</v>
      </c>
      <c r="D52" s="35">
        <v>376</v>
      </c>
      <c r="E52" s="35">
        <v>246</v>
      </c>
      <c r="F52" s="35">
        <v>419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62">
        <f t="shared" ref="P52:P53" si="40">SUM(D52:O52)</f>
        <v>1041</v>
      </c>
      <c r="S52" s="219"/>
      <c r="T52" s="219"/>
      <c r="U52" s="219"/>
      <c r="V52" s="220"/>
      <c r="W52" s="220"/>
      <c r="X52" s="221"/>
      <c r="Y52" s="211"/>
      <c r="Z52" s="209"/>
      <c r="AA52" s="207"/>
      <c r="AB52"/>
    </row>
    <row r="53" spans="1:31" ht="13.5" customHeight="1">
      <c r="A53" s="284"/>
      <c r="B53" s="272"/>
      <c r="C53" s="28" t="s">
        <v>16</v>
      </c>
      <c r="D53" s="29">
        <v>0</v>
      </c>
      <c r="E53" s="29">
        <v>0</v>
      </c>
      <c r="F53" s="29">
        <v>0</v>
      </c>
      <c r="G53" s="29">
        <v>0</v>
      </c>
      <c r="H53" s="29">
        <v>0</v>
      </c>
      <c r="I53" s="29">
        <v>0</v>
      </c>
      <c r="J53" s="29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59">
        <f t="shared" si="40"/>
        <v>0</v>
      </c>
      <c r="S53" s="219"/>
      <c r="T53" s="219"/>
      <c r="U53" s="219"/>
      <c r="V53" s="220"/>
      <c r="W53" s="220"/>
      <c r="X53" s="221"/>
      <c r="Y53" s="211"/>
      <c r="Z53" s="210"/>
      <c r="AA53" s="207"/>
      <c r="AB53"/>
    </row>
    <row r="54" spans="1:31" ht="13.5" customHeight="1" thickBot="1">
      <c r="A54" s="285"/>
      <c r="B54" s="272"/>
      <c r="C54" s="46" t="s">
        <v>17</v>
      </c>
      <c r="D54" s="47">
        <f t="shared" ref="D54:G54" si="41">D53/D52</f>
        <v>0</v>
      </c>
      <c r="E54" s="47">
        <f t="shared" si="41"/>
        <v>0</v>
      </c>
      <c r="F54" s="47">
        <f t="shared" si="41"/>
        <v>0</v>
      </c>
      <c r="G54" s="47" t="e">
        <f t="shared" si="41"/>
        <v>#DIV/0!</v>
      </c>
      <c r="H54" s="47" t="e">
        <f t="shared" ref="H54:O54" si="42">H53/H52</f>
        <v>#DIV/0!</v>
      </c>
      <c r="I54" s="47" t="e">
        <f t="shared" si="42"/>
        <v>#DIV/0!</v>
      </c>
      <c r="J54" s="47" t="e">
        <f t="shared" si="42"/>
        <v>#DIV/0!</v>
      </c>
      <c r="K54" s="47" t="e">
        <f t="shared" si="42"/>
        <v>#DIV/0!</v>
      </c>
      <c r="L54" s="47" t="e">
        <f t="shared" si="42"/>
        <v>#DIV/0!</v>
      </c>
      <c r="M54" s="47" t="e">
        <f t="shared" si="42"/>
        <v>#DIV/0!</v>
      </c>
      <c r="N54" s="47" t="e">
        <f t="shared" si="42"/>
        <v>#DIV/0!</v>
      </c>
      <c r="O54" s="47" t="e">
        <f t="shared" si="42"/>
        <v>#DIV/0!</v>
      </c>
      <c r="P54" s="61">
        <f t="shared" ref="P54" si="43">P53/P52</f>
        <v>0</v>
      </c>
      <c r="S54" s="219"/>
      <c r="T54" s="219"/>
      <c r="U54" s="219"/>
      <c r="V54" s="220"/>
      <c r="W54" s="220"/>
      <c r="X54" s="221"/>
      <c r="Y54" s="211"/>
      <c r="Z54" s="209"/>
      <c r="AA54" s="207"/>
      <c r="AB54"/>
    </row>
    <row r="55" spans="1:31" ht="13.5" customHeight="1">
      <c r="A55" s="266" t="s">
        <v>167</v>
      </c>
      <c r="B55" s="251" t="s">
        <v>168</v>
      </c>
      <c r="C55" s="41" t="s">
        <v>15</v>
      </c>
      <c r="D55" s="35">
        <v>0</v>
      </c>
      <c r="E55" s="35">
        <v>0</v>
      </c>
      <c r="F55" s="35">
        <v>4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62">
        <f t="shared" ref="P55:P56" si="44">SUM(D55:O55)</f>
        <v>4</v>
      </c>
      <c r="S55" s="219"/>
      <c r="T55" s="219"/>
      <c r="U55" s="219"/>
      <c r="V55" s="220"/>
      <c r="W55" s="220"/>
      <c r="X55" s="221"/>
      <c r="Y55" s="211"/>
      <c r="Z55" s="209"/>
      <c r="AA55" s="208"/>
      <c r="AB55"/>
    </row>
    <row r="56" spans="1:31" ht="13.5" customHeight="1">
      <c r="A56" s="264"/>
      <c r="B56" s="252"/>
      <c r="C56" s="28" t="s">
        <v>16</v>
      </c>
      <c r="D56" s="29">
        <v>0</v>
      </c>
      <c r="E56" s="29">
        <v>0</v>
      </c>
      <c r="F56" s="29">
        <v>0</v>
      </c>
      <c r="G56" s="29">
        <v>0</v>
      </c>
      <c r="H56" s="29">
        <v>0</v>
      </c>
      <c r="I56" s="29">
        <v>0</v>
      </c>
      <c r="J56" s="29">
        <v>0</v>
      </c>
      <c r="K56" s="29">
        <v>0</v>
      </c>
      <c r="L56" s="29">
        <v>0</v>
      </c>
      <c r="M56" s="29">
        <v>0</v>
      </c>
      <c r="N56" s="29">
        <v>0</v>
      </c>
      <c r="O56" s="29">
        <v>0</v>
      </c>
      <c r="P56" s="59">
        <f t="shared" si="44"/>
        <v>0</v>
      </c>
      <c r="S56" s="219"/>
      <c r="T56" s="219"/>
      <c r="U56" s="219"/>
      <c r="V56" s="220"/>
      <c r="W56" s="220"/>
      <c r="X56" s="221"/>
      <c r="Y56" s="211"/>
      <c r="Z56" s="209"/>
      <c r="AA56" s="208"/>
    </row>
    <row r="57" spans="1:31" ht="13.5" customHeight="1" thickBot="1">
      <c r="A57" s="267"/>
      <c r="B57" s="253"/>
      <c r="C57" s="46" t="s">
        <v>17</v>
      </c>
      <c r="D57" s="47" t="e">
        <f t="shared" ref="D57:E57" si="45">D56/D55</f>
        <v>#DIV/0!</v>
      </c>
      <c r="E57" s="47" t="e">
        <f t="shared" si="45"/>
        <v>#DIV/0!</v>
      </c>
      <c r="F57" s="47">
        <f t="shared" ref="F57:G57" si="46">F56/F55</f>
        <v>0</v>
      </c>
      <c r="G57" s="47" t="e">
        <f t="shared" si="46"/>
        <v>#DIV/0!</v>
      </c>
      <c r="H57" s="47" t="e">
        <f t="shared" ref="H57:O57" si="47">H56/H55</f>
        <v>#DIV/0!</v>
      </c>
      <c r="I57" s="47" t="e">
        <f t="shared" si="47"/>
        <v>#DIV/0!</v>
      </c>
      <c r="J57" s="47" t="e">
        <f t="shared" si="47"/>
        <v>#DIV/0!</v>
      </c>
      <c r="K57" s="47" t="e">
        <f t="shared" si="47"/>
        <v>#DIV/0!</v>
      </c>
      <c r="L57" s="47" t="e">
        <f t="shared" si="47"/>
        <v>#DIV/0!</v>
      </c>
      <c r="M57" s="47" t="e">
        <f t="shared" si="47"/>
        <v>#DIV/0!</v>
      </c>
      <c r="N57" s="47" t="e">
        <f t="shared" si="47"/>
        <v>#DIV/0!</v>
      </c>
      <c r="O57" s="47" t="e">
        <f t="shared" si="47"/>
        <v>#DIV/0!</v>
      </c>
      <c r="P57" s="61">
        <f t="shared" ref="P57" si="48">P56/P55</f>
        <v>0</v>
      </c>
      <c r="S57" s="219"/>
      <c r="T57" s="219"/>
      <c r="U57" s="219"/>
      <c r="V57" s="220"/>
      <c r="W57" s="220"/>
      <c r="X57" s="221"/>
      <c r="Y57" s="211"/>
      <c r="Z57" s="209"/>
      <c r="AA57" s="207"/>
    </row>
    <row r="58" spans="1:31" ht="13.5" customHeight="1">
      <c r="A58" s="263" t="s">
        <v>165</v>
      </c>
      <c r="B58" s="251" t="s">
        <v>166</v>
      </c>
      <c r="C58" s="41" t="s">
        <v>15</v>
      </c>
      <c r="D58" s="35">
        <v>0</v>
      </c>
      <c r="E58" s="35">
        <v>4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9">
        <v>0</v>
      </c>
      <c r="L58" s="39">
        <v>0</v>
      </c>
      <c r="M58" s="39">
        <v>0</v>
      </c>
      <c r="N58" s="39">
        <v>0</v>
      </c>
      <c r="O58" s="39">
        <v>0</v>
      </c>
      <c r="P58" s="62">
        <f t="shared" ref="P58:P59" si="49">SUM(D58:O58)</f>
        <v>4</v>
      </c>
      <c r="S58" s="219"/>
      <c r="T58" s="219"/>
      <c r="U58" s="219"/>
      <c r="V58" s="220"/>
      <c r="W58" s="220"/>
      <c r="X58" s="221"/>
      <c r="Y58" s="211"/>
      <c r="Z58" s="209"/>
      <c r="AA58" s="207"/>
    </row>
    <row r="59" spans="1:31" ht="13.5" customHeight="1">
      <c r="A59" s="264"/>
      <c r="B59" s="252"/>
      <c r="C59" s="28" t="s">
        <v>16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59">
        <f t="shared" si="49"/>
        <v>0</v>
      </c>
      <c r="S59" s="219"/>
      <c r="T59" s="219"/>
      <c r="U59" s="219"/>
      <c r="V59" s="220"/>
      <c r="W59" s="220"/>
      <c r="X59" s="221"/>
      <c r="Y59" s="218"/>
      <c r="Z59" s="209"/>
      <c r="AA59" s="207"/>
    </row>
    <row r="60" spans="1:31" ht="13.5" customHeight="1" thickBot="1">
      <c r="A60" s="265"/>
      <c r="B60" s="253"/>
      <c r="C60" s="46" t="s">
        <v>17</v>
      </c>
      <c r="D60" s="47" t="e">
        <f t="shared" ref="D60:E60" si="50">D59/D58</f>
        <v>#DIV/0!</v>
      </c>
      <c r="E60" s="47">
        <f t="shared" si="50"/>
        <v>0</v>
      </c>
      <c r="F60" s="47" t="e">
        <f t="shared" ref="F60:G60" si="51">F59/F58</f>
        <v>#DIV/0!</v>
      </c>
      <c r="G60" s="47" t="e">
        <f t="shared" si="51"/>
        <v>#DIV/0!</v>
      </c>
      <c r="H60" s="47" t="e">
        <f t="shared" ref="H60:O60" si="52">H59/H58</f>
        <v>#DIV/0!</v>
      </c>
      <c r="I60" s="47" t="e">
        <f t="shared" si="52"/>
        <v>#DIV/0!</v>
      </c>
      <c r="J60" s="47" t="e">
        <f t="shared" si="52"/>
        <v>#DIV/0!</v>
      </c>
      <c r="K60" s="47" t="e">
        <f t="shared" si="52"/>
        <v>#DIV/0!</v>
      </c>
      <c r="L60" s="47" t="e">
        <f t="shared" si="52"/>
        <v>#DIV/0!</v>
      </c>
      <c r="M60" s="47" t="e">
        <f t="shared" si="52"/>
        <v>#DIV/0!</v>
      </c>
      <c r="N60" s="47" t="e">
        <f t="shared" si="52"/>
        <v>#DIV/0!</v>
      </c>
      <c r="O60" s="47" t="e">
        <f t="shared" si="52"/>
        <v>#DIV/0!</v>
      </c>
      <c r="P60" s="61">
        <f t="shared" ref="P60" si="53">P59/P58</f>
        <v>0</v>
      </c>
      <c r="S60" s="222"/>
      <c r="T60" s="222"/>
      <c r="U60" s="219"/>
      <c r="V60" s="220"/>
      <c r="W60" s="220"/>
      <c r="X60" s="221"/>
      <c r="Y60" s="211"/>
      <c r="Z60" s="209"/>
      <c r="AA60" s="207"/>
    </row>
    <row r="61" spans="1:31" ht="13.5" customHeight="1">
      <c r="A61" s="286" t="s">
        <v>47</v>
      </c>
      <c r="B61" s="252" t="s">
        <v>48</v>
      </c>
      <c r="C61" s="41" t="s">
        <v>15</v>
      </c>
      <c r="D61" s="35">
        <v>63</v>
      </c>
      <c r="E61" s="35">
        <v>25</v>
      </c>
      <c r="F61" s="35">
        <v>57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62">
        <f t="shared" ref="P61:P62" si="54">SUM(D61:O61)</f>
        <v>145</v>
      </c>
      <c r="S61" s="223"/>
      <c r="T61" s="223"/>
      <c r="U61" s="223"/>
      <c r="V61" s="223"/>
      <c r="W61" s="223"/>
      <c r="X61" s="208"/>
      <c r="Y61" s="206"/>
      <c r="Z61" s="206"/>
      <c r="AA61" s="207"/>
    </row>
    <row r="62" spans="1:31" ht="13.5" customHeight="1">
      <c r="A62" s="287"/>
      <c r="B62" s="252"/>
      <c r="C62" s="28" t="s">
        <v>16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32">
        <v>0</v>
      </c>
      <c r="O62" s="32">
        <v>0</v>
      </c>
      <c r="P62" s="59">
        <f t="shared" si="54"/>
        <v>0</v>
      </c>
      <c r="S62" s="207"/>
      <c r="T62" s="207"/>
      <c r="U62" s="207"/>
      <c r="V62" s="207"/>
      <c r="W62" s="207"/>
      <c r="X62" s="207"/>
      <c r="Y62" s="211"/>
      <c r="Z62" s="210"/>
      <c r="AA62" s="207"/>
    </row>
    <row r="63" spans="1:31" ht="13.5" customHeight="1" thickBot="1">
      <c r="A63" s="288"/>
      <c r="B63" s="252"/>
      <c r="C63" s="46" t="s">
        <v>17</v>
      </c>
      <c r="D63" s="47">
        <f t="shared" ref="D63:O63" si="55">D62/D61</f>
        <v>0</v>
      </c>
      <c r="E63" s="47">
        <f t="shared" si="55"/>
        <v>0</v>
      </c>
      <c r="F63" s="47">
        <f t="shared" si="55"/>
        <v>0</v>
      </c>
      <c r="G63" s="47" t="e">
        <f t="shared" si="55"/>
        <v>#DIV/0!</v>
      </c>
      <c r="H63" s="47" t="e">
        <f t="shared" si="55"/>
        <v>#DIV/0!</v>
      </c>
      <c r="I63" s="47" t="e">
        <f t="shared" si="55"/>
        <v>#DIV/0!</v>
      </c>
      <c r="J63" s="47" t="e">
        <f t="shared" si="55"/>
        <v>#DIV/0!</v>
      </c>
      <c r="K63" s="47" t="e">
        <f t="shared" si="55"/>
        <v>#DIV/0!</v>
      </c>
      <c r="L63" s="47" t="e">
        <f t="shared" si="55"/>
        <v>#DIV/0!</v>
      </c>
      <c r="M63" s="47" t="e">
        <f t="shared" si="55"/>
        <v>#DIV/0!</v>
      </c>
      <c r="N63" s="47" t="e">
        <f t="shared" si="55"/>
        <v>#DIV/0!</v>
      </c>
      <c r="O63" s="47" t="e">
        <f t="shared" si="55"/>
        <v>#DIV/0!</v>
      </c>
      <c r="P63" s="61">
        <f t="shared" ref="P63" si="56">P62/P61</f>
        <v>0</v>
      </c>
      <c r="S63" s="207"/>
      <c r="T63" s="207"/>
      <c r="U63" s="207"/>
      <c r="V63" s="207"/>
      <c r="W63" s="207"/>
      <c r="X63" s="207"/>
      <c r="Y63" s="211"/>
      <c r="Z63" s="210"/>
      <c r="AA63" s="208"/>
    </row>
    <row r="64" spans="1:31" ht="13.5" customHeight="1">
      <c r="A64" s="248" t="s">
        <v>179</v>
      </c>
      <c r="B64" s="289" t="s">
        <v>156</v>
      </c>
      <c r="C64" s="41" t="s">
        <v>15</v>
      </c>
      <c r="D64" s="35">
        <v>34</v>
      </c>
      <c r="E64" s="35">
        <v>26</v>
      </c>
      <c r="F64" s="35">
        <v>24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62">
        <f t="shared" ref="P64:P65" si="57">SUM(D64:O64)</f>
        <v>84</v>
      </c>
      <c r="S64" s="207"/>
      <c r="T64" s="207"/>
      <c r="U64" s="207"/>
      <c r="V64" s="207"/>
      <c r="W64" s="207"/>
      <c r="X64" s="207"/>
      <c r="Y64" s="207"/>
      <c r="Z64" s="208"/>
      <c r="AA64" s="20"/>
    </row>
    <row r="65" spans="1:27" ht="13.5" customHeight="1">
      <c r="A65" s="249"/>
      <c r="B65" s="275"/>
      <c r="C65" s="28" t="s">
        <v>16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32">
        <v>0</v>
      </c>
      <c r="O65" s="32">
        <v>0</v>
      </c>
      <c r="P65" s="59">
        <f t="shared" si="57"/>
        <v>0</v>
      </c>
      <c r="S65" s="6"/>
      <c r="T65" s="6"/>
      <c r="U65" s="6"/>
      <c r="V65" s="6"/>
      <c r="W65" s="6"/>
      <c r="X65" s="6"/>
      <c r="Y65" s="6"/>
      <c r="Z65" s="6"/>
      <c r="AA65" s="6"/>
    </row>
    <row r="66" spans="1:27" ht="13.5" customHeight="1" thickBot="1">
      <c r="A66" s="250"/>
      <c r="B66" s="276"/>
      <c r="C66" s="46" t="s">
        <v>17</v>
      </c>
      <c r="D66" s="47">
        <f t="shared" ref="D66:O66" si="58">D65/D64</f>
        <v>0</v>
      </c>
      <c r="E66" s="47">
        <f t="shared" si="58"/>
        <v>0</v>
      </c>
      <c r="F66" s="47">
        <f t="shared" si="58"/>
        <v>0</v>
      </c>
      <c r="G66" s="47" t="e">
        <f t="shared" si="58"/>
        <v>#DIV/0!</v>
      </c>
      <c r="H66" s="47" t="e">
        <f t="shared" si="58"/>
        <v>#DIV/0!</v>
      </c>
      <c r="I66" s="47" t="e">
        <f t="shared" si="58"/>
        <v>#DIV/0!</v>
      </c>
      <c r="J66" s="47" t="e">
        <f t="shared" si="58"/>
        <v>#DIV/0!</v>
      </c>
      <c r="K66" s="47" t="e">
        <f t="shared" si="58"/>
        <v>#DIV/0!</v>
      </c>
      <c r="L66" s="47" t="e">
        <f t="shared" si="58"/>
        <v>#DIV/0!</v>
      </c>
      <c r="M66" s="47" t="e">
        <f t="shared" si="58"/>
        <v>#DIV/0!</v>
      </c>
      <c r="N66" s="47" t="e">
        <f t="shared" si="58"/>
        <v>#DIV/0!</v>
      </c>
      <c r="O66" s="47" t="e">
        <f t="shared" si="58"/>
        <v>#DIV/0!</v>
      </c>
      <c r="P66" s="61">
        <f t="shared" ref="P66" si="59">P65/P64</f>
        <v>0</v>
      </c>
    </row>
    <row r="67" spans="1:27" ht="13.5" customHeight="1">
      <c r="A67" s="245" t="s">
        <v>176</v>
      </c>
      <c r="B67" s="274" t="s">
        <v>177</v>
      </c>
      <c r="C67" s="41" t="s">
        <v>15</v>
      </c>
      <c r="D67" s="35">
        <v>0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9">
        <v>0</v>
      </c>
      <c r="P67" s="62">
        <f t="shared" ref="P67:P68" si="60">SUM(D67:O67)</f>
        <v>0</v>
      </c>
    </row>
    <row r="68" spans="1:27" ht="13.5" customHeight="1">
      <c r="A68" s="246"/>
      <c r="B68" s="275"/>
      <c r="C68" s="28" t="s">
        <v>16</v>
      </c>
      <c r="D68" s="29">
        <v>0</v>
      </c>
      <c r="E68" s="31">
        <v>0</v>
      </c>
      <c r="F68" s="32">
        <v>0</v>
      </c>
      <c r="G68" s="32">
        <v>0</v>
      </c>
      <c r="H68" s="29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59">
        <f t="shared" si="60"/>
        <v>0</v>
      </c>
    </row>
    <row r="69" spans="1:27" ht="13.5" customHeight="1" thickBot="1">
      <c r="A69" s="247"/>
      <c r="B69" s="276"/>
      <c r="C69" s="46" t="s">
        <v>17</v>
      </c>
      <c r="D69" s="47" t="e">
        <f t="shared" ref="D69:O69" si="61">D68/D67</f>
        <v>#DIV/0!</v>
      </c>
      <c r="E69" s="47" t="e">
        <f t="shared" si="61"/>
        <v>#DIV/0!</v>
      </c>
      <c r="F69" s="47" t="e">
        <f t="shared" si="61"/>
        <v>#DIV/0!</v>
      </c>
      <c r="G69" s="47" t="e">
        <f t="shared" si="61"/>
        <v>#DIV/0!</v>
      </c>
      <c r="H69" s="47" t="e">
        <f t="shared" si="61"/>
        <v>#DIV/0!</v>
      </c>
      <c r="I69" s="47" t="e">
        <f t="shared" si="61"/>
        <v>#DIV/0!</v>
      </c>
      <c r="J69" s="47" t="e">
        <f t="shared" si="61"/>
        <v>#DIV/0!</v>
      </c>
      <c r="K69" s="47" t="e">
        <f t="shared" si="61"/>
        <v>#DIV/0!</v>
      </c>
      <c r="L69" s="47" t="e">
        <f t="shared" si="61"/>
        <v>#DIV/0!</v>
      </c>
      <c r="M69" s="47" t="e">
        <f t="shared" si="61"/>
        <v>#DIV/0!</v>
      </c>
      <c r="N69" s="47" t="e">
        <f t="shared" si="61"/>
        <v>#DIV/0!</v>
      </c>
      <c r="O69" s="47" t="e">
        <f t="shared" si="61"/>
        <v>#DIV/0!</v>
      </c>
      <c r="P69" s="61" t="e">
        <f t="shared" ref="P69" si="62">P68/P67</f>
        <v>#DIV/0!</v>
      </c>
    </row>
    <row r="70" spans="1:27" ht="13.5" customHeight="1">
      <c r="A70" s="254" t="s">
        <v>137</v>
      </c>
      <c r="B70" s="251" t="s">
        <v>139</v>
      </c>
      <c r="C70" s="41" t="s">
        <v>15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9">
        <v>0</v>
      </c>
      <c r="P70" s="62">
        <f t="shared" ref="P70:P71" si="63">SUM(D70:O70)</f>
        <v>0</v>
      </c>
      <c r="S70" s="207"/>
      <c r="T70" s="207"/>
      <c r="U70" s="207"/>
      <c r="V70" s="207"/>
      <c r="W70" s="207"/>
      <c r="X70" s="207"/>
      <c r="Y70" s="212"/>
      <c r="Z70" s="205"/>
      <c r="AA70" s="207"/>
    </row>
    <row r="71" spans="1:27" ht="13.5" customHeight="1">
      <c r="A71" s="255"/>
      <c r="B71" s="252"/>
      <c r="C71" s="28" t="s">
        <v>16</v>
      </c>
      <c r="D71" s="29">
        <v>0</v>
      </c>
      <c r="E71" s="29">
        <v>0</v>
      </c>
      <c r="F71" s="29">
        <v>0</v>
      </c>
      <c r="G71" s="29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59">
        <f t="shared" si="63"/>
        <v>0</v>
      </c>
      <c r="S71" s="207"/>
      <c r="T71" s="207"/>
      <c r="U71" s="207"/>
      <c r="V71" s="207"/>
      <c r="W71" s="207"/>
      <c r="X71" s="207"/>
      <c r="Y71" s="212"/>
      <c r="Z71" s="205"/>
      <c r="AA71" s="207"/>
    </row>
    <row r="72" spans="1:27" ht="13.5" customHeight="1" thickBot="1">
      <c r="A72" s="256"/>
      <c r="B72" s="253"/>
      <c r="C72" s="46" t="s">
        <v>17</v>
      </c>
      <c r="D72" s="47" t="e">
        <f t="shared" ref="D72:P72" si="64">D71/D70</f>
        <v>#DIV/0!</v>
      </c>
      <c r="E72" s="47" t="e">
        <f t="shared" ref="E72:F72" si="65">E71/E70</f>
        <v>#DIV/0!</v>
      </c>
      <c r="F72" s="47" t="e">
        <f t="shared" si="65"/>
        <v>#DIV/0!</v>
      </c>
      <c r="G72" s="47" t="e">
        <f t="shared" ref="G72:O72" si="66">G71/G70</f>
        <v>#DIV/0!</v>
      </c>
      <c r="H72" s="47" t="e">
        <f t="shared" si="66"/>
        <v>#DIV/0!</v>
      </c>
      <c r="I72" s="47" t="e">
        <f t="shared" si="66"/>
        <v>#DIV/0!</v>
      </c>
      <c r="J72" s="47" t="e">
        <f t="shared" si="66"/>
        <v>#DIV/0!</v>
      </c>
      <c r="K72" s="47" t="e">
        <f t="shared" si="66"/>
        <v>#DIV/0!</v>
      </c>
      <c r="L72" s="47" t="e">
        <f t="shared" si="66"/>
        <v>#DIV/0!</v>
      </c>
      <c r="M72" s="47" t="e">
        <f t="shared" si="66"/>
        <v>#DIV/0!</v>
      </c>
      <c r="N72" s="47" t="e">
        <f t="shared" si="66"/>
        <v>#DIV/0!</v>
      </c>
      <c r="O72" s="47" t="e">
        <f t="shared" si="66"/>
        <v>#DIV/0!</v>
      </c>
      <c r="P72" s="61" t="e">
        <f t="shared" si="64"/>
        <v>#DIV/0!</v>
      </c>
      <c r="S72" s="207"/>
      <c r="T72" s="207"/>
      <c r="U72" s="207"/>
      <c r="V72" s="207"/>
      <c r="W72" s="207"/>
      <c r="X72" s="207"/>
      <c r="Y72" s="212"/>
      <c r="Z72" s="205"/>
      <c r="AA72" s="207"/>
    </row>
    <row r="73" spans="1:27" ht="13.5" customHeight="1">
      <c r="A73" s="254" t="s">
        <v>138</v>
      </c>
      <c r="B73" s="251" t="s">
        <v>140</v>
      </c>
      <c r="C73" s="41" t="s">
        <v>15</v>
      </c>
      <c r="D73" s="35">
        <v>34</v>
      </c>
      <c r="E73" s="35">
        <v>0</v>
      </c>
      <c r="F73" s="35">
        <v>19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62">
        <f t="shared" ref="P73:P77" si="67">SUM(D73:O73)</f>
        <v>53</v>
      </c>
      <c r="S73" s="207"/>
      <c r="T73" s="207"/>
      <c r="U73" s="207"/>
      <c r="V73" s="207"/>
      <c r="W73" s="207"/>
      <c r="X73" s="207"/>
      <c r="Y73" s="212"/>
      <c r="Z73" s="205"/>
      <c r="AA73" s="207"/>
    </row>
    <row r="74" spans="1:27" ht="13.5" customHeight="1">
      <c r="A74" s="255"/>
      <c r="B74" s="252"/>
      <c r="C74" s="28" t="s">
        <v>16</v>
      </c>
      <c r="D74" s="29">
        <v>0</v>
      </c>
      <c r="E74" s="29">
        <v>0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32">
        <v>0</v>
      </c>
      <c r="O74" s="32">
        <v>0</v>
      </c>
      <c r="P74" s="59">
        <f t="shared" si="67"/>
        <v>0</v>
      </c>
      <c r="S74" s="207"/>
      <c r="T74" s="207"/>
      <c r="U74" s="207"/>
      <c r="V74" s="207"/>
      <c r="W74" s="207"/>
      <c r="X74" s="207"/>
      <c r="Y74" s="212"/>
      <c r="Z74" s="205"/>
      <c r="AA74" s="207"/>
    </row>
    <row r="75" spans="1:27" ht="13.5" customHeight="1" thickBot="1">
      <c r="A75" s="256"/>
      <c r="B75" s="253"/>
      <c r="C75" s="46" t="s">
        <v>17</v>
      </c>
      <c r="D75" s="47">
        <f t="shared" ref="D75:P75" si="68">D74/D73</f>
        <v>0</v>
      </c>
      <c r="E75" s="47" t="e">
        <f t="shared" si="68"/>
        <v>#DIV/0!</v>
      </c>
      <c r="F75" s="47">
        <f t="shared" si="68"/>
        <v>0</v>
      </c>
      <c r="G75" s="47" t="e">
        <f t="shared" si="68"/>
        <v>#DIV/0!</v>
      </c>
      <c r="H75" s="47" t="e">
        <f t="shared" si="68"/>
        <v>#DIV/0!</v>
      </c>
      <c r="I75" s="47" t="e">
        <f t="shared" si="68"/>
        <v>#DIV/0!</v>
      </c>
      <c r="J75" s="47" t="e">
        <f t="shared" si="68"/>
        <v>#DIV/0!</v>
      </c>
      <c r="K75" s="47" t="e">
        <f t="shared" si="68"/>
        <v>#DIV/0!</v>
      </c>
      <c r="L75" s="47" t="e">
        <f t="shared" si="68"/>
        <v>#DIV/0!</v>
      </c>
      <c r="M75" s="47" t="e">
        <f t="shared" si="68"/>
        <v>#DIV/0!</v>
      </c>
      <c r="N75" s="47" t="e">
        <f t="shared" si="68"/>
        <v>#DIV/0!</v>
      </c>
      <c r="O75" s="47" t="e">
        <f t="shared" si="68"/>
        <v>#DIV/0!</v>
      </c>
      <c r="P75" s="61">
        <f t="shared" si="68"/>
        <v>0</v>
      </c>
      <c r="S75" s="207"/>
      <c r="T75" s="207"/>
      <c r="U75" s="207"/>
      <c r="V75" s="207"/>
      <c r="W75" s="207"/>
      <c r="X75" s="207"/>
      <c r="Y75" s="212"/>
      <c r="Z75" s="205"/>
      <c r="AA75" s="207"/>
    </row>
    <row r="76" spans="1:27" ht="13.5" customHeight="1">
      <c r="A76" s="257" t="s">
        <v>144</v>
      </c>
      <c r="B76" s="251" t="s">
        <v>145</v>
      </c>
      <c r="C76" s="41" t="s">
        <v>15</v>
      </c>
      <c r="D76" s="35">
        <v>17</v>
      </c>
      <c r="E76" s="35">
        <v>6</v>
      </c>
      <c r="F76" s="35">
        <v>23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62">
        <f t="shared" si="67"/>
        <v>46</v>
      </c>
      <c r="S76" s="207"/>
      <c r="T76" s="207"/>
      <c r="U76" s="207"/>
      <c r="V76" s="207"/>
      <c r="W76" s="207"/>
      <c r="X76" s="207"/>
      <c r="Y76" s="212"/>
      <c r="Z76" s="205"/>
      <c r="AA76" s="207"/>
    </row>
    <row r="77" spans="1:27" ht="13.5" customHeight="1">
      <c r="A77" s="258"/>
      <c r="B77" s="252"/>
      <c r="C77" s="28" t="s">
        <v>16</v>
      </c>
      <c r="D77" s="29">
        <v>0</v>
      </c>
      <c r="E77" s="29">
        <v>0</v>
      </c>
      <c r="F77" s="29">
        <v>0</v>
      </c>
      <c r="G77" s="29">
        <v>0</v>
      </c>
      <c r="H77" s="29">
        <v>0</v>
      </c>
      <c r="I77" s="29">
        <v>0</v>
      </c>
      <c r="J77" s="29">
        <v>0</v>
      </c>
      <c r="K77" s="29">
        <v>0</v>
      </c>
      <c r="L77" s="29">
        <v>0</v>
      </c>
      <c r="M77" s="29">
        <v>0</v>
      </c>
      <c r="N77" s="32">
        <v>0</v>
      </c>
      <c r="O77" s="32">
        <v>0</v>
      </c>
      <c r="P77" s="59">
        <f t="shared" si="67"/>
        <v>0</v>
      </c>
      <c r="S77" s="207"/>
      <c r="T77" s="207"/>
      <c r="U77" s="207"/>
      <c r="V77" s="207"/>
      <c r="W77" s="207"/>
      <c r="X77" s="207"/>
      <c r="Y77" s="212"/>
      <c r="Z77" s="205"/>
      <c r="AA77" s="207"/>
    </row>
    <row r="78" spans="1:27" ht="13.5" customHeight="1" thickBot="1">
      <c r="A78" s="259"/>
      <c r="B78" s="253"/>
      <c r="C78" s="46" t="s">
        <v>17</v>
      </c>
      <c r="D78" s="47">
        <f t="shared" ref="D78:P78" si="69">D77/D76</f>
        <v>0</v>
      </c>
      <c r="E78" s="47">
        <f t="shared" si="69"/>
        <v>0</v>
      </c>
      <c r="F78" s="47">
        <f t="shared" si="69"/>
        <v>0</v>
      </c>
      <c r="G78" s="47" t="e">
        <f t="shared" si="69"/>
        <v>#DIV/0!</v>
      </c>
      <c r="H78" s="47" t="e">
        <f t="shared" si="69"/>
        <v>#DIV/0!</v>
      </c>
      <c r="I78" s="47" t="e">
        <f t="shared" si="69"/>
        <v>#DIV/0!</v>
      </c>
      <c r="J78" s="47" t="e">
        <f t="shared" si="69"/>
        <v>#DIV/0!</v>
      </c>
      <c r="K78" s="47" t="e">
        <f t="shared" si="69"/>
        <v>#DIV/0!</v>
      </c>
      <c r="L78" s="47" t="e">
        <f t="shared" si="69"/>
        <v>#DIV/0!</v>
      </c>
      <c r="M78" s="47" t="e">
        <f t="shared" si="69"/>
        <v>#DIV/0!</v>
      </c>
      <c r="N78" s="47" t="e">
        <f t="shared" si="69"/>
        <v>#DIV/0!</v>
      </c>
      <c r="O78" s="47" t="e">
        <f t="shared" si="69"/>
        <v>#DIV/0!</v>
      </c>
      <c r="P78" s="61">
        <f t="shared" si="69"/>
        <v>0</v>
      </c>
      <c r="S78" s="207"/>
      <c r="T78" s="207"/>
      <c r="U78" s="207"/>
      <c r="V78" s="207"/>
      <c r="W78" s="207"/>
      <c r="X78" s="207"/>
      <c r="Y78" s="212"/>
      <c r="Z78" s="205"/>
      <c r="AA78" s="207"/>
    </row>
    <row r="79" spans="1:27" ht="13.5" customHeight="1">
      <c r="A79" s="254" t="s">
        <v>146</v>
      </c>
      <c r="B79" s="251" t="s">
        <v>147</v>
      </c>
      <c r="C79" s="41" t="s">
        <v>15</v>
      </c>
      <c r="D79" s="35">
        <v>0</v>
      </c>
      <c r="E79" s="35">
        <v>15</v>
      </c>
      <c r="F79" s="35">
        <v>7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62">
        <f t="shared" ref="P79:P80" si="70">SUM(D79:O79)</f>
        <v>22</v>
      </c>
      <c r="S79" s="207"/>
      <c r="T79" s="207"/>
      <c r="U79" s="207"/>
      <c r="V79" s="207"/>
      <c r="W79" s="207"/>
      <c r="X79" s="207"/>
      <c r="Y79" s="212"/>
      <c r="Z79" s="205"/>
      <c r="AA79" s="207"/>
    </row>
    <row r="80" spans="1:27" ht="13.5" customHeight="1">
      <c r="A80" s="255"/>
      <c r="B80" s="252"/>
      <c r="C80" s="28" t="s">
        <v>16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0</v>
      </c>
      <c r="J80" s="29">
        <v>0</v>
      </c>
      <c r="K80" s="29">
        <v>0</v>
      </c>
      <c r="L80" s="29">
        <v>0</v>
      </c>
      <c r="M80" s="29">
        <v>0</v>
      </c>
      <c r="N80" s="29">
        <v>0</v>
      </c>
      <c r="O80" s="32">
        <v>0</v>
      </c>
      <c r="P80" s="59">
        <f t="shared" si="70"/>
        <v>0</v>
      </c>
      <c r="S80" s="207"/>
      <c r="T80" s="207"/>
      <c r="U80" s="207"/>
      <c r="V80" s="207"/>
      <c r="W80" s="207"/>
      <c r="X80" s="207"/>
      <c r="Y80" s="212"/>
      <c r="Z80" s="205"/>
      <c r="AA80" s="207"/>
    </row>
    <row r="81" spans="1:27" ht="13.5" customHeight="1" thickBot="1">
      <c r="A81" s="256"/>
      <c r="B81" s="253"/>
      <c r="C81" s="46" t="s">
        <v>17</v>
      </c>
      <c r="D81" s="47" t="e">
        <f t="shared" ref="D81:P81" si="71">D80/D79</f>
        <v>#DIV/0!</v>
      </c>
      <c r="E81" s="47">
        <f t="shared" si="71"/>
        <v>0</v>
      </c>
      <c r="F81" s="47">
        <f t="shared" si="71"/>
        <v>0</v>
      </c>
      <c r="G81" s="47" t="e">
        <f t="shared" si="71"/>
        <v>#DIV/0!</v>
      </c>
      <c r="H81" s="47" t="e">
        <f t="shared" si="71"/>
        <v>#DIV/0!</v>
      </c>
      <c r="I81" s="47" t="e">
        <f t="shared" si="71"/>
        <v>#DIV/0!</v>
      </c>
      <c r="J81" s="47" t="e">
        <f t="shared" si="71"/>
        <v>#DIV/0!</v>
      </c>
      <c r="K81" s="47" t="e">
        <f t="shared" si="71"/>
        <v>#DIV/0!</v>
      </c>
      <c r="L81" s="47" t="e">
        <f t="shared" si="71"/>
        <v>#DIV/0!</v>
      </c>
      <c r="M81" s="47" t="e">
        <f t="shared" si="71"/>
        <v>#DIV/0!</v>
      </c>
      <c r="N81" s="47" t="e">
        <f t="shared" si="71"/>
        <v>#DIV/0!</v>
      </c>
      <c r="O81" s="47" t="e">
        <f t="shared" si="71"/>
        <v>#DIV/0!</v>
      </c>
      <c r="P81" s="61">
        <f t="shared" si="71"/>
        <v>0</v>
      </c>
      <c r="S81" s="207"/>
      <c r="T81" s="207"/>
      <c r="U81" s="207"/>
      <c r="V81" s="207"/>
      <c r="W81" s="207"/>
      <c r="X81" s="207"/>
      <c r="Y81" s="212"/>
      <c r="Z81" s="205"/>
      <c r="AA81" s="207"/>
    </row>
    <row r="82" spans="1:27" ht="13.5" customHeight="1">
      <c r="A82" s="266" t="s">
        <v>50</v>
      </c>
      <c r="B82" s="251" t="s">
        <v>49</v>
      </c>
      <c r="C82" s="41" t="s">
        <v>15</v>
      </c>
      <c r="D82" s="35">
        <v>1097</v>
      </c>
      <c r="E82" s="35">
        <v>801</v>
      </c>
      <c r="F82" s="35">
        <v>1449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62">
        <f>SUM(D82:O82)</f>
        <v>3347</v>
      </c>
      <c r="S82" s="207"/>
      <c r="T82" s="207"/>
      <c r="U82" s="207"/>
      <c r="V82" s="207"/>
      <c r="W82" s="207"/>
      <c r="X82" s="207"/>
      <c r="Y82" s="212"/>
      <c r="Z82" s="205"/>
      <c r="AA82" s="207"/>
    </row>
    <row r="83" spans="1:27" ht="13.5" customHeight="1">
      <c r="A83" s="264"/>
      <c r="B83" s="252"/>
      <c r="C83" s="28" t="s">
        <v>16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32">
        <v>0</v>
      </c>
      <c r="J83" s="32">
        <v>0</v>
      </c>
      <c r="K83" s="32">
        <v>0</v>
      </c>
      <c r="L83" s="32">
        <v>0</v>
      </c>
      <c r="M83" s="32">
        <v>0</v>
      </c>
      <c r="N83" s="32">
        <v>0</v>
      </c>
      <c r="O83" s="32">
        <v>0</v>
      </c>
      <c r="P83" s="59">
        <f t="shared" ref="P83" si="72">SUM(D83:O83)</f>
        <v>0</v>
      </c>
      <c r="S83" s="207"/>
      <c r="T83" s="207"/>
      <c r="U83" s="207"/>
      <c r="V83" s="207"/>
      <c r="W83" s="207"/>
      <c r="X83" s="207"/>
      <c r="Y83" s="212"/>
      <c r="Z83" s="205"/>
      <c r="AA83" s="208"/>
    </row>
    <row r="84" spans="1:27" ht="13.5" customHeight="1" thickBot="1">
      <c r="A84" s="267"/>
      <c r="B84" s="253"/>
      <c r="C84" s="46" t="s">
        <v>17</v>
      </c>
      <c r="D84" s="47">
        <f t="shared" ref="D84:O84" si="73">D83/D82</f>
        <v>0</v>
      </c>
      <c r="E84" s="47">
        <f t="shared" si="73"/>
        <v>0</v>
      </c>
      <c r="F84" s="47">
        <f t="shared" si="73"/>
        <v>0</v>
      </c>
      <c r="G84" s="47" t="e">
        <f t="shared" si="73"/>
        <v>#DIV/0!</v>
      </c>
      <c r="H84" s="47" t="e">
        <f t="shared" si="73"/>
        <v>#DIV/0!</v>
      </c>
      <c r="I84" s="47" t="e">
        <f t="shared" si="73"/>
        <v>#DIV/0!</v>
      </c>
      <c r="J84" s="47" t="e">
        <f t="shared" si="73"/>
        <v>#DIV/0!</v>
      </c>
      <c r="K84" s="47" t="e">
        <f t="shared" si="73"/>
        <v>#DIV/0!</v>
      </c>
      <c r="L84" s="47" t="e">
        <f t="shared" si="73"/>
        <v>#DIV/0!</v>
      </c>
      <c r="M84" s="47" t="e">
        <f t="shared" si="73"/>
        <v>#DIV/0!</v>
      </c>
      <c r="N84" s="47" t="e">
        <f t="shared" si="73"/>
        <v>#DIV/0!</v>
      </c>
      <c r="O84" s="47" t="e">
        <f t="shared" si="73"/>
        <v>#DIV/0!</v>
      </c>
      <c r="P84" s="61">
        <f t="shared" ref="P84" si="74">P83/P82</f>
        <v>0</v>
      </c>
      <c r="S84" s="207"/>
      <c r="T84" s="207"/>
      <c r="U84" s="207"/>
      <c r="V84" s="207"/>
      <c r="W84" s="207"/>
      <c r="X84" s="207"/>
      <c r="Y84" s="212"/>
      <c r="Z84" s="206"/>
      <c r="AA84" s="208"/>
    </row>
    <row r="85" spans="1:27" ht="13.5" customHeight="1">
      <c r="A85" s="248" t="s">
        <v>148</v>
      </c>
      <c r="B85" s="251" t="s">
        <v>149</v>
      </c>
      <c r="C85" s="41" t="s">
        <v>15</v>
      </c>
      <c r="D85" s="35">
        <v>32</v>
      </c>
      <c r="E85" s="35">
        <v>17</v>
      </c>
      <c r="F85" s="35">
        <v>6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62">
        <f t="shared" ref="P85:P86" si="75">SUM(D85:O85)</f>
        <v>55</v>
      </c>
      <c r="S85" s="194"/>
      <c r="T85" s="194"/>
      <c r="U85" s="194"/>
      <c r="V85" s="194"/>
      <c r="W85" s="194"/>
      <c r="X85" s="194"/>
      <c r="Y85" s="195"/>
    </row>
    <row r="86" spans="1:27" ht="13.5" customHeight="1">
      <c r="A86" s="249"/>
      <c r="B86" s="252"/>
      <c r="C86" s="28" t="s">
        <v>16</v>
      </c>
      <c r="D86" s="29">
        <v>0</v>
      </c>
      <c r="E86" s="29">
        <v>0</v>
      </c>
      <c r="F86" s="29">
        <v>0</v>
      </c>
      <c r="G86" s="29">
        <v>0</v>
      </c>
      <c r="H86" s="29">
        <v>0</v>
      </c>
      <c r="I86" s="29">
        <v>0</v>
      </c>
      <c r="J86" s="29">
        <v>0</v>
      </c>
      <c r="K86" s="29">
        <v>0</v>
      </c>
      <c r="L86" s="29">
        <v>0</v>
      </c>
      <c r="M86" s="29">
        <v>0</v>
      </c>
      <c r="N86" s="32">
        <v>0</v>
      </c>
      <c r="O86" s="32">
        <v>0</v>
      </c>
      <c r="P86" s="59">
        <f t="shared" si="75"/>
        <v>0</v>
      </c>
      <c r="S86" s="194"/>
      <c r="T86" s="194"/>
      <c r="U86" s="194"/>
      <c r="V86" s="194"/>
      <c r="W86" s="194"/>
      <c r="X86" s="194"/>
      <c r="Y86" s="195"/>
    </row>
    <row r="87" spans="1:27" ht="13.5" customHeight="1" thickBot="1">
      <c r="A87" s="250"/>
      <c r="B87" s="253"/>
      <c r="C87" s="46" t="s">
        <v>17</v>
      </c>
      <c r="D87" s="47">
        <f t="shared" ref="D87:O93" si="76">D86/D85</f>
        <v>0</v>
      </c>
      <c r="E87" s="47">
        <f t="shared" si="76"/>
        <v>0</v>
      </c>
      <c r="F87" s="47">
        <f t="shared" si="76"/>
        <v>0</v>
      </c>
      <c r="G87" s="47" t="e">
        <f t="shared" si="76"/>
        <v>#DIV/0!</v>
      </c>
      <c r="H87" s="47" t="e">
        <f t="shared" si="76"/>
        <v>#DIV/0!</v>
      </c>
      <c r="I87" s="47" t="e">
        <f t="shared" si="76"/>
        <v>#DIV/0!</v>
      </c>
      <c r="J87" s="47" t="e">
        <f t="shared" si="76"/>
        <v>#DIV/0!</v>
      </c>
      <c r="K87" s="47" t="e">
        <f t="shared" si="76"/>
        <v>#DIV/0!</v>
      </c>
      <c r="L87" s="47" t="e">
        <f t="shared" si="76"/>
        <v>#DIV/0!</v>
      </c>
      <c r="M87" s="47" t="e">
        <f t="shared" si="76"/>
        <v>#DIV/0!</v>
      </c>
      <c r="N87" s="47" t="e">
        <f t="shared" si="76"/>
        <v>#DIV/0!</v>
      </c>
      <c r="O87" s="47" t="e">
        <f t="shared" si="76"/>
        <v>#DIV/0!</v>
      </c>
      <c r="P87" s="61">
        <f t="shared" ref="P87:P93" si="77">P86/P85</f>
        <v>0</v>
      </c>
      <c r="S87" s="1"/>
      <c r="T87" s="1"/>
      <c r="U87" s="1"/>
      <c r="V87" s="1"/>
      <c r="W87" s="1"/>
      <c r="X87" s="1"/>
      <c r="Y87" s="1"/>
    </row>
    <row r="88" spans="1:27" ht="13.5" customHeight="1">
      <c r="A88" s="248" t="s">
        <v>160</v>
      </c>
      <c r="B88" s="251" t="s">
        <v>161</v>
      </c>
      <c r="C88" s="41" t="s">
        <v>15</v>
      </c>
      <c r="D88" s="35">
        <v>0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62">
        <f t="shared" ref="P88:P89" si="78">SUM(D88:O88)</f>
        <v>0</v>
      </c>
    </row>
    <row r="89" spans="1:27" ht="13.5" customHeight="1">
      <c r="A89" s="249"/>
      <c r="B89" s="252"/>
      <c r="C89" s="28" t="s">
        <v>16</v>
      </c>
      <c r="D89" s="29">
        <v>0</v>
      </c>
      <c r="E89" s="31">
        <v>0</v>
      </c>
      <c r="F89" s="31">
        <v>0</v>
      </c>
      <c r="G89" s="31">
        <v>0</v>
      </c>
      <c r="H89" s="31">
        <v>0</v>
      </c>
      <c r="I89" s="31">
        <v>0</v>
      </c>
      <c r="J89" s="31">
        <v>0</v>
      </c>
      <c r="K89" s="31">
        <v>0</v>
      </c>
      <c r="L89" s="32">
        <v>0</v>
      </c>
      <c r="M89" s="32">
        <v>0</v>
      </c>
      <c r="N89" s="32">
        <v>0</v>
      </c>
      <c r="O89" s="32">
        <v>0</v>
      </c>
      <c r="P89" s="59">
        <f t="shared" si="78"/>
        <v>0</v>
      </c>
    </row>
    <row r="90" spans="1:27" ht="13.5" customHeight="1" thickBot="1">
      <c r="A90" s="250"/>
      <c r="B90" s="253"/>
      <c r="C90" s="46" t="s">
        <v>17</v>
      </c>
      <c r="D90" s="47" t="e">
        <f t="shared" ref="D90:P90" si="79">D89/D88</f>
        <v>#DIV/0!</v>
      </c>
      <c r="E90" s="47" t="e">
        <f t="shared" si="79"/>
        <v>#DIV/0!</v>
      </c>
      <c r="F90" s="47" t="e">
        <f t="shared" si="79"/>
        <v>#DIV/0!</v>
      </c>
      <c r="G90" s="47" t="e">
        <f t="shared" si="79"/>
        <v>#DIV/0!</v>
      </c>
      <c r="H90" s="47" t="e">
        <f t="shared" si="79"/>
        <v>#DIV/0!</v>
      </c>
      <c r="I90" s="47" t="e">
        <f t="shared" si="79"/>
        <v>#DIV/0!</v>
      </c>
      <c r="J90" s="47" t="e">
        <f t="shared" si="79"/>
        <v>#DIV/0!</v>
      </c>
      <c r="K90" s="47" t="e">
        <f t="shared" si="79"/>
        <v>#DIV/0!</v>
      </c>
      <c r="L90" s="47" t="e">
        <f t="shared" si="79"/>
        <v>#DIV/0!</v>
      </c>
      <c r="M90" s="47" t="e">
        <f t="shared" si="79"/>
        <v>#DIV/0!</v>
      </c>
      <c r="N90" s="47" t="e">
        <f t="shared" si="79"/>
        <v>#DIV/0!</v>
      </c>
      <c r="O90" s="47" t="e">
        <f t="shared" si="79"/>
        <v>#DIV/0!</v>
      </c>
      <c r="P90" s="61" t="e">
        <f t="shared" si="79"/>
        <v>#DIV/0!</v>
      </c>
    </row>
    <row r="91" spans="1:27" ht="13.5" customHeight="1">
      <c r="A91" s="248" t="s">
        <v>150</v>
      </c>
      <c r="B91" s="251" t="s">
        <v>151</v>
      </c>
      <c r="C91" s="41" t="s">
        <v>15</v>
      </c>
      <c r="D91" s="35">
        <v>9</v>
      </c>
      <c r="E91" s="35">
        <v>0</v>
      </c>
      <c r="F91" s="35">
        <v>4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62">
        <f t="shared" ref="P91:P92" si="80">SUM(D91:O91)</f>
        <v>13</v>
      </c>
    </row>
    <row r="92" spans="1:27" ht="13.5" customHeight="1">
      <c r="A92" s="249"/>
      <c r="B92" s="252"/>
      <c r="C92" s="28" t="s">
        <v>16</v>
      </c>
      <c r="D92" s="29">
        <v>0</v>
      </c>
      <c r="E92" s="31">
        <v>0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2">
        <v>0</v>
      </c>
      <c r="L92" s="32">
        <v>0</v>
      </c>
      <c r="M92" s="32">
        <v>0</v>
      </c>
      <c r="N92" s="32">
        <v>0</v>
      </c>
      <c r="O92" s="32">
        <v>0</v>
      </c>
      <c r="P92" s="59">
        <f t="shared" si="80"/>
        <v>0</v>
      </c>
    </row>
    <row r="93" spans="1:27" ht="13.5" customHeight="1" thickBot="1">
      <c r="A93" s="250"/>
      <c r="B93" s="253"/>
      <c r="C93" s="46" t="s">
        <v>17</v>
      </c>
      <c r="D93" s="47">
        <f t="shared" si="76"/>
        <v>0</v>
      </c>
      <c r="E93" s="47" t="e">
        <f t="shared" si="76"/>
        <v>#DIV/0!</v>
      </c>
      <c r="F93" s="47">
        <f t="shared" si="76"/>
        <v>0</v>
      </c>
      <c r="G93" s="47" t="e">
        <f t="shared" si="76"/>
        <v>#DIV/0!</v>
      </c>
      <c r="H93" s="47" t="e">
        <f t="shared" ref="H93:O93" si="81">H92/H91</f>
        <v>#DIV/0!</v>
      </c>
      <c r="I93" s="47" t="e">
        <f t="shared" si="81"/>
        <v>#DIV/0!</v>
      </c>
      <c r="J93" s="47" t="e">
        <f t="shared" si="81"/>
        <v>#DIV/0!</v>
      </c>
      <c r="K93" s="47" t="e">
        <f t="shared" si="81"/>
        <v>#DIV/0!</v>
      </c>
      <c r="L93" s="47" t="e">
        <f t="shared" si="81"/>
        <v>#DIV/0!</v>
      </c>
      <c r="M93" s="47" t="e">
        <f t="shared" si="81"/>
        <v>#DIV/0!</v>
      </c>
      <c r="N93" s="47" t="e">
        <f t="shared" si="81"/>
        <v>#DIV/0!</v>
      </c>
      <c r="O93" s="47" t="e">
        <f t="shared" si="81"/>
        <v>#DIV/0!</v>
      </c>
      <c r="P93" s="61">
        <f t="shared" si="77"/>
        <v>0</v>
      </c>
    </row>
    <row r="94" spans="1:27" ht="13.5" customHeight="1">
      <c r="A94" s="248" t="s">
        <v>169</v>
      </c>
      <c r="B94" s="251" t="s">
        <v>170</v>
      </c>
      <c r="C94" s="41" t="s">
        <v>15</v>
      </c>
      <c r="D94" s="35">
        <v>29</v>
      </c>
      <c r="E94" s="35">
        <v>24</v>
      </c>
      <c r="F94" s="35">
        <v>9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62">
        <f t="shared" ref="P94:P95" si="82">SUM(D94:O94)</f>
        <v>62</v>
      </c>
    </row>
    <row r="95" spans="1:27" ht="13.5" customHeight="1">
      <c r="A95" s="249"/>
      <c r="B95" s="252"/>
      <c r="C95" s="28" t="s">
        <v>16</v>
      </c>
      <c r="D95" s="29">
        <v>0</v>
      </c>
      <c r="E95" s="31">
        <v>1</v>
      </c>
      <c r="F95" s="31">
        <v>0</v>
      </c>
      <c r="G95" s="31">
        <v>0</v>
      </c>
      <c r="H95" s="31">
        <v>0</v>
      </c>
      <c r="I95" s="31">
        <v>0</v>
      </c>
      <c r="J95" s="31">
        <v>0</v>
      </c>
      <c r="K95" s="31">
        <v>0</v>
      </c>
      <c r="L95" s="32">
        <v>0</v>
      </c>
      <c r="M95" s="32">
        <v>0</v>
      </c>
      <c r="N95" s="32">
        <v>0</v>
      </c>
      <c r="O95" s="32">
        <v>0</v>
      </c>
      <c r="P95" s="59">
        <f t="shared" si="82"/>
        <v>1</v>
      </c>
    </row>
    <row r="96" spans="1:27" ht="13.5" customHeight="1" thickBot="1">
      <c r="A96" s="250"/>
      <c r="B96" s="253"/>
      <c r="C96" s="46" t="s">
        <v>17</v>
      </c>
      <c r="D96" s="47">
        <f t="shared" ref="D96:E96" si="83">D95/D94</f>
        <v>0</v>
      </c>
      <c r="E96" s="47">
        <f t="shared" si="83"/>
        <v>4.1666666666666664E-2</v>
      </c>
      <c r="F96" s="47">
        <f t="shared" ref="F96:G96" si="84">F95/F94</f>
        <v>0</v>
      </c>
      <c r="G96" s="47" t="e">
        <f t="shared" si="84"/>
        <v>#DIV/0!</v>
      </c>
      <c r="H96" s="47" t="e">
        <f t="shared" ref="H96:O96" si="85">H95/H94</f>
        <v>#DIV/0!</v>
      </c>
      <c r="I96" s="47" t="e">
        <f t="shared" si="85"/>
        <v>#DIV/0!</v>
      </c>
      <c r="J96" s="47" t="e">
        <f t="shared" si="85"/>
        <v>#DIV/0!</v>
      </c>
      <c r="K96" s="47" t="e">
        <f t="shared" si="85"/>
        <v>#DIV/0!</v>
      </c>
      <c r="L96" s="47" t="e">
        <f t="shared" si="85"/>
        <v>#DIV/0!</v>
      </c>
      <c r="M96" s="47" t="e">
        <f t="shared" si="85"/>
        <v>#DIV/0!</v>
      </c>
      <c r="N96" s="47" t="e">
        <f t="shared" si="85"/>
        <v>#DIV/0!</v>
      </c>
      <c r="O96" s="47" t="e">
        <f t="shared" si="85"/>
        <v>#DIV/0!</v>
      </c>
      <c r="P96" s="61">
        <f t="shared" ref="P96" si="86">P95/P94</f>
        <v>1.6129032258064516E-2</v>
      </c>
    </row>
    <row r="97" spans="1:16" ht="13.5" customHeight="1">
      <c r="A97" s="248" t="s">
        <v>175</v>
      </c>
      <c r="B97" s="251" t="s">
        <v>157</v>
      </c>
      <c r="C97" s="41" t="s">
        <v>15</v>
      </c>
      <c r="D97" s="35">
        <v>0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9">
        <v>0</v>
      </c>
      <c r="O97" s="39">
        <v>0</v>
      </c>
      <c r="P97" s="62">
        <f t="shared" ref="P97:P98" si="87">SUM(D97:O97)</f>
        <v>0</v>
      </c>
    </row>
    <row r="98" spans="1:16" ht="13.5" customHeight="1">
      <c r="A98" s="249"/>
      <c r="B98" s="252"/>
      <c r="C98" s="28" t="s">
        <v>16</v>
      </c>
      <c r="D98" s="29">
        <v>0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2">
        <v>0</v>
      </c>
      <c r="M98" s="32">
        <v>0</v>
      </c>
      <c r="N98" s="32">
        <v>0</v>
      </c>
      <c r="O98" s="32">
        <v>0</v>
      </c>
      <c r="P98" s="59">
        <f t="shared" si="87"/>
        <v>0</v>
      </c>
    </row>
    <row r="99" spans="1:16" ht="13.5" customHeight="1" thickBot="1">
      <c r="A99" s="250"/>
      <c r="B99" s="253"/>
      <c r="C99" s="224" t="s">
        <v>17</v>
      </c>
      <c r="D99" s="225" t="e">
        <f t="shared" ref="D99:P99" si="88">D98/D97</f>
        <v>#DIV/0!</v>
      </c>
      <c r="E99" s="225" t="e">
        <f t="shared" si="88"/>
        <v>#DIV/0!</v>
      </c>
      <c r="F99" s="225" t="e">
        <f t="shared" si="88"/>
        <v>#DIV/0!</v>
      </c>
      <c r="G99" s="225" t="e">
        <f t="shared" si="88"/>
        <v>#DIV/0!</v>
      </c>
      <c r="H99" s="225" t="e">
        <f t="shared" si="88"/>
        <v>#DIV/0!</v>
      </c>
      <c r="I99" s="225" t="e">
        <f t="shared" si="88"/>
        <v>#DIV/0!</v>
      </c>
      <c r="J99" s="225" t="e">
        <f t="shared" si="88"/>
        <v>#DIV/0!</v>
      </c>
      <c r="K99" s="225" t="e">
        <f t="shared" si="88"/>
        <v>#DIV/0!</v>
      </c>
      <c r="L99" s="225" t="e">
        <f t="shared" si="88"/>
        <v>#DIV/0!</v>
      </c>
      <c r="M99" s="225" t="e">
        <f t="shared" si="88"/>
        <v>#DIV/0!</v>
      </c>
      <c r="N99" s="225" t="e">
        <f t="shared" si="88"/>
        <v>#DIV/0!</v>
      </c>
      <c r="O99" s="225" t="e">
        <f t="shared" si="88"/>
        <v>#DIV/0!</v>
      </c>
      <c r="P99" s="61" t="e">
        <f t="shared" si="88"/>
        <v>#DIV/0!</v>
      </c>
    </row>
    <row r="100" spans="1:16" ht="13.5" customHeight="1">
      <c r="A100" s="245" t="s">
        <v>162</v>
      </c>
      <c r="B100" s="290" t="s">
        <v>178</v>
      </c>
      <c r="C100" s="228" t="s">
        <v>15</v>
      </c>
      <c r="D100" s="35">
        <v>47</v>
      </c>
      <c r="E100" s="35">
        <v>64</v>
      </c>
      <c r="F100" s="35">
        <v>45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62">
        <f>SUM(D100:O100)</f>
        <v>156</v>
      </c>
    </row>
    <row r="101" spans="1:16" ht="13.5" customHeight="1">
      <c r="A101" s="246"/>
      <c r="B101" s="291"/>
      <c r="C101" s="229" t="s">
        <v>16</v>
      </c>
      <c r="D101" s="226">
        <v>0</v>
      </c>
      <c r="E101" s="226">
        <v>2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62">
        <f>SUM(D101:O101)</f>
        <v>2</v>
      </c>
    </row>
    <row r="102" spans="1:16" ht="13.5" customHeight="1" thickBot="1">
      <c r="A102" s="247"/>
      <c r="B102" s="292"/>
      <c r="C102" s="233" t="s">
        <v>17</v>
      </c>
      <c r="D102" s="225">
        <f>D101/D100</f>
        <v>0</v>
      </c>
      <c r="E102" s="225">
        <f t="shared" ref="E102:O102" si="89">E101/E100</f>
        <v>3.125E-2</v>
      </c>
      <c r="F102" s="225">
        <f t="shared" si="89"/>
        <v>0</v>
      </c>
      <c r="G102" s="225" t="e">
        <f t="shared" si="89"/>
        <v>#DIV/0!</v>
      </c>
      <c r="H102" s="225" t="e">
        <f t="shared" si="89"/>
        <v>#DIV/0!</v>
      </c>
      <c r="I102" s="225" t="e">
        <f t="shared" si="89"/>
        <v>#DIV/0!</v>
      </c>
      <c r="J102" s="225" t="e">
        <f t="shared" si="89"/>
        <v>#DIV/0!</v>
      </c>
      <c r="K102" s="225" t="e">
        <f t="shared" si="89"/>
        <v>#DIV/0!</v>
      </c>
      <c r="L102" s="225" t="e">
        <f t="shared" si="89"/>
        <v>#DIV/0!</v>
      </c>
      <c r="M102" s="225" t="e">
        <f t="shared" si="89"/>
        <v>#DIV/0!</v>
      </c>
      <c r="N102" s="225" t="e">
        <f t="shared" si="89"/>
        <v>#DIV/0!</v>
      </c>
      <c r="O102" s="225" t="e">
        <f t="shared" si="89"/>
        <v>#DIV/0!</v>
      </c>
      <c r="P102" s="244">
        <f>P101/P100</f>
        <v>1.282051282051282E-2</v>
      </c>
    </row>
    <row r="103" spans="1:16" ht="13.5" customHeight="1">
      <c r="A103" s="245" t="s">
        <v>180</v>
      </c>
      <c r="B103" s="245" t="s">
        <v>181</v>
      </c>
      <c r="C103" s="238" t="s">
        <v>15</v>
      </c>
      <c r="D103" s="239">
        <v>0</v>
      </c>
      <c r="E103" s="239">
        <v>0</v>
      </c>
      <c r="F103" s="239">
        <v>2</v>
      </c>
      <c r="G103" s="239"/>
      <c r="H103" s="239"/>
      <c r="I103" s="239"/>
      <c r="J103" s="239"/>
      <c r="K103" s="239"/>
      <c r="L103" s="239"/>
      <c r="M103" s="239"/>
      <c r="N103" s="239"/>
      <c r="O103" s="242"/>
      <c r="P103" s="236">
        <f>SUM(D103:O103)</f>
        <v>2</v>
      </c>
    </row>
    <row r="104" spans="1:16" ht="13.5" customHeight="1">
      <c r="A104" s="246"/>
      <c r="B104" s="246"/>
      <c r="C104" s="240" t="s">
        <v>16</v>
      </c>
      <c r="D104" s="234">
        <v>0</v>
      </c>
      <c r="E104" s="234">
        <v>0</v>
      </c>
      <c r="F104" s="234">
        <v>0</v>
      </c>
      <c r="G104" s="234"/>
      <c r="H104" s="234"/>
      <c r="I104" s="234"/>
      <c r="J104" s="234"/>
      <c r="K104" s="234"/>
      <c r="L104" s="234"/>
      <c r="M104" s="234"/>
      <c r="N104" s="234"/>
      <c r="O104" s="235"/>
      <c r="P104" s="237">
        <f>SUM(D104:O104)</f>
        <v>0</v>
      </c>
    </row>
    <row r="105" spans="1:16" ht="13.5" customHeight="1" thickBot="1">
      <c r="A105" s="247"/>
      <c r="B105" s="247"/>
      <c r="C105" s="241" t="s">
        <v>17</v>
      </c>
      <c r="D105" s="243" t="e">
        <f>D104/D103</f>
        <v>#DIV/0!</v>
      </c>
      <c r="E105" s="243" t="e">
        <f t="shared" ref="E105:P105" si="90">E104/E103</f>
        <v>#DIV/0!</v>
      </c>
      <c r="F105" s="243">
        <f t="shared" si="90"/>
        <v>0</v>
      </c>
      <c r="G105" s="243" t="e">
        <f t="shared" si="90"/>
        <v>#DIV/0!</v>
      </c>
      <c r="H105" s="243" t="e">
        <f t="shared" si="90"/>
        <v>#DIV/0!</v>
      </c>
      <c r="I105" s="243" t="e">
        <f t="shared" si="90"/>
        <v>#DIV/0!</v>
      </c>
      <c r="J105" s="243" t="e">
        <f t="shared" si="90"/>
        <v>#DIV/0!</v>
      </c>
      <c r="K105" s="243" t="e">
        <f t="shared" si="90"/>
        <v>#DIV/0!</v>
      </c>
      <c r="L105" s="243" t="e">
        <f t="shared" si="90"/>
        <v>#DIV/0!</v>
      </c>
      <c r="M105" s="243" t="e">
        <f t="shared" si="90"/>
        <v>#DIV/0!</v>
      </c>
      <c r="N105" s="243" t="e">
        <f t="shared" si="90"/>
        <v>#DIV/0!</v>
      </c>
      <c r="O105" s="243" t="e">
        <f t="shared" si="90"/>
        <v>#DIV/0!</v>
      </c>
      <c r="P105" s="243">
        <f t="shared" si="90"/>
        <v>0</v>
      </c>
    </row>
    <row r="106" spans="1:16" s="6" customFormat="1">
      <c r="B106" s="7"/>
      <c r="C106" s="20"/>
      <c r="D106" s="7"/>
      <c r="E106" s="7" t="s">
        <v>18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6" s="6" customFormat="1">
      <c r="B107" s="3"/>
      <c r="D107" s="3"/>
      <c r="E107" s="3" t="s">
        <v>19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6" s="6" customFormat="1">
      <c r="B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6" s="6" customFormat="1" ht="17.25">
      <c r="B109" s="3"/>
      <c r="C109" s="16" t="s">
        <v>32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6" s="6" customFormat="1">
      <c r="B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6" s="6" customFormat="1">
      <c r="B111" s="3"/>
      <c r="C111" s="21" t="s">
        <v>22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6" ht="14.25" thickBot="1">
      <c r="D112" s="22" t="s">
        <v>12</v>
      </c>
      <c r="E112" s="23" t="s">
        <v>0</v>
      </c>
      <c r="F112" s="24" t="s">
        <v>1</v>
      </c>
      <c r="G112" s="24" t="s">
        <v>2</v>
      </c>
      <c r="H112" s="22" t="s">
        <v>3</v>
      </c>
      <c r="I112" s="22" t="s">
        <v>4</v>
      </c>
      <c r="J112" s="22" t="s">
        <v>5</v>
      </c>
      <c r="K112" s="22" t="s">
        <v>6</v>
      </c>
      <c r="L112" s="22" t="s">
        <v>7</v>
      </c>
      <c r="M112" s="24" t="s">
        <v>8</v>
      </c>
      <c r="N112" s="24" t="s">
        <v>9</v>
      </c>
      <c r="O112" s="24" t="s">
        <v>10</v>
      </c>
      <c r="P112" s="24" t="s">
        <v>11</v>
      </c>
    </row>
    <row r="113" spans="2:16" ht="13.5" customHeight="1" thickTop="1">
      <c r="B113" s="200" t="str">
        <f>($B$13)</f>
        <v>MMK</v>
      </c>
      <c r="C113" s="8" t="s">
        <v>16</v>
      </c>
      <c r="D113" s="5">
        <f t="shared" ref="D113:O113" si="91">SUM(D14)</f>
        <v>0</v>
      </c>
      <c r="E113" s="5">
        <f t="shared" si="91"/>
        <v>0</v>
      </c>
      <c r="F113" s="5">
        <f t="shared" si="91"/>
        <v>0</v>
      </c>
      <c r="G113" s="5">
        <f t="shared" si="91"/>
        <v>0</v>
      </c>
      <c r="H113" s="5">
        <f t="shared" si="91"/>
        <v>0</v>
      </c>
      <c r="I113" s="5">
        <f t="shared" si="91"/>
        <v>0</v>
      </c>
      <c r="J113" s="5">
        <f t="shared" si="91"/>
        <v>0</v>
      </c>
      <c r="K113" s="5">
        <f t="shared" si="91"/>
        <v>0</v>
      </c>
      <c r="L113" s="5">
        <f t="shared" si="91"/>
        <v>0</v>
      </c>
      <c r="M113" s="5">
        <f t="shared" si="91"/>
        <v>0</v>
      </c>
      <c r="N113" s="5">
        <f t="shared" si="91"/>
        <v>0</v>
      </c>
      <c r="O113" s="5">
        <f t="shared" si="91"/>
        <v>0</v>
      </c>
      <c r="P113" s="50">
        <f>SUM(D113:O113)</f>
        <v>0</v>
      </c>
    </row>
    <row r="114" spans="2:16" ht="13.5" customHeight="1">
      <c r="B114" s="200" t="str">
        <f>($B$16)</f>
        <v>TWM</v>
      </c>
      <c r="C114" s="10" t="s">
        <v>16</v>
      </c>
      <c r="D114" s="11">
        <f t="shared" ref="D114:O114" si="92">SUM(D17)</f>
        <v>0</v>
      </c>
      <c r="E114" s="11">
        <f t="shared" si="92"/>
        <v>0</v>
      </c>
      <c r="F114" s="11">
        <f t="shared" si="92"/>
        <v>0</v>
      </c>
      <c r="G114" s="11">
        <f t="shared" si="92"/>
        <v>0</v>
      </c>
      <c r="H114" s="11">
        <f t="shared" si="92"/>
        <v>0</v>
      </c>
      <c r="I114" s="11">
        <f t="shared" si="92"/>
        <v>0</v>
      </c>
      <c r="J114" s="11">
        <f t="shared" si="92"/>
        <v>0</v>
      </c>
      <c r="K114" s="11">
        <f t="shared" si="92"/>
        <v>0</v>
      </c>
      <c r="L114" s="11">
        <f t="shared" si="92"/>
        <v>0</v>
      </c>
      <c r="M114" s="11">
        <f t="shared" si="92"/>
        <v>0</v>
      </c>
      <c r="N114" s="11">
        <f t="shared" si="92"/>
        <v>0</v>
      </c>
      <c r="O114" s="11">
        <f t="shared" si="92"/>
        <v>0</v>
      </c>
      <c r="P114" s="48">
        <f t="shared" ref="P114:P126" si="93">SUM(D114:O114)</f>
        <v>0</v>
      </c>
    </row>
    <row r="115" spans="2:16" ht="13.5" customHeight="1">
      <c r="B115" s="200" t="str">
        <f>($B$19)</f>
        <v>ＤＧＭ</v>
      </c>
      <c r="C115" s="12" t="s">
        <v>16</v>
      </c>
      <c r="D115" s="19">
        <f t="shared" ref="D115:O115" si="94">SUM(D20)</f>
        <v>0</v>
      </c>
      <c r="E115" s="19">
        <f t="shared" si="94"/>
        <v>0</v>
      </c>
      <c r="F115" s="19">
        <f t="shared" si="94"/>
        <v>0</v>
      </c>
      <c r="G115" s="19">
        <f t="shared" si="94"/>
        <v>0</v>
      </c>
      <c r="H115" s="19">
        <f t="shared" si="94"/>
        <v>0</v>
      </c>
      <c r="I115" s="19">
        <f t="shared" si="94"/>
        <v>0</v>
      </c>
      <c r="J115" s="19">
        <f t="shared" si="94"/>
        <v>0</v>
      </c>
      <c r="K115" s="19">
        <f t="shared" si="94"/>
        <v>0</v>
      </c>
      <c r="L115" s="19">
        <f t="shared" si="94"/>
        <v>0</v>
      </c>
      <c r="M115" s="19">
        <f t="shared" si="94"/>
        <v>0</v>
      </c>
      <c r="N115" s="19">
        <f t="shared" si="94"/>
        <v>0</v>
      </c>
      <c r="O115" s="19">
        <f t="shared" si="94"/>
        <v>0</v>
      </c>
      <c r="P115" s="48">
        <f t="shared" si="93"/>
        <v>0</v>
      </c>
    </row>
    <row r="116" spans="2:16" ht="13.5" customHeight="1">
      <c r="B116" s="200" t="str">
        <f>($B$28)</f>
        <v>PUNCH</v>
      </c>
      <c r="C116" s="8" t="s">
        <v>16</v>
      </c>
      <c r="D116" s="9">
        <f>SUM(D29)</f>
        <v>0</v>
      </c>
      <c r="E116" s="9">
        <f t="shared" ref="E116:P116" si="95">SUM(E29)</f>
        <v>0</v>
      </c>
      <c r="F116" s="9">
        <f t="shared" si="95"/>
        <v>0</v>
      </c>
      <c r="G116" s="9">
        <f t="shared" si="95"/>
        <v>0</v>
      </c>
      <c r="H116" s="9">
        <f>SUM(H29)</f>
        <v>0</v>
      </c>
      <c r="I116" s="9">
        <f t="shared" si="95"/>
        <v>0</v>
      </c>
      <c r="J116" s="9">
        <f t="shared" si="95"/>
        <v>0</v>
      </c>
      <c r="K116" s="9">
        <f t="shared" si="95"/>
        <v>0</v>
      </c>
      <c r="L116" s="9">
        <f t="shared" si="95"/>
        <v>0</v>
      </c>
      <c r="M116" s="9">
        <f t="shared" si="95"/>
        <v>0</v>
      </c>
      <c r="N116" s="9">
        <f t="shared" si="95"/>
        <v>0</v>
      </c>
      <c r="O116" s="9">
        <f t="shared" si="95"/>
        <v>0</v>
      </c>
      <c r="P116" s="9">
        <f t="shared" si="95"/>
        <v>0</v>
      </c>
    </row>
    <row r="117" spans="2:16" ht="13.5" customHeight="1">
      <c r="B117" s="200" t="str">
        <f>($B$37)</f>
        <v>KA SHIN</v>
      </c>
      <c r="C117" s="8" t="s">
        <v>16</v>
      </c>
      <c r="D117" s="19">
        <f>SUM(D38)</f>
        <v>0</v>
      </c>
      <c r="E117" s="19">
        <f t="shared" ref="E117:P117" si="96">SUM(E38)</f>
        <v>0</v>
      </c>
      <c r="F117" s="19">
        <f t="shared" si="96"/>
        <v>0</v>
      </c>
      <c r="G117" s="19">
        <f t="shared" si="96"/>
        <v>0</v>
      </c>
      <c r="H117" s="19">
        <f t="shared" si="96"/>
        <v>0</v>
      </c>
      <c r="I117" s="19">
        <f t="shared" si="96"/>
        <v>0</v>
      </c>
      <c r="J117" s="19">
        <f t="shared" si="96"/>
        <v>0</v>
      </c>
      <c r="K117" s="19">
        <f t="shared" si="96"/>
        <v>0</v>
      </c>
      <c r="L117" s="19">
        <f t="shared" si="96"/>
        <v>0</v>
      </c>
      <c r="M117" s="19">
        <f t="shared" si="96"/>
        <v>0</v>
      </c>
      <c r="N117" s="19">
        <f t="shared" si="96"/>
        <v>0</v>
      </c>
      <c r="O117" s="19">
        <f t="shared" si="96"/>
        <v>0</v>
      </c>
      <c r="P117" s="19">
        <f t="shared" si="96"/>
        <v>0</v>
      </c>
    </row>
    <row r="118" spans="2:16" ht="13.5" customHeight="1">
      <c r="B118" s="200" t="str">
        <f>($B$40)</f>
        <v>MINH THINH LOI</v>
      </c>
      <c r="C118" s="10" t="s">
        <v>16</v>
      </c>
      <c r="D118" s="11">
        <f t="shared" ref="D118:O118" si="97">SUM(D41)</f>
        <v>0</v>
      </c>
      <c r="E118" s="11">
        <f t="shared" si="97"/>
        <v>0</v>
      </c>
      <c r="F118" s="11">
        <f t="shared" si="97"/>
        <v>0</v>
      </c>
      <c r="G118" s="11">
        <f t="shared" si="97"/>
        <v>0</v>
      </c>
      <c r="H118" s="11">
        <f t="shared" si="97"/>
        <v>0</v>
      </c>
      <c r="I118" s="11">
        <f t="shared" si="97"/>
        <v>0</v>
      </c>
      <c r="J118" s="11">
        <f t="shared" si="97"/>
        <v>0</v>
      </c>
      <c r="K118" s="11">
        <f t="shared" si="97"/>
        <v>0</v>
      </c>
      <c r="L118" s="11">
        <f t="shared" si="97"/>
        <v>0</v>
      </c>
      <c r="M118" s="11">
        <f t="shared" si="97"/>
        <v>0</v>
      </c>
      <c r="N118" s="11">
        <f t="shared" si="97"/>
        <v>0</v>
      </c>
      <c r="O118" s="11">
        <f t="shared" si="97"/>
        <v>0</v>
      </c>
      <c r="P118" s="48">
        <f t="shared" si="93"/>
        <v>0</v>
      </c>
    </row>
    <row r="119" spans="2:16" ht="13.5" customHeight="1">
      <c r="B119" s="200" t="str">
        <f>($B$43)</f>
        <v>KIWA</v>
      </c>
      <c r="C119" s="8" t="s">
        <v>16</v>
      </c>
      <c r="D119" s="11">
        <f>SUM(D44)</f>
        <v>0</v>
      </c>
      <c r="E119" s="11">
        <f t="shared" ref="E119:P119" si="98">SUM(E44)</f>
        <v>1</v>
      </c>
      <c r="F119" s="11">
        <f t="shared" si="98"/>
        <v>4</v>
      </c>
      <c r="G119" s="11">
        <f t="shared" si="98"/>
        <v>0</v>
      </c>
      <c r="H119" s="11">
        <f t="shared" si="98"/>
        <v>0</v>
      </c>
      <c r="I119" s="11">
        <f t="shared" si="98"/>
        <v>0</v>
      </c>
      <c r="J119" s="11">
        <f t="shared" si="98"/>
        <v>0</v>
      </c>
      <c r="K119" s="11">
        <f t="shared" si="98"/>
        <v>0</v>
      </c>
      <c r="L119" s="11">
        <f t="shared" si="98"/>
        <v>0</v>
      </c>
      <c r="M119" s="11">
        <f t="shared" si="98"/>
        <v>0</v>
      </c>
      <c r="N119" s="11">
        <f t="shared" si="98"/>
        <v>0</v>
      </c>
      <c r="O119" s="11">
        <f t="shared" si="98"/>
        <v>0</v>
      </c>
      <c r="P119" s="11">
        <f t="shared" si="98"/>
        <v>5</v>
      </c>
    </row>
    <row r="120" spans="2:16" ht="13.5" customHeight="1">
      <c r="B120" s="200" t="s">
        <v>152</v>
      </c>
      <c r="C120" s="8" t="s">
        <v>16</v>
      </c>
      <c r="D120" s="11">
        <f>SUM(D50)</f>
        <v>0</v>
      </c>
      <c r="E120" s="11">
        <f t="shared" ref="E120:P120" si="99">SUM(E50)</f>
        <v>0</v>
      </c>
      <c r="F120" s="11">
        <f t="shared" si="99"/>
        <v>0</v>
      </c>
      <c r="G120" s="11">
        <f t="shared" si="99"/>
        <v>0</v>
      </c>
      <c r="H120" s="11">
        <f t="shared" si="99"/>
        <v>0</v>
      </c>
      <c r="I120" s="11">
        <f t="shared" si="99"/>
        <v>0</v>
      </c>
      <c r="J120" s="11">
        <f t="shared" si="99"/>
        <v>0</v>
      </c>
      <c r="K120" s="11">
        <f t="shared" si="99"/>
        <v>0</v>
      </c>
      <c r="L120" s="11">
        <f t="shared" si="99"/>
        <v>0</v>
      </c>
      <c r="M120" s="11">
        <f t="shared" si="99"/>
        <v>0</v>
      </c>
      <c r="N120" s="11">
        <f t="shared" si="99"/>
        <v>0</v>
      </c>
      <c r="O120" s="11">
        <f t="shared" si="99"/>
        <v>0</v>
      </c>
      <c r="P120" s="11">
        <f t="shared" si="99"/>
        <v>0</v>
      </c>
    </row>
    <row r="121" spans="2:16" ht="13.5" customHeight="1">
      <c r="B121" s="200" t="str">
        <f>($B$46)</f>
        <v>LE HOANG ANH</v>
      </c>
      <c r="C121" s="8" t="s">
        <v>16</v>
      </c>
      <c r="D121" s="11">
        <f t="shared" ref="D121:O121" si="100">SUM(D47)</f>
        <v>0</v>
      </c>
      <c r="E121" s="11">
        <f t="shared" si="100"/>
        <v>0</v>
      </c>
      <c r="F121" s="11">
        <f t="shared" si="100"/>
        <v>0</v>
      </c>
      <c r="G121" s="11">
        <f t="shared" si="100"/>
        <v>0</v>
      </c>
      <c r="H121" s="11">
        <f t="shared" si="100"/>
        <v>0</v>
      </c>
      <c r="I121" s="11">
        <f t="shared" si="100"/>
        <v>0</v>
      </c>
      <c r="J121" s="11">
        <f t="shared" si="100"/>
        <v>0</v>
      </c>
      <c r="K121" s="11">
        <f t="shared" si="100"/>
        <v>0</v>
      </c>
      <c r="L121" s="11">
        <f t="shared" si="100"/>
        <v>0</v>
      </c>
      <c r="M121" s="11">
        <f t="shared" si="100"/>
        <v>0</v>
      </c>
      <c r="N121" s="11">
        <f t="shared" si="100"/>
        <v>0</v>
      </c>
      <c r="O121" s="11">
        <f t="shared" si="100"/>
        <v>0</v>
      </c>
      <c r="P121" s="48">
        <f t="shared" si="93"/>
        <v>0</v>
      </c>
    </row>
    <row r="122" spans="2:16" ht="13.5" customHeight="1">
      <c r="B122" s="200" t="str">
        <f>($B$52)</f>
        <v>TRUNG PHAT</v>
      </c>
      <c r="C122" s="8" t="s">
        <v>16</v>
      </c>
      <c r="D122" s="9">
        <f t="shared" ref="D122:O122" si="101">SUM(D53)</f>
        <v>0</v>
      </c>
      <c r="E122" s="9">
        <f t="shared" si="101"/>
        <v>0</v>
      </c>
      <c r="F122" s="9">
        <f t="shared" si="101"/>
        <v>0</v>
      </c>
      <c r="G122" s="9">
        <f t="shared" si="101"/>
        <v>0</v>
      </c>
      <c r="H122" s="9">
        <f t="shared" si="101"/>
        <v>0</v>
      </c>
      <c r="I122" s="9">
        <f t="shared" si="101"/>
        <v>0</v>
      </c>
      <c r="J122" s="9">
        <f t="shared" si="101"/>
        <v>0</v>
      </c>
      <c r="K122" s="9">
        <f t="shared" si="101"/>
        <v>0</v>
      </c>
      <c r="L122" s="9">
        <f t="shared" si="101"/>
        <v>0</v>
      </c>
      <c r="M122" s="9">
        <f t="shared" si="101"/>
        <v>0</v>
      </c>
      <c r="N122" s="9">
        <f t="shared" si="101"/>
        <v>0</v>
      </c>
      <c r="O122" s="9">
        <f t="shared" si="101"/>
        <v>0</v>
      </c>
      <c r="P122" s="48">
        <f t="shared" si="93"/>
        <v>0</v>
      </c>
    </row>
    <row r="123" spans="2:16" ht="13.5" customHeight="1">
      <c r="B123" s="200" t="str">
        <f>($B$58)</f>
        <v>OSG</v>
      </c>
      <c r="C123" s="8" t="s">
        <v>16</v>
      </c>
      <c r="D123" s="9">
        <f>SUM(D59)</f>
        <v>0</v>
      </c>
      <c r="E123" s="9">
        <f t="shared" ref="E123:O123" si="102">SUM(E56)</f>
        <v>0</v>
      </c>
      <c r="F123" s="9">
        <f t="shared" si="102"/>
        <v>0</v>
      </c>
      <c r="G123" s="9">
        <f t="shared" si="102"/>
        <v>0</v>
      </c>
      <c r="H123" s="9">
        <f t="shared" si="102"/>
        <v>0</v>
      </c>
      <c r="I123" s="9">
        <f t="shared" si="102"/>
        <v>0</v>
      </c>
      <c r="J123" s="9">
        <f t="shared" si="102"/>
        <v>0</v>
      </c>
      <c r="K123" s="9">
        <f t="shared" si="102"/>
        <v>0</v>
      </c>
      <c r="L123" s="9">
        <f t="shared" si="102"/>
        <v>0</v>
      </c>
      <c r="M123" s="9">
        <f t="shared" si="102"/>
        <v>0</v>
      </c>
      <c r="N123" s="9">
        <f t="shared" si="102"/>
        <v>0</v>
      </c>
      <c r="O123" s="9">
        <f t="shared" si="102"/>
        <v>0</v>
      </c>
      <c r="P123" s="48">
        <f t="shared" si="93"/>
        <v>0</v>
      </c>
    </row>
    <row r="124" spans="2:16" ht="13.5" customHeight="1">
      <c r="B124" s="200" t="str">
        <f>($B$55)</f>
        <v>AN MI</v>
      </c>
      <c r="C124" s="8" t="s">
        <v>16</v>
      </c>
      <c r="D124" s="9">
        <f>SUM(D56)</f>
        <v>0</v>
      </c>
      <c r="E124" s="9">
        <f>SUM(E56)</f>
        <v>0</v>
      </c>
      <c r="F124" s="9">
        <f t="shared" ref="F124:O124" si="103">SUM(F57)</f>
        <v>0</v>
      </c>
      <c r="G124" s="9" t="e">
        <f t="shared" si="103"/>
        <v>#DIV/0!</v>
      </c>
      <c r="H124" s="9" t="e">
        <f t="shared" si="103"/>
        <v>#DIV/0!</v>
      </c>
      <c r="I124" s="9" t="e">
        <f t="shared" si="103"/>
        <v>#DIV/0!</v>
      </c>
      <c r="J124" s="9" t="e">
        <f t="shared" si="103"/>
        <v>#DIV/0!</v>
      </c>
      <c r="K124" s="9" t="e">
        <f t="shared" si="103"/>
        <v>#DIV/0!</v>
      </c>
      <c r="L124" s="9" t="e">
        <f t="shared" si="103"/>
        <v>#DIV/0!</v>
      </c>
      <c r="M124" s="9" t="e">
        <f t="shared" si="103"/>
        <v>#DIV/0!</v>
      </c>
      <c r="N124" s="9" t="e">
        <f t="shared" si="103"/>
        <v>#DIV/0!</v>
      </c>
      <c r="O124" s="9" t="e">
        <f t="shared" si="103"/>
        <v>#DIV/0!</v>
      </c>
      <c r="P124" s="48" t="e">
        <f t="shared" ref="P124" si="104">SUM(D124:O124)</f>
        <v>#DIV/0!</v>
      </c>
    </row>
    <row r="125" spans="2:16" ht="13.5" customHeight="1">
      <c r="B125" s="200" t="str">
        <f>($B$61)</f>
        <v>UWC</v>
      </c>
      <c r="C125" s="8" t="s">
        <v>16</v>
      </c>
      <c r="D125" s="9">
        <f>SUM(D62)</f>
        <v>0</v>
      </c>
      <c r="E125" s="9">
        <f t="shared" ref="E125:P125" si="105">SUM(E62)</f>
        <v>0</v>
      </c>
      <c r="F125" s="9">
        <f t="shared" si="105"/>
        <v>0</v>
      </c>
      <c r="G125" s="9">
        <f t="shared" si="105"/>
        <v>0</v>
      </c>
      <c r="H125" s="9">
        <f t="shared" si="105"/>
        <v>0</v>
      </c>
      <c r="I125" s="9">
        <f t="shared" si="105"/>
        <v>0</v>
      </c>
      <c r="J125" s="9">
        <f t="shared" si="105"/>
        <v>0</v>
      </c>
      <c r="K125" s="9">
        <f t="shared" si="105"/>
        <v>0</v>
      </c>
      <c r="L125" s="9">
        <f t="shared" si="105"/>
        <v>0</v>
      </c>
      <c r="M125" s="9">
        <f t="shared" si="105"/>
        <v>0</v>
      </c>
      <c r="N125" s="9">
        <f t="shared" si="105"/>
        <v>0</v>
      </c>
      <c r="O125" s="9">
        <f t="shared" si="105"/>
        <v>0</v>
      </c>
      <c r="P125" s="9">
        <f t="shared" si="105"/>
        <v>0</v>
      </c>
    </row>
    <row r="126" spans="2:16" ht="13.5" customHeight="1">
      <c r="B126" s="200" t="str">
        <f>($B$64)</f>
        <v>A&amp;D</v>
      </c>
      <c r="C126" s="8" t="s">
        <v>16</v>
      </c>
      <c r="D126" s="9">
        <f t="shared" ref="D126:O126" si="106">SUM(D65)</f>
        <v>0</v>
      </c>
      <c r="E126" s="9">
        <f t="shared" si="106"/>
        <v>0</v>
      </c>
      <c r="F126" s="9">
        <f t="shared" si="106"/>
        <v>0</v>
      </c>
      <c r="G126" s="9">
        <f t="shared" si="106"/>
        <v>0</v>
      </c>
      <c r="H126" s="9">
        <f t="shared" si="106"/>
        <v>0</v>
      </c>
      <c r="I126" s="9">
        <f t="shared" si="106"/>
        <v>0</v>
      </c>
      <c r="J126" s="9">
        <f t="shared" si="106"/>
        <v>0</v>
      </c>
      <c r="K126" s="9">
        <f t="shared" si="106"/>
        <v>0</v>
      </c>
      <c r="L126" s="9">
        <f t="shared" si="106"/>
        <v>0</v>
      </c>
      <c r="M126" s="9">
        <f t="shared" si="106"/>
        <v>0</v>
      </c>
      <c r="N126" s="9">
        <f t="shared" si="106"/>
        <v>0</v>
      </c>
      <c r="O126" s="9">
        <f t="shared" si="106"/>
        <v>0</v>
      </c>
      <c r="P126" s="48">
        <f t="shared" si="93"/>
        <v>0</v>
      </c>
    </row>
    <row r="127" spans="2:16" ht="13.5" customHeight="1">
      <c r="B127" s="200" t="str">
        <f>($B$91)</f>
        <v>HITECH</v>
      </c>
      <c r="C127" s="8" t="s">
        <v>16</v>
      </c>
      <c r="D127" s="9">
        <f>SUM(D92)</f>
        <v>0</v>
      </c>
      <c r="E127" s="9">
        <f t="shared" ref="E127:P127" si="107">SUM(E92)</f>
        <v>0</v>
      </c>
      <c r="F127" s="9">
        <f t="shared" si="107"/>
        <v>0</v>
      </c>
      <c r="G127" s="9">
        <f t="shared" si="107"/>
        <v>0</v>
      </c>
      <c r="H127" s="9">
        <f t="shared" si="107"/>
        <v>0</v>
      </c>
      <c r="I127" s="9">
        <f t="shared" si="107"/>
        <v>0</v>
      </c>
      <c r="J127" s="9">
        <f t="shared" si="107"/>
        <v>0</v>
      </c>
      <c r="K127" s="9">
        <f t="shared" si="107"/>
        <v>0</v>
      </c>
      <c r="L127" s="9">
        <f t="shared" si="107"/>
        <v>0</v>
      </c>
      <c r="M127" s="9">
        <f t="shared" si="107"/>
        <v>0</v>
      </c>
      <c r="N127" s="9">
        <f t="shared" si="107"/>
        <v>0</v>
      </c>
      <c r="O127" s="9">
        <f t="shared" si="107"/>
        <v>0</v>
      </c>
      <c r="P127" s="9">
        <f t="shared" si="107"/>
        <v>0</v>
      </c>
    </row>
    <row r="128" spans="2:16" ht="13.5" customHeight="1">
      <c r="B128" s="200" t="str">
        <f>($B$79)</f>
        <v>FINECS</v>
      </c>
      <c r="C128" s="8" t="s">
        <v>16</v>
      </c>
      <c r="D128" s="9">
        <f>SUM(D80)</f>
        <v>0</v>
      </c>
      <c r="E128" s="9">
        <f t="shared" ref="E128:P128" si="108">SUM(E80)</f>
        <v>0</v>
      </c>
      <c r="F128" s="9">
        <f t="shared" si="108"/>
        <v>0</v>
      </c>
      <c r="G128" s="9">
        <f t="shared" si="108"/>
        <v>0</v>
      </c>
      <c r="H128" s="9">
        <f t="shared" si="108"/>
        <v>0</v>
      </c>
      <c r="I128" s="9">
        <f t="shared" si="108"/>
        <v>0</v>
      </c>
      <c r="J128" s="9">
        <f t="shared" si="108"/>
        <v>0</v>
      </c>
      <c r="K128" s="9">
        <f t="shared" si="108"/>
        <v>0</v>
      </c>
      <c r="L128" s="9">
        <f t="shared" si="108"/>
        <v>0</v>
      </c>
      <c r="M128" s="9">
        <f t="shared" si="108"/>
        <v>0</v>
      </c>
      <c r="N128" s="9">
        <f t="shared" si="108"/>
        <v>0</v>
      </c>
      <c r="O128" s="9">
        <f t="shared" si="108"/>
        <v>0</v>
      </c>
      <c r="P128" s="9">
        <f t="shared" si="108"/>
        <v>0</v>
      </c>
    </row>
    <row r="129" spans="2:16" ht="13.5" customHeight="1">
      <c r="B129" s="200" t="str">
        <f>($B$67)</f>
        <v>SAKURA</v>
      </c>
      <c r="C129" s="8" t="s">
        <v>16</v>
      </c>
      <c r="D129" s="9">
        <f t="shared" ref="D129:O129" si="109">SUM(D68)</f>
        <v>0</v>
      </c>
      <c r="E129" s="9">
        <f t="shared" si="109"/>
        <v>0</v>
      </c>
      <c r="F129" s="9">
        <f t="shared" si="109"/>
        <v>0</v>
      </c>
      <c r="G129" s="9">
        <f t="shared" si="109"/>
        <v>0</v>
      </c>
      <c r="H129" s="9">
        <f t="shared" si="109"/>
        <v>0</v>
      </c>
      <c r="I129" s="9">
        <f t="shared" si="109"/>
        <v>0</v>
      </c>
      <c r="J129" s="9">
        <f t="shared" si="109"/>
        <v>0</v>
      </c>
      <c r="K129" s="9">
        <f t="shared" si="109"/>
        <v>0</v>
      </c>
      <c r="L129" s="9">
        <f t="shared" si="109"/>
        <v>0</v>
      </c>
      <c r="M129" s="9">
        <f t="shared" si="109"/>
        <v>0</v>
      </c>
      <c r="N129" s="9">
        <f t="shared" si="109"/>
        <v>0</v>
      </c>
      <c r="O129" s="9">
        <f t="shared" si="109"/>
        <v>0</v>
      </c>
      <c r="P129" s="48">
        <f t="shared" ref="P129" si="110">SUM(D129:O129)</f>
        <v>0</v>
      </c>
    </row>
    <row r="130" spans="2:16" ht="13.5" customHeight="1">
      <c r="B130" s="200" t="str">
        <f>($B$94)</f>
        <v>CAM</v>
      </c>
      <c r="C130" s="8" t="s">
        <v>16</v>
      </c>
      <c r="D130" s="9">
        <f>SUM(D95)</f>
        <v>0</v>
      </c>
      <c r="E130" s="9">
        <f>SUM(E95)</f>
        <v>1</v>
      </c>
      <c r="F130" s="9" t="e">
        <f t="shared" ref="F130:O130" si="111">SUM(F69)</f>
        <v>#DIV/0!</v>
      </c>
      <c r="G130" s="9" t="e">
        <f t="shared" si="111"/>
        <v>#DIV/0!</v>
      </c>
      <c r="H130" s="9" t="e">
        <f t="shared" si="111"/>
        <v>#DIV/0!</v>
      </c>
      <c r="I130" s="9" t="e">
        <f t="shared" si="111"/>
        <v>#DIV/0!</v>
      </c>
      <c r="J130" s="9" t="e">
        <f t="shared" si="111"/>
        <v>#DIV/0!</v>
      </c>
      <c r="K130" s="9" t="e">
        <f t="shared" si="111"/>
        <v>#DIV/0!</v>
      </c>
      <c r="L130" s="9" t="e">
        <f t="shared" si="111"/>
        <v>#DIV/0!</v>
      </c>
      <c r="M130" s="9" t="e">
        <f t="shared" si="111"/>
        <v>#DIV/0!</v>
      </c>
      <c r="N130" s="9" t="e">
        <f t="shared" si="111"/>
        <v>#DIV/0!</v>
      </c>
      <c r="O130" s="9" t="e">
        <f t="shared" si="111"/>
        <v>#DIV/0!</v>
      </c>
      <c r="P130" s="9">
        <f ca="1">SUM(P130)</f>
        <v>0</v>
      </c>
    </row>
    <row r="131" spans="2:16" ht="13.5" customHeight="1">
      <c r="B131" s="200" t="str">
        <f>($B$82)</f>
        <v>HUYNH DUC</v>
      </c>
      <c r="C131" s="8" t="s">
        <v>16</v>
      </c>
      <c r="D131" s="9">
        <f t="shared" ref="D131:G131" si="112">SUM(D83)</f>
        <v>0</v>
      </c>
      <c r="E131" s="9">
        <f t="shared" si="112"/>
        <v>0</v>
      </c>
      <c r="F131" s="9">
        <f t="shared" si="112"/>
        <v>0</v>
      </c>
      <c r="G131" s="9">
        <f t="shared" si="112"/>
        <v>0</v>
      </c>
      <c r="H131" s="9">
        <f>SUM(H83)</f>
        <v>0</v>
      </c>
      <c r="I131" s="9">
        <f t="shared" ref="I131:P131" si="113">SUM(I70)</f>
        <v>0</v>
      </c>
      <c r="J131" s="9">
        <f t="shared" si="113"/>
        <v>0</v>
      </c>
      <c r="K131" s="9">
        <f t="shared" si="113"/>
        <v>0</v>
      </c>
      <c r="L131" s="9">
        <f t="shared" si="113"/>
        <v>0</v>
      </c>
      <c r="M131" s="9">
        <f t="shared" si="113"/>
        <v>0</v>
      </c>
      <c r="N131" s="9">
        <f t="shared" si="113"/>
        <v>0</v>
      </c>
      <c r="O131" s="9">
        <f t="shared" si="113"/>
        <v>0</v>
      </c>
      <c r="P131" s="9">
        <f t="shared" si="113"/>
        <v>0</v>
      </c>
    </row>
    <row r="132" spans="2:16">
      <c r="B132" s="48" t="s">
        <v>154</v>
      </c>
      <c r="C132" s="8" t="s">
        <v>16</v>
      </c>
      <c r="D132" s="9">
        <f>+D89</f>
        <v>0</v>
      </c>
      <c r="E132" s="9">
        <f t="shared" ref="E132:O132" si="114">+E89</f>
        <v>0</v>
      </c>
      <c r="F132" s="9">
        <f t="shared" si="114"/>
        <v>0</v>
      </c>
      <c r="G132" s="9">
        <f t="shared" si="114"/>
        <v>0</v>
      </c>
      <c r="H132" s="9">
        <f t="shared" si="114"/>
        <v>0</v>
      </c>
      <c r="I132" s="9">
        <f t="shared" si="114"/>
        <v>0</v>
      </c>
      <c r="J132" s="9">
        <f t="shared" si="114"/>
        <v>0</v>
      </c>
      <c r="K132" s="9">
        <f t="shared" si="114"/>
        <v>0</v>
      </c>
      <c r="L132" s="9">
        <f t="shared" si="114"/>
        <v>0</v>
      </c>
      <c r="M132" s="9">
        <f t="shared" si="114"/>
        <v>0</v>
      </c>
      <c r="N132" s="9">
        <f t="shared" si="114"/>
        <v>0</v>
      </c>
      <c r="O132" s="9">
        <f t="shared" si="114"/>
        <v>0</v>
      </c>
      <c r="P132" s="48">
        <f t="shared" ref="P132" si="115">SUM(D132:O132)</f>
        <v>0</v>
      </c>
    </row>
    <row r="133" spans="2:16">
      <c r="B133" s="48" t="s">
        <v>161</v>
      </c>
      <c r="C133" s="8" t="s">
        <v>16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48"/>
    </row>
    <row r="134" spans="2:16">
      <c r="B134" s="48" t="s">
        <v>149</v>
      </c>
      <c r="C134" s="8" t="s">
        <v>16</v>
      </c>
      <c r="D134" s="9">
        <f>SUM(D86)</f>
        <v>0</v>
      </c>
      <c r="E134" s="9">
        <f t="shared" ref="E134:P134" si="116">SUM(E86)</f>
        <v>0</v>
      </c>
      <c r="F134" s="9">
        <f t="shared" si="116"/>
        <v>0</v>
      </c>
      <c r="G134" s="9">
        <f t="shared" si="116"/>
        <v>0</v>
      </c>
      <c r="H134" s="9">
        <f t="shared" si="116"/>
        <v>0</v>
      </c>
      <c r="I134" s="9">
        <f t="shared" si="116"/>
        <v>0</v>
      </c>
      <c r="J134" s="9">
        <f t="shared" si="116"/>
        <v>0</v>
      </c>
      <c r="K134" s="9">
        <f t="shared" si="116"/>
        <v>0</v>
      </c>
      <c r="L134" s="9">
        <f t="shared" si="116"/>
        <v>0</v>
      </c>
      <c r="M134" s="9">
        <f t="shared" si="116"/>
        <v>0</v>
      </c>
      <c r="N134" s="9">
        <f t="shared" si="116"/>
        <v>0</v>
      </c>
      <c r="O134" s="9">
        <f t="shared" si="116"/>
        <v>0</v>
      </c>
      <c r="P134" s="9">
        <f t="shared" si="116"/>
        <v>0</v>
      </c>
    </row>
    <row r="153" spans="2:16">
      <c r="C153" s="21" t="s">
        <v>22</v>
      </c>
    </row>
    <row r="154" spans="2:16" ht="14.25" thickBot="1">
      <c r="D154" s="22" t="s">
        <v>12</v>
      </c>
      <c r="E154" s="23" t="s">
        <v>0</v>
      </c>
      <c r="F154" s="24" t="s">
        <v>1</v>
      </c>
      <c r="G154" s="24" t="s">
        <v>2</v>
      </c>
      <c r="H154" s="22" t="s">
        <v>3</v>
      </c>
      <c r="I154" s="22" t="s">
        <v>4</v>
      </c>
      <c r="J154" s="22" t="s">
        <v>5</v>
      </c>
      <c r="K154" s="22" t="s">
        <v>6</v>
      </c>
      <c r="L154" s="22" t="s">
        <v>7</v>
      </c>
      <c r="M154" s="24" t="s">
        <v>8</v>
      </c>
      <c r="N154" s="24" t="s">
        <v>9</v>
      </c>
      <c r="O154" s="24" t="s">
        <v>10</v>
      </c>
      <c r="P154" s="24" t="s">
        <v>29</v>
      </c>
    </row>
    <row r="155" spans="2:16" ht="13.5" customHeight="1" thickTop="1">
      <c r="B155" s="200" t="str">
        <f>($B$13)</f>
        <v>MMK</v>
      </c>
      <c r="C155" s="8" t="s">
        <v>20</v>
      </c>
      <c r="D155" s="215">
        <f t="shared" ref="D155:P155" si="117">SUM(D15)</f>
        <v>0</v>
      </c>
      <c r="E155" s="215" t="e">
        <f t="shared" si="117"/>
        <v>#DIV/0!</v>
      </c>
      <c r="F155" s="215" t="e">
        <f t="shared" si="117"/>
        <v>#DIV/0!</v>
      </c>
      <c r="G155" s="215" t="e">
        <f t="shared" si="117"/>
        <v>#DIV/0!</v>
      </c>
      <c r="H155" s="215" t="e">
        <f t="shared" si="117"/>
        <v>#DIV/0!</v>
      </c>
      <c r="I155" s="215" t="e">
        <f t="shared" si="117"/>
        <v>#DIV/0!</v>
      </c>
      <c r="J155" s="215" t="e">
        <f t="shared" si="117"/>
        <v>#DIV/0!</v>
      </c>
      <c r="K155" s="215" t="e">
        <f t="shared" si="117"/>
        <v>#DIV/0!</v>
      </c>
      <c r="L155" s="215">
        <f t="shared" si="117"/>
        <v>0</v>
      </c>
      <c r="M155" s="215">
        <f t="shared" si="117"/>
        <v>0</v>
      </c>
      <c r="N155" s="215">
        <f t="shared" si="117"/>
        <v>0</v>
      </c>
      <c r="O155" s="215">
        <f t="shared" si="117"/>
        <v>0</v>
      </c>
      <c r="P155" s="215">
        <f t="shared" si="117"/>
        <v>0</v>
      </c>
    </row>
    <row r="156" spans="2:16" ht="13.5" customHeight="1">
      <c r="B156" s="200" t="str">
        <f>($B$16)</f>
        <v>TWM</v>
      </c>
      <c r="C156" s="8" t="s">
        <v>20</v>
      </c>
      <c r="D156" s="214">
        <f t="shared" ref="D156:P156" si="118">SUM(D18)</f>
        <v>0</v>
      </c>
      <c r="E156" s="214">
        <f t="shared" si="118"/>
        <v>0</v>
      </c>
      <c r="F156" s="214">
        <f t="shared" si="118"/>
        <v>0</v>
      </c>
      <c r="G156" s="214" t="e">
        <f t="shared" si="118"/>
        <v>#DIV/0!</v>
      </c>
      <c r="H156" s="214" t="e">
        <f t="shared" si="118"/>
        <v>#DIV/0!</v>
      </c>
      <c r="I156" s="214" t="e">
        <f t="shared" si="118"/>
        <v>#DIV/0!</v>
      </c>
      <c r="J156" s="214" t="e">
        <f t="shared" si="118"/>
        <v>#DIV/0!</v>
      </c>
      <c r="K156" s="214" t="e">
        <f t="shared" si="118"/>
        <v>#DIV/0!</v>
      </c>
      <c r="L156" s="214" t="e">
        <f t="shared" si="118"/>
        <v>#DIV/0!</v>
      </c>
      <c r="M156" s="214" t="e">
        <f t="shared" si="118"/>
        <v>#DIV/0!</v>
      </c>
      <c r="N156" s="214" t="e">
        <f t="shared" si="118"/>
        <v>#DIV/0!</v>
      </c>
      <c r="O156" s="214" t="e">
        <f t="shared" si="118"/>
        <v>#DIV/0!</v>
      </c>
      <c r="P156" s="214">
        <f t="shared" si="118"/>
        <v>0</v>
      </c>
    </row>
    <row r="157" spans="2:16" ht="13.5" customHeight="1">
      <c r="B157" s="200" t="str">
        <f>($B$19)</f>
        <v>ＤＧＭ</v>
      </c>
      <c r="C157" s="8" t="s">
        <v>20</v>
      </c>
      <c r="D157" s="213">
        <f t="shared" ref="D157:P157" si="119">SUM(D21)</f>
        <v>0</v>
      </c>
      <c r="E157" s="213">
        <f t="shared" si="119"/>
        <v>0</v>
      </c>
      <c r="F157" s="213">
        <f t="shared" si="119"/>
        <v>0</v>
      </c>
      <c r="G157" s="213" t="e">
        <f t="shared" si="119"/>
        <v>#DIV/0!</v>
      </c>
      <c r="H157" s="213" t="e">
        <f t="shared" si="119"/>
        <v>#DIV/0!</v>
      </c>
      <c r="I157" s="213" t="e">
        <f t="shared" si="119"/>
        <v>#DIV/0!</v>
      </c>
      <c r="J157" s="213" t="e">
        <f t="shared" si="119"/>
        <v>#DIV/0!</v>
      </c>
      <c r="K157" s="213" t="e">
        <f t="shared" si="119"/>
        <v>#DIV/0!</v>
      </c>
      <c r="L157" s="213" t="e">
        <f t="shared" si="119"/>
        <v>#DIV/0!</v>
      </c>
      <c r="M157" s="213" t="e">
        <f t="shared" si="119"/>
        <v>#DIV/0!</v>
      </c>
      <c r="N157" s="213" t="e">
        <f t="shared" si="119"/>
        <v>#DIV/0!</v>
      </c>
      <c r="O157" s="213" t="e">
        <f t="shared" si="119"/>
        <v>#DIV/0!</v>
      </c>
      <c r="P157" s="213">
        <f t="shared" si="119"/>
        <v>0</v>
      </c>
    </row>
    <row r="158" spans="2:16" ht="13.5" customHeight="1">
      <c r="B158" s="200" t="str">
        <f>($B$28)</f>
        <v>PUNCH</v>
      </c>
      <c r="C158" s="8" t="s">
        <v>20</v>
      </c>
      <c r="D158" s="213">
        <f t="shared" ref="D158:P158" si="120">SUM(D30)</f>
        <v>0</v>
      </c>
      <c r="E158" s="213">
        <f t="shared" si="120"/>
        <v>0</v>
      </c>
      <c r="F158" s="213">
        <f t="shared" si="120"/>
        <v>0</v>
      </c>
      <c r="G158" s="213" t="e">
        <f t="shared" si="120"/>
        <v>#DIV/0!</v>
      </c>
      <c r="H158" s="213" t="e">
        <f t="shared" si="120"/>
        <v>#DIV/0!</v>
      </c>
      <c r="I158" s="213" t="e">
        <f t="shared" si="120"/>
        <v>#DIV/0!</v>
      </c>
      <c r="J158" s="213" t="e">
        <f t="shared" si="120"/>
        <v>#DIV/0!</v>
      </c>
      <c r="K158" s="213" t="e">
        <f t="shared" si="120"/>
        <v>#DIV/0!</v>
      </c>
      <c r="L158" s="213" t="e">
        <f t="shared" si="120"/>
        <v>#DIV/0!</v>
      </c>
      <c r="M158" s="213" t="e">
        <f t="shared" si="120"/>
        <v>#DIV/0!</v>
      </c>
      <c r="N158" s="213" t="e">
        <f t="shared" si="120"/>
        <v>#DIV/0!</v>
      </c>
      <c r="O158" s="213" t="e">
        <f t="shared" si="120"/>
        <v>#DIV/0!</v>
      </c>
      <c r="P158" s="213">
        <f t="shared" si="120"/>
        <v>0</v>
      </c>
    </row>
    <row r="159" spans="2:16" ht="13.5" customHeight="1">
      <c r="B159" s="200" t="str">
        <f>($B$37)</f>
        <v>KA SHIN</v>
      </c>
      <c r="C159" s="8" t="s">
        <v>20</v>
      </c>
      <c r="D159" s="213">
        <f t="shared" ref="D159:P159" si="121">SUM(D39)</f>
        <v>0</v>
      </c>
      <c r="E159" s="213" t="e">
        <f t="shared" si="121"/>
        <v>#DIV/0!</v>
      </c>
      <c r="F159" s="213">
        <f t="shared" si="121"/>
        <v>0</v>
      </c>
      <c r="G159" s="213" t="e">
        <f t="shared" si="121"/>
        <v>#DIV/0!</v>
      </c>
      <c r="H159" s="213" t="e">
        <f t="shared" si="121"/>
        <v>#DIV/0!</v>
      </c>
      <c r="I159" s="213" t="e">
        <f t="shared" si="121"/>
        <v>#DIV/0!</v>
      </c>
      <c r="J159" s="213" t="e">
        <f t="shared" si="121"/>
        <v>#DIV/0!</v>
      </c>
      <c r="K159" s="213" t="e">
        <f t="shared" si="121"/>
        <v>#DIV/0!</v>
      </c>
      <c r="L159" s="213" t="e">
        <f t="shared" si="121"/>
        <v>#DIV/0!</v>
      </c>
      <c r="M159" s="213" t="e">
        <f t="shared" si="121"/>
        <v>#DIV/0!</v>
      </c>
      <c r="N159" s="213" t="e">
        <f t="shared" si="121"/>
        <v>#DIV/0!</v>
      </c>
      <c r="O159" s="213" t="e">
        <f t="shared" si="121"/>
        <v>#DIV/0!</v>
      </c>
      <c r="P159" s="213">
        <f t="shared" si="121"/>
        <v>0</v>
      </c>
    </row>
    <row r="160" spans="2:16" ht="13.5" customHeight="1">
      <c r="B160" s="200" t="str">
        <f>($B$40)</f>
        <v>MINH THINH LOI</v>
      </c>
      <c r="C160" s="8" t="s">
        <v>20</v>
      </c>
      <c r="D160" s="214">
        <f t="shared" ref="D160:P160" si="122">SUM(D42)</f>
        <v>0</v>
      </c>
      <c r="E160" s="213">
        <f>SUM(E40)</f>
        <v>3</v>
      </c>
      <c r="F160" s="214">
        <f t="shared" si="122"/>
        <v>0</v>
      </c>
      <c r="G160" s="214" t="e">
        <f t="shared" si="122"/>
        <v>#DIV/0!</v>
      </c>
      <c r="H160" s="214" t="e">
        <f t="shared" si="122"/>
        <v>#DIV/0!</v>
      </c>
      <c r="I160" s="214" t="e">
        <f t="shared" si="122"/>
        <v>#DIV/0!</v>
      </c>
      <c r="J160" s="214" t="e">
        <f t="shared" si="122"/>
        <v>#DIV/0!</v>
      </c>
      <c r="K160" s="214" t="e">
        <f t="shared" si="122"/>
        <v>#DIV/0!</v>
      </c>
      <c r="L160" s="214" t="e">
        <f t="shared" si="122"/>
        <v>#DIV/0!</v>
      </c>
      <c r="M160" s="214" t="e">
        <f t="shared" si="122"/>
        <v>#DIV/0!</v>
      </c>
      <c r="N160" s="214" t="e">
        <f t="shared" si="122"/>
        <v>#DIV/0!</v>
      </c>
      <c r="O160" s="214" t="e">
        <f t="shared" si="122"/>
        <v>#DIV/0!</v>
      </c>
      <c r="P160" s="214">
        <f t="shared" si="122"/>
        <v>0</v>
      </c>
    </row>
    <row r="161" spans="2:16" ht="13.5" customHeight="1">
      <c r="B161" s="200" t="str">
        <f>($B$43)</f>
        <v>KIWA</v>
      </c>
      <c r="C161" s="8" t="s">
        <v>20</v>
      </c>
      <c r="D161" s="214">
        <f t="shared" ref="D161:P161" si="123">SUM(D45)</f>
        <v>0</v>
      </c>
      <c r="E161" s="214">
        <f t="shared" si="123"/>
        <v>1.6949152542372881E-2</v>
      </c>
      <c r="F161" s="214">
        <f t="shared" si="123"/>
        <v>6.25E-2</v>
      </c>
      <c r="G161" s="214" t="e">
        <f t="shared" si="123"/>
        <v>#DIV/0!</v>
      </c>
      <c r="H161" s="214" t="e">
        <f t="shared" si="123"/>
        <v>#DIV/0!</v>
      </c>
      <c r="I161" s="214" t="e">
        <f t="shared" si="123"/>
        <v>#DIV/0!</v>
      </c>
      <c r="J161" s="214" t="e">
        <f t="shared" si="123"/>
        <v>#DIV/0!</v>
      </c>
      <c r="K161" s="214" t="e">
        <f t="shared" si="123"/>
        <v>#DIV/0!</v>
      </c>
      <c r="L161" s="214" t="e">
        <f t="shared" si="123"/>
        <v>#DIV/0!</v>
      </c>
      <c r="M161" s="214" t="e">
        <f t="shared" si="123"/>
        <v>#DIV/0!</v>
      </c>
      <c r="N161" s="214" t="e">
        <f t="shared" si="123"/>
        <v>#DIV/0!</v>
      </c>
      <c r="O161" s="214" t="e">
        <f t="shared" si="123"/>
        <v>#DIV/0!</v>
      </c>
      <c r="P161" s="214">
        <f t="shared" si="123"/>
        <v>2.2123893805309734E-2</v>
      </c>
    </row>
    <row r="162" spans="2:16" ht="13.5" customHeight="1">
      <c r="B162" s="200" t="str">
        <f>($B$46)</f>
        <v>LE HOANG ANH</v>
      </c>
      <c r="C162" s="8" t="s">
        <v>20</v>
      </c>
      <c r="D162" s="214">
        <f t="shared" ref="D162:P162" si="124">SUM(D48)</f>
        <v>0</v>
      </c>
      <c r="E162" s="214">
        <f t="shared" si="124"/>
        <v>0</v>
      </c>
      <c r="F162" s="214">
        <f t="shared" si="124"/>
        <v>0</v>
      </c>
      <c r="G162" s="214" t="e">
        <f t="shared" si="124"/>
        <v>#DIV/0!</v>
      </c>
      <c r="H162" s="214" t="e">
        <f t="shared" si="124"/>
        <v>#DIV/0!</v>
      </c>
      <c r="I162" s="214" t="e">
        <f t="shared" si="124"/>
        <v>#DIV/0!</v>
      </c>
      <c r="J162" s="214" t="e">
        <f t="shared" si="124"/>
        <v>#DIV/0!</v>
      </c>
      <c r="K162" s="214" t="e">
        <f t="shared" si="124"/>
        <v>#DIV/0!</v>
      </c>
      <c r="L162" s="214" t="e">
        <f t="shared" si="124"/>
        <v>#DIV/0!</v>
      </c>
      <c r="M162" s="214" t="e">
        <f t="shared" si="124"/>
        <v>#DIV/0!</v>
      </c>
      <c r="N162" s="214" t="e">
        <f t="shared" si="124"/>
        <v>#DIV/0!</v>
      </c>
      <c r="O162" s="214" t="e">
        <f t="shared" si="124"/>
        <v>#DIV/0!</v>
      </c>
      <c r="P162" s="214">
        <f t="shared" si="124"/>
        <v>0</v>
      </c>
    </row>
    <row r="163" spans="2:16" ht="13.5" customHeight="1">
      <c r="B163" s="200" t="str">
        <f>($B$49)</f>
        <v>ISHISEI</v>
      </c>
      <c r="C163" s="12" t="s">
        <v>20</v>
      </c>
      <c r="D163" s="18">
        <f t="shared" ref="D163:P163" si="125">SUM(D51)</f>
        <v>0</v>
      </c>
      <c r="E163" s="214">
        <f>SUM(E51)</f>
        <v>0</v>
      </c>
      <c r="F163" s="213">
        <f t="shared" si="125"/>
        <v>0</v>
      </c>
      <c r="G163" s="213" t="e">
        <f t="shared" si="125"/>
        <v>#DIV/0!</v>
      </c>
      <c r="H163" s="213" t="e">
        <f t="shared" si="125"/>
        <v>#DIV/0!</v>
      </c>
      <c r="I163" s="213" t="e">
        <f t="shared" si="125"/>
        <v>#DIV/0!</v>
      </c>
      <c r="J163" s="213" t="e">
        <f t="shared" si="125"/>
        <v>#DIV/0!</v>
      </c>
      <c r="K163" s="213" t="e">
        <f t="shared" si="125"/>
        <v>#DIV/0!</v>
      </c>
      <c r="L163" s="213" t="e">
        <f t="shared" si="125"/>
        <v>#DIV/0!</v>
      </c>
      <c r="M163" s="213" t="e">
        <f t="shared" si="125"/>
        <v>#DIV/0!</v>
      </c>
      <c r="N163" s="213" t="e">
        <f t="shared" si="125"/>
        <v>#DIV/0!</v>
      </c>
      <c r="O163" s="213" t="e">
        <f t="shared" si="125"/>
        <v>#DIV/0!</v>
      </c>
      <c r="P163" s="213">
        <f t="shared" si="125"/>
        <v>0</v>
      </c>
    </row>
    <row r="164" spans="2:16" ht="13.5" customHeight="1">
      <c r="B164" s="200" t="str">
        <f>($B$52)</f>
        <v>TRUNG PHAT</v>
      </c>
      <c r="C164" s="12" t="s">
        <v>20</v>
      </c>
      <c r="D164" s="213">
        <f t="shared" ref="D164:P164" si="126">SUM(D54)</f>
        <v>0</v>
      </c>
      <c r="E164" s="213">
        <f t="shared" si="126"/>
        <v>0</v>
      </c>
      <c r="F164" s="213">
        <f t="shared" si="126"/>
        <v>0</v>
      </c>
      <c r="G164" s="213" t="e">
        <f t="shared" si="126"/>
        <v>#DIV/0!</v>
      </c>
      <c r="H164" s="213" t="e">
        <f t="shared" si="126"/>
        <v>#DIV/0!</v>
      </c>
      <c r="I164" s="213" t="e">
        <f t="shared" si="126"/>
        <v>#DIV/0!</v>
      </c>
      <c r="J164" s="213" t="e">
        <f t="shared" si="126"/>
        <v>#DIV/0!</v>
      </c>
      <c r="K164" s="213" t="e">
        <f t="shared" si="126"/>
        <v>#DIV/0!</v>
      </c>
      <c r="L164" s="213" t="e">
        <f t="shared" si="126"/>
        <v>#DIV/0!</v>
      </c>
      <c r="M164" s="213" t="e">
        <f t="shared" si="126"/>
        <v>#DIV/0!</v>
      </c>
      <c r="N164" s="213" t="e">
        <f t="shared" si="126"/>
        <v>#DIV/0!</v>
      </c>
      <c r="O164" s="213" t="e">
        <f t="shared" si="126"/>
        <v>#DIV/0!</v>
      </c>
      <c r="P164" s="213">
        <f t="shared" si="126"/>
        <v>0</v>
      </c>
    </row>
    <row r="165" spans="2:16" ht="13.5" customHeight="1">
      <c r="B165" s="200" t="str">
        <f>($B$55)</f>
        <v>AN MI</v>
      </c>
      <c r="C165" s="12" t="s">
        <v>20</v>
      </c>
      <c r="D165" s="18" t="e">
        <f t="shared" ref="D165:P165" si="127">SUM(D57)</f>
        <v>#DIV/0!</v>
      </c>
      <c r="E165" s="213" t="e">
        <f t="shared" si="127"/>
        <v>#DIV/0!</v>
      </c>
      <c r="F165" s="213">
        <f t="shared" si="127"/>
        <v>0</v>
      </c>
      <c r="G165" s="213" t="e">
        <f t="shared" si="127"/>
        <v>#DIV/0!</v>
      </c>
      <c r="H165" s="213" t="e">
        <f t="shared" si="127"/>
        <v>#DIV/0!</v>
      </c>
      <c r="I165" s="213" t="e">
        <f t="shared" si="127"/>
        <v>#DIV/0!</v>
      </c>
      <c r="J165" s="213" t="e">
        <f t="shared" si="127"/>
        <v>#DIV/0!</v>
      </c>
      <c r="K165" s="213" t="e">
        <f t="shared" si="127"/>
        <v>#DIV/0!</v>
      </c>
      <c r="L165" s="213" t="e">
        <f t="shared" si="127"/>
        <v>#DIV/0!</v>
      </c>
      <c r="M165" s="213" t="e">
        <f t="shared" si="127"/>
        <v>#DIV/0!</v>
      </c>
      <c r="N165" s="213" t="e">
        <f t="shared" si="127"/>
        <v>#DIV/0!</v>
      </c>
      <c r="O165" s="213" t="e">
        <f t="shared" si="127"/>
        <v>#DIV/0!</v>
      </c>
      <c r="P165" s="213">
        <f t="shared" si="127"/>
        <v>0</v>
      </c>
    </row>
    <row r="166" spans="2:16" ht="13.5" customHeight="1">
      <c r="B166" s="200" t="str">
        <f>($B$61)</f>
        <v>UWC</v>
      </c>
      <c r="C166" s="12" t="s">
        <v>20</v>
      </c>
      <c r="D166" s="18">
        <f t="shared" ref="D166:P166" si="128">SUM(D63)</f>
        <v>0</v>
      </c>
      <c r="E166" s="213">
        <f t="shared" si="128"/>
        <v>0</v>
      </c>
      <c r="F166" s="213">
        <f t="shared" si="128"/>
        <v>0</v>
      </c>
      <c r="G166" s="213" t="e">
        <f t="shared" si="128"/>
        <v>#DIV/0!</v>
      </c>
      <c r="H166" s="213" t="e">
        <f t="shared" si="128"/>
        <v>#DIV/0!</v>
      </c>
      <c r="I166" s="213" t="e">
        <f t="shared" si="128"/>
        <v>#DIV/0!</v>
      </c>
      <c r="J166" s="213" t="e">
        <f t="shared" si="128"/>
        <v>#DIV/0!</v>
      </c>
      <c r="K166" s="213" t="e">
        <f t="shared" si="128"/>
        <v>#DIV/0!</v>
      </c>
      <c r="L166" s="213" t="e">
        <f t="shared" si="128"/>
        <v>#DIV/0!</v>
      </c>
      <c r="M166" s="213" t="e">
        <f t="shared" si="128"/>
        <v>#DIV/0!</v>
      </c>
      <c r="N166" s="213" t="e">
        <f t="shared" si="128"/>
        <v>#DIV/0!</v>
      </c>
      <c r="O166" s="213" t="e">
        <f t="shared" si="128"/>
        <v>#DIV/0!</v>
      </c>
      <c r="P166" s="213">
        <f t="shared" si="128"/>
        <v>0</v>
      </c>
    </row>
    <row r="167" spans="2:16" ht="13.5" customHeight="1">
      <c r="B167" s="200" t="str">
        <f>($B$64)</f>
        <v>A&amp;D</v>
      </c>
      <c r="C167" s="12" t="s">
        <v>20</v>
      </c>
      <c r="D167" s="213">
        <f t="shared" ref="D167:P167" si="129">SUM(D66)</f>
        <v>0</v>
      </c>
      <c r="E167" s="213">
        <f t="shared" si="129"/>
        <v>0</v>
      </c>
      <c r="F167" s="213">
        <f t="shared" si="129"/>
        <v>0</v>
      </c>
      <c r="G167" s="213" t="e">
        <f t="shared" si="129"/>
        <v>#DIV/0!</v>
      </c>
      <c r="H167" s="213" t="e">
        <f t="shared" si="129"/>
        <v>#DIV/0!</v>
      </c>
      <c r="I167" s="213" t="e">
        <f t="shared" si="129"/>
        <v>#DIV/0!</v>
      </c>
      <c r="J167" s="213" t="e">
        <f t="shared" si="129"/>
        <v>#DIV/0!</v>
      </c>
      <c r="K167" s="213" t="e">
        <f t="shared" si="129"/>
        <v>#DIV/0!</v>
      </c>
      <c r="L167" s="213" t="e">
        <f t="shared" si="129"/>
        <v>#DIV/0!</v>
      </c>
      <c r="M167" s="213" t="e">
        <f t="shared" si="129"/>
        <v>#DIV/0!</v>
      </c>
      <c r="N167" s="213" t="e">
        <f t="shared" si="129"/>
        <v>#DIV/0!</v>
      </c>
      <c r="O167" s="213" t="e">
        <f t="shared" si="129"/>
        <v>#DIV/0!</v>
      </c>
      <c r="P167" s="213">
        <f t="shared" si="129"/>
        <v>0</v>
      </c>
    </row>
    <row r="168" spans="2:16" ht="13.5" customHeight="1">
      <c r="B168" s="200" t="str">
        <f>($B$67)</f>
        <v>SAKURA</v>
      </c>
      <c r="C168" s="12" t="s">
        <v>20</v>
      </c>
      <c r="D168" s="213" t="e">
        <f t="shared" ref="D168:P168" si="130">SUM(D69)</f>
        <v>#DIV/0!</v>
      </c>
      <c r="E168" s="213" t="e">
        <f t="shared" si="130"/>
        <v>#DIV/0!</v>
      </c>
      <c r="F168" s="213" t="e">
        <f t="shared" si="130"/>
        <v>#DIV/0!</v>
      </c>
      <c r="G168" s="213" t="e">
        <f t="shared" si="130"/>
        <v>#DIV/0!</v>
      </c>
      <c r="H168" s="213" t="e">
        <f t="shared" si="130"/>
        <v>#DIV/0!</v>
      </c>
      <c r="I168" s="213" t="e">
        <f t="shared" si="130"/>
        <v>#DIV/0!</v>
      </c>
      <c r="J168" s="213" t="e">
        <f t="shared" si="130"/>
        <v>#DIV/0!</v>
      </c>
      <c r="K168" s="213" t="e">
        <f t="shared" si="130"/>
        <v>#DIV/0!</v>
      </c>
      <c r="L168" s="213" t="e">
        <f t="shared" si="130"/>
        <v>#DIV/0!</v>
      </c>
      <c r="M168" s="213" t="e">
        <f t="shared" si="130"/>
        <v>#DIV/0!</v>
      </c>
      <c r="N168" s="213" t="e">
        <f t="shared" si="130"/>
        <v>#DIV/0!</v>
      </c>
      <c r="O168" s="213" t="e">
        <f t="shared" si="130"/>
        <v>#DIV/0!</v>
      </c>
      <c r="P168" s="213" t="e">
        <f t="shared" si="130"/>
        <v>#DIV/0!</v>
      </c>
    </row>
    <row r="169" spans="2:16" ht="13.5" customHeight="1">
      <c r="B169" s="200" t="s">
        <v>153</v>
      </c>
      <c r="C169" s="12" t="s">
        <v>20</v>
      </c>
      <c r="D169" s="213">
        <f>SUM(D96)</f>
        <v>0</v>
      </c>
      <c r="E169" s="213">
        <f t="shared" ref="E169:P169" si="131">SUM(E96)</f>
        <v>4.1666666666666664E-2</v>
      </c>
      <c r="F169" s="213">
        <f t="shared" si="131"/>
        <v>0</v>
      </c>
      <c r="G169" s="213" t="e">
        <f t="shared" si="131"/>
        <v>#DIV/0!</v>
      </c>
      <c r="H169" s="213" t="e">
        <f t="shared" si="131"/>
        <v>#DIV/0!</v>
      </c>
      <c r="I169" s="213" t="e">
        <f t="shared" si="131"/>
        <v>#DIV/0!</v>
      </c>
      <c r="J169" s="213" t="e">
        <f t="shared" si="131"/>
        <v>#DIV/0!</v>
      </c>
      <c r="K169" s="213" t="e">
        <f t="shared" si="131"/>
        <v>#DIV/0!</v>
      </c>
      <c r="L169" s="213" t="e">
        <f t="shared" si="131"/>
        <v>#DIV/0!</v>
      </c>
      <c r="M169" s="213" t="e">
        <f t="shared" si="131"/>
        <v>#DIV/0!</v>
      </c>
      <c r="N169" s="213" t="e">
        <f t="shared" si="131"/>
        <v>#DIV/0!</v>
      </c>
      <c r="O169" s="213" t="e">
        <f t="shared" si="131"/>
        <v>#DIV/0!</v>
      </c>
      <c r="P169" s="213">
        <f t="shared" si="131"/>
        <v>1.6129032258064516E-2</v>
      </c>
    </row>
    <row r="170" spans="2:16" ht="13.5" customHeight="1">
      <c r="B170" s="200" t="str">
        <f>($B$82)</f>
        <v>HUYNH DUC</v>
      </c>
      <c r="C170" s="12" t="s">
        <v>20</v>
      </c>
      <c r="D170" s="213">
        <f t="shared" ref="D170:P170" si="132">SUM(D84)</f>
        <v>0</v>
      </c>
      <c r="E170" s="213">
        <f t="shared" si="132"/>
        <v>0</v>
      </c>
      <c r="F170" s="213">
        <f t="shared" si="132"/>
        <v>0</v>
      </c>
      <c r="G170" s="213" t="e">
        <f t="shared" si="132"/>
        <v>#DIV/0!</v>
      </c>
      <c r="H170" s="213" t="e">
        <f t="shared" si="132"/>
        <v>#DIV/0!</v>
      </c>
      <c r="I170" s="213" t="e">
        <f t="shared" si="132"/>
        <v>#DIV/0!</v>
      </c>
      <c r="J170" s="213" t="e">
        <f t="shared" si="132"/>
        <v>#DIV/0!</v>
      </c>
      <c r="K170" s="213" t="e">
        <f t="shared" si="132"/>
        <v>#DIV/0!</v>
      </c>
      <c r="L170" s="213" t="e">
        <f t="shared" si="132"/>
        <v>#DIV/0!</v>
      </c>
      <c r="M170" s="213" t="e">
        <f t="shared" si="132"/>
        <v>#DIV/0!</v>
      </c>
      <c r="N170" s="213" t="e">
        <f t="shared" si="132"/>
        <v>#DIV/0!</v>
      </c>
      <c r="O170" s="213" t="e">
        <f t="shared" si="132"/>
        <v>#DIV/0!</v>
      </c>
      <c r="P170" s="213">
        <f t="shared" si="132"/>
        <v>0</v>
      </c>
    </row>
    <row r="171" spans="2:16" ht="13.5" customHeight="1">
      <c r="B171" s="200" t="s">
        <v>154</v>
      </c>
      <c r="C171" s="12" t="s">
        <v>20</v>
      </c>
      <c r="D171" s="213">
        <f t="shared" ref="D171:O171" si="133">SUM(D78)</f>
        <v>0</v>
      </c>
      <c r="E171" s="213">
        <f t="shared" si="133"/>
        <v>0</v>
      </c>
      <c r="F171" s="213">
        <f t="shared" si="133"/>
        <v>0</v>
      </c>
      <c r="G171" s="213" t="e">
        <f t="shared" si="133"/>
        <v>#DIV/0!</v>
      </c>
      <c r="H171" s="213" t="e">
        <f t="shared" si="133"/>
        <v>#DIV/0!</v>
      </c>
      <c r="I171" s="213" t="e">
        <f t="shared" si="133"/>
        <v>#DIV/0!</v>
      </c>
      <c r="J171" s="213" t="e">
        <f t="shared" si="133"/>
        <v>#DIV/0!</v>
      </c>
      <c r="K171" s="213" t="e">
        <f t="shared" si="133"/>
        <v>#DIV/0!</v>
      </c>
      <c r="L171" s="213" t="e">
        <f t="shared" si="133"/>
        <v>#DIV/0!</v>
      </c>
      <c r="M171" s="213" t="e">
        <f t="shared" si="133"/>
        <v>#DIV/0!</v>
      </c>
      <c r="N171" s="213" t="e">
        <f t="shared" si="133"/>
        <v>#DIV/0!</v>
      </c>
      <c r="O171" s="213" t="e">
        <f t="shared" si="133"/>
        <v>#DIV/0!</v>
      </c>
      <c r="P171" s="213">
        <f>SUM(P78)</f>
        <v>0</v>
      </c>
    </row>
    <row r="172" spans="2:16" ht="13.5" customHeight="1">
      <c r="B172" s="200" t="s">
        <v>161</v>
      </c>
      <c r="C172" s="12" t="s">
        <v>20</v>
      </c>
      <c r="D172" s="213" t="e">
        <f>+D90</f>
        <v>#DIV/0!</v>
      </c>
      <c r="E172" s="213" t="e">
        <f t="shared" ref="E172:P172" si="134">+E90</f>
        <v>#DIV/0!</v>
      </c>
      <c r="F172" s="213" t="e">
        <f t="shared" si="134"/>
        <v>#DIV/0!</v>
      </c>
      <c r="G172" s="213" t="e">
        <f t="shared" si="134"/>
        <v>#DIV/0!</v>
      </c>
      <c r="H172" s="213" t="e">
        <f t="shared" si="134"/>
        <v>#DIV/0!</v>
      </c>
      <c r="I172" s="213" t="e">
        <f t="shared" si="134"/>
        <v>#DIV/0!</v>
      </c>
      <c r="J172" s="213" t="e">
        <f t="shared" si="134"/>
        <v>#DIV/0!</v>
      </c>
      <c r="K172" s="213" t="e">
        <f t="shared" si="134"/>
        <v>#DIV/0!</v>
      </c>
      <c r="L172" s="213" t="e">
        <f t="shared" si="134"/>
        <v>#DIV/0!</v>
      </c>
      <c r="M172" s="213" t="e">
        <f t="shared" si="134"/>
        <v>#DIV/0!</v>
      </c>
      <c r="N172" s="213" t="e">
        <f t="shared" si="134"/>
        <v>#DIV/0!</v>
      </c>
      <c r="O172" s="213" t="e">
        <f t="shared" si="134"/>
        <v>#DIV/0!</v>
      </c>
      <c r="P172" s="213" t="e">
        <f t="shared" si="134"/>
        <v>#DIV/0!</v>
      </c>
    </row>
    <row r="173" spans="2:16" ht="13.5" customHeight="1">
      <c r="B173" s="200" t="s">
        <v>149</v>
      </c>
      <c r="C173" s="12" t="s">
        <v>20</v>
      </c>
      <c r="D173" s="213">
        <f>SUM(D87)</f>
        <v>0</v>
      </c>
      <c r="E173" s="213">
        <f t="shared" ref="E173:P173" si="135">SUM(E87)</f>
        <v>0</v>
      </c>
      <c r="F173" s="213">
        <f t="shared" si="135"/>
        <v>0</v>
      </c>
      <c r="G173" s="213" t="e">
        <f t="shared" si="135"/>
        <v>#DIV/0!</v>
      </c>
      <c r="H173" s="213" t="e">
        <f t="shared" si="135"/>
        <v>#DIV/0!</v>
      </c>
      <c r="I173" s="213" t="e">
        <f t="shared" si="135"/>
        <v>#DIV/0!</v>
      </c>
      <c r="J173" s="213" t="e">
        <f t="shared" si="135"/>
        <v>#DIV/0!</v>
      </c>
      <c r="K173" s="213" t="e">
        <f t="shared" si="135"/>
        <v>#DIV/0!</v>
      </c>
      <c r="L173" s="213" t="e">
        <f t="shared" si="135"/>
        <v>#DIV/0!</v>
      </c>
      <c r="M173" s="213" t="e">
        <f t="shared" si="135"/>
        <v>#DIV/0!</v>
      </c>
      <c r="N173" s="213" t="e">
        <f t="shared" si="135"/>
        <v>#DIV/0!</v>
      </c>
      <c r="O173" s="213" t="e">
        <f t="shared" si="135"/>
        <v>#DIV/0!</v>
      </c>
      <c r="P173" s="213">
        <f t="shared" si="135"/>
        <v>0</v>
      </c>
    </row>
    <row r="174" spans="2:16" ht="13.5" customHeight="1">
      <c r="C174" s="20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65"/>
    </row>
  </sheetData>
  <mergeCells count="64">
    <mergeCell ref="B91:B93"/>
    <mergeCell ref="A97:A99"/>
    <mergeCell ref="B97:B99"/>
    <mergeCell ref="B52:B54"/>
    <mergeCell ref="A82:A84"/>
    <mergeCell ref="B82:B84"/>
    <mergeCell ref="A67:A69"/>
    <mergeCell ref="B67:B69"/>
    <mergeCell ref="A70:A72"/>
    <mergeCell ref="B70:B72"/>
    <mergeCell ref="A73:A75"/>
    <mergeCell ref="A52:A54"/>
    <mergeCell ref="A58:A60"/>
    <mergeCell ref="B55:B57"/>
    <mergeCell ref="B61:B63"/>
    <mergeCell ref="A61:A63"/>
    <mergeCell ref="A64:A66"/>
    <mergeCell ref="B64:B66"/>
    <mergeCell ref="B10:B12"/>
    <mergeCell ref="B13:B15"/>
    <mergeCell ref="B16:B18"/>
    <mergeCell ref="B19:B21"/>
    <mergeCell ref="B28:B30"/>
    <mergeCell ref="B22:B24"/>
    <mergeCell ref="B25:B27"/>
    <mergeCell ref="B31:B33"/>
    <mergeCell ref="B58:B60"/>
    <mergeCell ref="A46:A48"/>
    <mergeCell ref="A49:A51"/>
    <mergeCell ref="B37:B39"/>
    <mergeCell ref="A37:A39"/>
    <mergeCell ref="B40:B42"/>
    <mergeCell ref="B43:B45"/>
    <mergeCell ref="B46:B48"/>
    <mergeCell ref="B49:B51"/>
    <mergeCell ref="A40:A42"/>
    <mergeCell ref="A43:A45"/>
    <mergeCell ref="A31:A33"/>
    <mergeCell ref="A34:A36"/>
    <mergeCell ref="B34:B36"/>
    <mergeCell ref="A55:A57"/>
    <mergeCell ref="A10:A12"/>
    <mergeCell ref="A13:A15"/>
    <mergeCell ref="A16:A18"/>
    <mergeCell ref="A19:A21"/>
    <mergeCell ref="A28:A30"/>
    <mergeCell ref="A22:A24"/>
    <mergeCell ref="A25:A27"/>
    <mergeCell ref="A103:A105"/>
    <mergeCell ref="B103:B105"/>
    <mergeCell ref="A85:A87"/>
    <mergeCell ref="B85:B87"/>
    <mergeCell ref="B73:B75"/>
    <mergeCell ref="A79:A81"/>
    <mergeCell ref="A76:A78"/>
    <mergeCell ref="B76:B78"/>
    <mergeCell ref="B79:B81"/>
    <mergeCell ref="A100:A102"/>
    <mergeCell ref="B100:B102"/>
    <mergeCell ref="A88:A90"/>
    <mergeCell ref="B88:B90"/>
    <mergeCell ref="A94:A96"/>
    <mergeCell ref="B94:B96"/>
    <mergeCell ref="A91:A93"/>
  </mergeCells>
  <phoneticPr fontId="2"/>
  <conditionalFormatting sqref="D23:O23">
    <cfRule type="cellIs" dxfId="15" priority="14" operator="greaterThan">
      <formula>0</formula>
    </cfRule>
  </conditionalFormatting>
  <conditionalFormatting sqref="D26:O26">
    <cfRule type="cellIs" dxfId="14" priority="13" operator="greaterThan">
      <formula>0</formula>
    </cfRule>
  </conditionalFormatting>
  <conditionalFormatting sqref="D32:O32">
    <cfRule type="cellIs" dxfId="13" priority="4" operator="greaterThan">
      <formula>0</formula>
    </cfRule>
  </conditionalFormatting>
  <conditionalFormatting sqref="D35:O35">
    <cfRule type="cellIs" dxfId="12" priority="8" operator="greaterThan">
      <formula>0</formula>
    </cfRule>
  </conditionalFormatting>
  <conditionalFormatting sqref="D59:O59">
    <cfRule type="cellIs" dxfId="11" priority="15" operator="greaterThan">
      <formula>0</formula>
    </cfRule>
  </conditionalFormatting>
  <conditionalFormatting sqref="D68:O68">
    <cfRule type="cellIs" dxfId="10" priority="22" operator="greaterThan">
      <formula>0</formula>
    </cfRule>
  </conditionalFormatting>
  <conditionalFormatting sqref="D71:O71">
    <cfRule type="cellIs" dxfId="9" priority="18" operator="greaterThan">
      <formula>0</formula>
    </cfRule>
  </conditionalFormatting>
  <conditionalFormatting sqref="D74:O74">
    <cfRule type="cellIs" dxfId="8" priority="17" operator="greaterThan">
      <formula>0</formula>
    </cfRule>
  </conditionalFormatting>
  <conditionalFormatting sqref="D77:O77">
    <cfRule type="cellIs" dxfId="7" priority="12" operator="greaterThan">
      <formula>0</formula>
    </cfRule>
  </conditionalFormatting>
  <conditionalFormatting sqref="D80:O80">
    <cfRule type="cellIs" dxfId="6" priority="16" operator="greaterThan">
      <formula>0</formula>
    </cfRule>
  </conditionalFormatting>
  <conditionalFormatting sqref="D83:O83">
    <cfRule type="cellIs" dxfId="5" priority="20" operator="greaterThan">
      <formula>0</formula>
    </cfRule>
  </conditionalFormatting>
  <conditionalFormatting sqref="D86:O86 D92:O92 D95:O95">
    <cfRule type="cellIs" dxfId="4" priority="10" operator="greaterThan">
      <formula>0</formula>
    </cfRule>
  </conditionalFormatting>
  <conditionalFormatting sqref="D89:O89">
    <cfRule type="cellIs" dxfId="3" priority="7" operator="greaterThan">
      <formula>0</formula>
    </cfRule>
  </conditionalFormatting>
  <conditionalFormatting sqref="D98:O98">
    <cfRule type="cellIs" dxfId="2" priority="6" operator="greaterThan">
      <formula>0</formula>
    </cfRule>
  </conditionalFormatting>
  <conditionalFormatting sqref="D11:P11 D14:O14 D17:O17 D20:O20 D29:O29 D38:O38 D41:O41 D44:O44 D47:O47 D50:O50 D53:O53 D56:O56 D62:O62 D65:O65 D113:O115 D116:P117 D118:O118 D119:P120 D121:O124 D125:P125 D126:O126 D127:P128 D129:O129 D130:P131 D132:O133 D134:P134 D164:P173 D174:O174">
    <cfRule type="cellIs" dxfId="1" priority="27" operator="greaterThan">
      <formula>0</formula>
    </cfRule>
  </conditionalFormatting>
  <conditionalFormatting sqref="D155:P162 E163">
    <cfRule type="cellIs" dxfId="0" priority="25" operator="greaterThan">
      <formula>0</formula>
    </cfRule>
  </conditionalFormatting>
  <hyperlinks>
    <hyperlink ref="B64" r:id="rId1" display="A@D" xr:uid="{00000000-0004-0000-0000-000000000000}"/>
  </hyperlinks>
  <pageMargins left="0.78700000000000003" right="0.78700000000000003" top="0.98399999999999999" bottom="0.98399999999999999" header="0.51200000000000001" footer="0.51200000000000001"/>
  <pageSetup paperSize="9" orientation="landscape" r:id="rId2"/>
  <headerFooter alignWithMargins="0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2:AF53"/>
  <sheetViews>
    <sheetView tabSelected="1" zoomScaleNormal="100" zoomScaleSheetLayoutView="100" workbookViewId="0">
      <pane ySplit="5" topLeftCell="A6" activePane="bottomLeft" state="frozen"/>
      <selection pane="bottomLeft" activeCell="K29" sqref="K29"/>
    </sheetView>
  </sheetViews>
  <sheetFormatPr defaultRowHeight="13.5"/>
  <cols>
    <col min="1" max="1" width="10.42578125" style="66" bestFit="1" customWidth="1"/>
    <col min="2" max="2" width="2.85546875" style="67" bestFit="1" customWidth="1"/>
    <col min="3" max="3" width="23.28515625" style="68" bestFit="1" customWidth="1"/>
    <col min="4" max="4" width="5.28515625" style="67" bestFit="1" customWidth="1"/>
    <col min="5" max="5" width="9.42578125" style="66" bestFit="1" customWidth="1"/>
    <col min="6" max="6" width="5.28515625" style="69" bestFit="1" customWidth="1"/>
    <col min="7" max="7" width="11.42578125" style="70" bestFit="1" customWidth="1"/>
    <col min="8" max="11" width="11.42578125" style="71" bestFit="1" customWidth="1"/>
    <col min="12" max="12" width="12" style="71" customWidth="1"/>
    <col min="13" max="13" width="12.42578125" style="71" customWidth="1"/>
    <col min="14" max="16" width="10.5703125" style="71" bestFit="1" customWidth="1"/>
    <col min="17" max="17" width="12.42578125" style="71" customWidth="1"/>
    <col min="18" max="18" width="10.5703125" style="71" bestFit="1" customWidth="1"/>
    <col min="19" max="25" width="9.140625" style="66"/>
    <col min="26" max="26" width="11.5703125" style="66" bestFit="1" customWidth="1"/>
    <col min="27" max="251" width="9.140625" style="66"/>
    <col min="252" max="252" width="5.85546875" style="66" customWidth="1"/>
    <col min="253" max="253" width="30.7109375" style="66" bestFit="1" customWidth="1"/>
    <col min="254" max="254" width="10.5703125" style="66" bestFit="1" customWidth="1"/>
    <col min="255" max="255" width="6" style="66" bestFit="1" customWidth="1"/>
    <col min="256" max="260" width="7.85546875" style="66" bestFit="1" customWidth="1"/>
    <col min="261" max="267" width="9" style="66" bestFit="1" customWidth="1"/>
    <col min="268" max="268" width="9.140625" style="66"/>
    <col min="269" max="269" width="10.28515625" style="66" bestFit="1" customWidth="1"/>
    <col min="270" max="507" width="9.140625" style="66"/>
    <col min="508" max="508" width="5.85546875" style="66" customWidth="1"/>
    <col min="509" max="509" width="30.7109375" style="66" bestFit="1" customWidth="1"/>
    <col min="510" max="510" width="10.5703125" style="66" bestFit="1" customWidth="1"/>
    <col min="511" max="511" width="6" style="66" bestFit="1" customWidth="1"/>
    <col min="512" max="516" width="7.85546875" style="66" bestFit="1" customWidth="1"/>
    <col min="517" max="523" width="9" style="66" bestFit="1" customWidth="1"/>
    <col min="524" max="524" width="9.140625" style="66"/>
    <col min="525" max="525" width="10.28515625" style="66" bestFit="1" customWidth="1"/>
    <col min="526" max="763" width="9.140625" style="66"/>
    <col min="764" max="764" width="5.85546875" style="66" customWidth="1"/>
    <col min="765" max="765" width="30.7109375" style="66" bestFit="1" customWidth="1"/>
    <col min="766" max="766" width="10.5703125" style="66" bestFit="1" customWidth="1"/>
    <col min="767" max="767" width="6" style="66" bestFit="1" customWidth="1"/>
    <col min="768" max="772" width="7.85546875" style="66" bestFit="1" customWidth="1"/>
    <col min="773" max="779" width="9" style="66" bestFit="1" customWidth="1"/>
    <col min="780" max="780" width="9.140625" style="66"/>
    <col min="781" max="781" width="10.28515625" style="66" bestFit="1" customWidth="1"/>
    <col min="782" max="1019" width="9.140625" style="66"/>
    <col min="1020" max="1020" width="5.85546875" style="66" customWidth="1"/>
    <col min="1021" max="1021" width="30.7109375" style="66" bestFit="1" customWidth="1"/>
    <col min="1022" max="1022" width="10.5703125" style="66" bestFit="1" customWidth="1"/>
    <col min="1023" max="1023" width="6" style="66" bestFit="1" customWidth="1"/>
    <col min="1024" max="1028" width="7.85546875" style="66" bestFit="1" customWidth="1"/>
    <col min="1029" max="1035" width="9" style="66" bestFit="1" customWidth="1"/>
    <col min="1036" max="1036" width="9.140625" style="66"/>
    <col min="1037" max="1037" width="10.28515625" style="66" bestFit="1" customWidth="1"/>
    <col min="1038" max="1275" width="9.140625" style="66"/>
    <col min="1276" max="1276" width="5.85546875" style="66" customWidth="1"/>
    <col min="1277" max="1277" width="30.7109375" style="66" bestFit="1" customWidth="1"/>
    <col min="1278" max="1278" width="10.5703125" style="66" bestFit="1" customWidth="1"/>
    <col min="1279" max="1279" width="6" style="66" bestFit="1" customWidth="1"/>
    <col min="1280" max="1284" width="7.85546875" style="66" bestFit="1" customWidth="1"/>
    <col min="1285" max="1291" width="9" style="66" bestFit="1" customWidth="1"/>
    <col min="1292" max="1292" width="9.140625" style="66"/>
    <col min="1293" max="1293" width="10.28515625" style="66" bestFit="1" customWidth="1"/>
    <col min="1294" max="1531" width="9.140625" style="66"/>
    <col min="1532" max="1532" width="5.85546875" style="66" customWidth="1"/>
    <col min="1533" max="1533" width="30.7109375" style="66" bestFit="1" customWidth="1"/>
    <col min="1534" max="1534" width="10.5703125" style="66" bestFit="1" customWidth="1"/>
    <col min="1535" max="1535" width="6" style="66" bestFit="1" customWidth="1"/>
    <col min="1536" max="1540" width="7.85546875" style="66" bestFit="1" customWidth="1"/>
    <col min="1541" max="1547" width="9" style="66" bestFit="1" customWidth="1"/>
    <col min="1548" max="1548" width="9.140625" style="66"/>
    <col min="1549" max="1549" width="10.28515625" style="66" bestFit="1" customWidth="1"/>
    <col min="1550" max="1787" width="9.140625" style="66"/>
    <col min="1788" max="1788" width="5.85546875" style="66" customWidth="1"/>
    <col min="1789" max="1789" width="30.7109375" style="66" bestFit="1" customWidth="1"/>
    <col min="1790" max="1790" width="10.5703125" style="66" bestFit="1" customWidth="1"/>
    <col min="1791" max="1791" width="6" style="66" bestFit="1" customWidth="1"/>
    <col min="1792" max="1796" width="7.85546875" style="66" bestFit="1" customWidth="1"/>
    <col min="1797" max="1803" width="9" style="66" bestFit="1" customWidth="1"/>
    <col min="1804" max="1804" width="9.140625" style="66"/>
    <col min="1805" max="1805" width="10.28515625" style="66" bestFit="1" customWidth="1"/>
    <col min="1806" max="2043" width="9.140625" style="66"/>
    <col min="2044" max="2044" width="5.85546875" style="66" customWidth="1"/>
    <col min="2045" max="2045" width="30.7109375" style="66" bestFit="1" customWidth="1"/>
    <col min="2046" max="2046" width="10.5703125" style="66" bestFit="1" customWidth="1"/>
    <col min="2047" max="2047" width="6" style="66" bestFit="1" customWidth="1"/>
    <col min="2048" max="2052" width="7.85546875" style="66" bestFit="1" customWidth="1"/>
    <col min="2053" max="2059" width="9" style="66" bestFit="1" customWidth="1"/>
    <col min="2060" max="2060" width="9.140625" style="66"/>
    <col min="2061" max="2061" width="10.28515625" style="66" bestFit="1" customWidth="1"/>
    <col min="2062" max="2299" width="9.140625" style="66"/>
    <col min="2300" max="2300" width="5.85546875" style="66" customWidth="1"/>
    <col min="2301" max="2301" width="30.7109375" style="66" bestFit="1" customWidth="1"/>
    <col min="2302" max="2302" width="10.5703125" style="66" bestFit="1" customWidth="1"/>
    <col min="2303" max="2303" width="6" style="66" bestFit="1" customWidth="1"/>
    <col min="2304" max="2308" width="7.85546875" style="66" bestFit="1" customWidth="1"/>
    <col min="2309" max="2315" width="9" style="66" bestFit="1" customWidth="1"/>
    <col min="2316" max="2316" width="9.140625" style="66"/>
    <col min="2317" max="2317" width="10.28515625" style="66" bestFit="1" customWidth="1"/>
    <col min="2318" max="2555" width="9.140625" style="66"/>
    <col min="2556" max="2556" width="5.85546875" style="66" customWidth="1"/>
    <col min="2557" max="2557" width="30.7109375" style="66" bestFit="1" customWidth="1"/>
    <col min="2558" max="2558" width="10.5703125" style="66" bestFit="1" customWidth="1"/>
    <col min="2559" max="2559" width="6" style="66" bestFit="1" customWidth="1"/>
    <col min="2560" max="2564" width="7.85546875" style="66" bestFit="1" customWidth="1"/>
    <col min="2565" max="2571" width="9" style="66" bestFit="1" customWidth="1"/>
    <col min="2572" max="2572" width="9.140625" style="66"/>
    <col min="2573" max="2573" width="10.28515625" style="66" bestFit="1" customWidth="1"/>
    <col min="2574" max="2811" width="9.140625" style="66"/>
    <col min="2812" max="2812" width="5.85546875" style="66" customWidth="1"/>
    <col min="2813" max="2813" width="30.7109375" style="66" bestFit="1" customWidth="1"/>
    <col min="2814" max="2814" width="10.5703125" style="66" bestFit="1" customWidth="1"/>
    <col min="2815" max="2815" width="6" style="66" bestFit="1" customWidth="1"/>
    <col min="2816" max="2820" width="7.85546875" style="66" bestFit="1" customWidth="1"/>
    <col min="2821" max="2827" width="9" style="66" bestFit="1" customWidth="1"/>
    <col min="2828" max="2828" width="9.140625" style="66"/>
    <col min="2829" max="2829" width="10.28515625" style="66" bestFit="1" customWidth="1"/>
    <col min="2830" max="3067" width="9.140625" style="66"/>
    <col min="3068" max="3068" width="5.85546875" style="66" customWidth="1"/>
    <col min="3069" max="3069" width="30.7109375" style="66" bestFit="1" customWidth="1"/>
    <col min="3070" max="3070" width="10.5703125" style="66" bestFit="1" customWidth="1"/>
    <col min="3071" max="3071" width="6" style="66" bestFit="1" customWidth="1"/>
    <col min="3072" max="3076" width="7.85546875" style="66" bestFit="1" customWidth="1"/>
    <col min="3077" max="3083" width="9" style="66" bestFit="1" customWidth="1"/>
    <col min="3084" max="3084" width="9.140625" style="66"/>
    <col min="3085" max="3085" width="10.28515625" style="66" bestFit="1" customWidth="1"/>
    <col min="3086" max="3323" width="9.140625" style="66"/>
    <col min="3324" max="3324" width="5.85546875" style="66" customWidth="1"/>
    <col min="3325" max="3325" width="30.7109375" style="66" bestFit="1" customWidth="1"/>
    <col min="3326" max="3326" width="10.5703125" style="66" bestFit="1" customWidth="1"/>
    <col min="3327" max="3327" width="6" style="66" bestFit="1" customWidth="1"/>
    <col min="3328" max="3332" width="7.85546875" style="66" bestFit="1" customWidth="1"/>
    <col min="3333" max="3339" width="9" style="66" bestFit="1" customWidth="1"/>
    <col min="3340" max="3340" width="9.140625" style="66"/>
    <col min="3341" max="3341" width="10.28515625" style="66" bestFit="1" customWidth="1"/>
    <col min="3342" max="3579" width="9.140625" style="66"/>
    <col min="3580" max="3580" width="5.85546875" style="66" customWidth="1"/>
    <col min="3581" max="3581" width="30.7109375" style="66" bestFit="1" customWidth="1"/>
    <col min="3582" max="3582" width="10.5703125" style="66" bestFit="1" customWidth="1"/>
    <col min="3583" max="3583" width="6" style="66" bestFit="1" customWidth="1"/>
    <col min="3584" max="3588" width="7.85546875" style="66" bestFit="1" customWidth="1"/>
    <col min="3589" max="3595" width="9" style="66" bestFit="1" customWidth="1"/>
    <col min="3596" max="3596" width="9.140625" style="66"/>
    <col min="3597" max="3597" width="10.28515625" style="66" bestFit="1" customWidth="1"/>
    <col min="3598" max="3835" width="9.140625" style="66"/>
    <col min="3836" max="3836" width="5.85546875" style="66" customWidth="1"/>
    <col min="3837" max="3837" width="30.7109375" style="66" bestFit="1" customWidth="1"/>
    <col min="3838" max="3838" width="10.5703125" style="66" bestFit="1" customWidth="1"/>
    <col min="3839" max="3839" width="6" style="66" bestFit="1" customWidth="1"/>
    <col min="3840" max="3844" width="7.85546875" style="66" bestFit="1" customWidth="1"/>
    <col min="3845" max="3851" width="9" style="66" bestFit="1" customWidth="1"/>
    <col min="3852" max="3852" width="9.140625" style="66"/>
    <col min="3853" max="3853" width="10.28515625" style="66" bestFit="1" customWidth="1"/>
    <col min="3854" max="4091" width="9.140625" style="66"/>
    <col min="4092" max="4092" width="5.85546875" style="66" customWidth="1"/>
    <col min="4093" max="4093" width="30.7109375" style="66" bestFit="1" customWidth="1"/>
    <col min="4094" max="4094" width="10.5703125" style="66" bestFit="1" customWidth="1"/>
    <col min="4095" max="4095" width="6" style="66" bestFit="1" customWidth="1"/>
    <col min="4096" max="4100" width="7.85546875" style="66" bestFit="1" customWidth="1"/>
    <col min="4101" max="4107" width="9" style="66" bestFit="1" customWidth="1"/>
    <col min="4108" max="4108" width="9.140625" style="66"/>
    <col min="4109" max="4109" width="10.28515625" style="66" bestFit="1" customWidth="1"/>
    <col min="4110" max="4347" width="9.140625" style="66"/>
    <col min="4348" max="4348" width="5.85546875" style="66" customWidth="1"/>
    <col min="4349" max="4349" width="30.7109375" style="66" bestFit="1" customWidth="1"/>
    <col min="4350" max="4350" width="10.5703125" style="66" bestFit="1" customWidth="1"/>
    <col min="4351" max="4351" width="6" style="66" bestFit="1" customWidth="1"/>
    <col min="4352" max="4356" width="7.85546875" style="66" bestFit="1" customWidth="1"/>
    <col min="4357" max="4363" width="9" style="66" bestFit="1" customWidth="1"/>
    <col min="4364" max="4364" width="9.140625" style="66"/>
    <col min="4365" max="4365" width="10.28515625" style="66" bestFit="1" customWidth="1"/>
    <col min="4366" max="4603" width="9.140625" style="66"/>
    <col min="4604" max="4604" width="5.85546875" style="66" customWidth="1"/>
    <col min="4605" max="4605" width="30.7109375" style="66" bestFit="1" customWidth="1"/>
    <col min="4606" max="4606" width="10.5703125" style="66" bestFit="1" customWidth="1"/>
    <col min="4607" max="4607" width="6" style="66" bestFit="1" customWidth="1"/>
    <col min="4608" max="4612" width="7.85546875" style="66" bestFit="1" customWidth="1"/>
    <col min="4613" max="4619" width="9" style="66" bestFit="1" customWidth="1"/>
    <col min="4620" max="4620" width="9.140625" style="66"/>
    <col min="4621" max="4621" width="10.28515625" style="66" bestFit="1" customWidth="1"/>
    <col min="4622" max="4859" width="9.140625" style="66"/>
    <col min="4860" max="4860" width="5.85546875" style="66" customWidth="1"/>
    <col min="4861" max="4861" width="30.7109375" style="66" bestFit="1" customWidth="1"/>
    <col min="4862" max="4862" width="10.5703125" style="66" bestFit="1" customWidth="1"/>
    <col min="4863" max="4863" width="6" style="66" bestFit="1" customWidth="1"/>
    <col min="4864" max="4868" width="7.85546875" style="66" bestFit="1" customWidth="1"/>
    <col min="4869" max="4875" width="9" style="66" bestFit="1" customWidth="1"/>
    <col min="4876" max="4876" width="9.140625" style="66"/>
    <col min="4877" max="4877" width="10.28515625" style="66" bestFit="1" customWidth="1"/>
    <col min="4878" max="5115" width="9.140625" style="66"/>
    <col min="5116" max="5116" width="5.85546875" style="66" customWidth="1"/>
    <col min="5117" max="5117" width="30.7109375" style="66" bestFit="1" customWidth="1"/>
    <col min="5118" max="5118" width="10.5703125" style="66" bestFit="1" customWidth="1"/>
    <col min="5119" max="5119" width="6" style="66" bestFit="1" customWidth="1"/>
    <col min="5120" max="5124" width="7.85546875" style="66" bestFit="1" customWidth="1"/>
    <col min="5125" max="5131" width="9" style="66" bestFit="1" customWidth="1"/>
    <col min="5132" max="5132" width="9.140625" style="66"/>
    <col min="5133" max="5133" width="10.28515625" style="66" bestFit="1" customWidth="1"/>
    <col min="5134" max="5371" width="9.140625" style="66"/>
    <col min="5372" max="5372" width="5.85546875" style="66" customWidth="1"/>
    <col min="5373" max="5373" width="30.7109375" style="66" bestFit="1" customWidth="1"/>
    <col min="5374" max="5374" width="10.5703125" style="66" bestFit="1" customWidth="1"/>
    <col min="5375" max="5375" width="6" style="66" bestFit="1" customWidth="1"/>
    <col min="5376" max="5380" width="7.85546875" style="66" bestFit="1" customWidth="1"/>
    <col min="5381" max="5387" width="9" style="66" bestFit="1" customWidth="1"/>
    <col min="5388" max="5388" width="9.140625" style="66"/>
    <col min="5389" max="5389" width="10.28515625" style="66" bestFit="1" customWidth="1"/>
    <col min="5390" max="5627" width="9.140625" style="66"/>
    <col min="5628" max="5628" width="5.85546875" style="66" customWidth="1"/>
    <col min="5629" max="5629" width="30.7109375" style="66" bestFit="1" customWidth="1"/>
    <col min="5630" max="5630" width="10.5703125" style="66" bestFit="1" customWidth="1"/>
    <col min="5631" max="5631" width="6" style="66" bestFit="1" customWidth="1"/>
    <col min="5632" max="5636" width="7.85546875" style="66" bestFit="1" customWidth="1"/>
    <col min="5637" max="5643" width="9" style="66" bestFit="1" customWidth="1"/>
    <col min="5644" max="5644" width="9.140625" style="66"/>
    <col min="5645" max="5645" width="10.28515625" style="66" bestFit="1" customWidth="1"/>
    <col min="5646" max="5883" width="9.140625" style="66"/>
    <col min="5884" max="5884" width="5.85546875" style="66" customWidth="1"/>
    <col min="5885" max="5885" width="30.7109375" style="66" bestFit="1" customWidth="1"/>
    <col min="5886" max="5886" width="10.5703125" style="66" bestFit="1" customWidth="1"/>
    <col min="5887" max="5887" width="6" style="66" bestFit="1" customWidth="1"/>
    <col min="5888" max="5892" width="7.85546875" style="66" bestFit="1" customWidth="1"/>
    <col min="5893" max="5899" width="9" style="66" bestFit="1" customWidth="1"/>
    <col min="5900" max="5900" width="9.140625" style="66"/>
    <col min="5901" max="5901" width="10.28515625" style="66" bestFit="1" customWidth="1"/>
    <col min="5902" max="6139" width="9.140625" style="66"/>
    <col min="6140" max="6140" width="5.85546875" style="66" customWidth="1"/>
    <col min="6141" max="6141" width="30.7109375" style="66" bestFit="1" customWidth="1"/>
    <col min="6142" max="6142" width="10.5703125" style="66" bestFit="1" customWidth="1"/>
    <col min="6143" max="6143" width="6" style="66" bestFit="1" customWidth="1"/>
    <col min="6144" max="6148" width="7.85546875" style="66" bestFit="1" customWidth="1"/>
    <col min="6149" max="6155" width="9" style="66" bestFit="1" customWidth="1"/>
    <col min="6156" max="6156" width="9.140625" style="66"/>
    <col min="6157" max="6157" width="10.28515625" style="66" bestFit="1" customWidth="1"/>
    <col min="6158" max="6395" width="9.140625" style="66"/>
    <col min="6396" max="6396" width="5.85546875" style="66" customWidth="1"/>
    <col min="6397" max="6397" width="30.7109375" style="66" bestFit="1" customWidth="1"/>
    <col min="6398" max="6398" width="10.5703125" style="66" bestFit="1" customWidth="1"/>
    <col min="6399" max="6399" width="6" style="66" bestFit="1" customWidth="1"/>
    <col min="6400" max="6404" width="7.85546875" style="66" bestFit="1" customWidth="1"/>
    <col min="6405" max="6411" width="9" style="66" bestFit="1" customWidth="1"/>
    <col min="6412" max="6412" width="9.140625" style="66"/>
    <col min="6413" max="6413" width="10.28515625" style="66" bestFit="1" customWidth="1"/>
    <col min="6414" max="6651" width="9.140625" style="66"/>
    <col min="6652" max="6652" width="5.85546875" style="66" customWidth="1"/>
    <col min="6653" max="6653" width="30.7109375" style="66" bestFit="1" customWidth="1"/>
    <col min="6654" max="6654" width="10.5703125" style="66" bestFit="1" customWidth="1"/>
    <col min="6655" max="6655" width="6" style="66" bestFit="1" customWidth="1"/>
    <col min="6656" max="6660" width="7.85546875" style="66" bestFit="1" customWidth="1"/>
    <col min="6661" max="6667" width="9" style="66" bestFit="1" customWidth="1"/>
    <col min="6668" max="6668" width="9.140625" style="66"/>
    <col min="6669" max="6669" width="10.28515625" style="66" bestFit="1" customWidth="1"/>
    <col min="6670" max="6907" width="9.140625" style="66"/>
    <col min="6908" max="6908" width="5.85546875" style="66" customWidth="1"/>
    <col min="6909" max="6909" width="30.7109375" style="66" bestFit="1" customWidth="1"/>
    <col min="6910" max="6910" width="10.5703125" style="66" bestFit="1" customWidth="1"/>
    <col min="6911" max="6911" width="6" style="66" bestFit="1" customWidth="1"/>
    <col min="6912" max="6916" width="7.85546875" style="66" bestFit="1" customWidth="1"/>
    <col min="6917" max="6923" width="9" style="66" bestFit="1" customWidth="1"/>
    <col min="6924" max="6924" width="9.140625" style="66"/>
    <col min="6925" max="6925" width="10.28515625" style="66" bestFit="1" customWidth="1"/>
    <col min="6926" max="7163" width="9.140625" style="66"/>
    <col min="7164" max="7164" width="5.85546875" style="66" customWidth="1"/>
    <col min="7165" max="7165" width="30.7109375" style="66" bestFit="1" customWidth="1"/>
    <col min="7166" max="7166" width="10.5703125" style="66" bestFit="1" customWidth="1"/>
    <col min="7167" max="7167" width="6" style="66" bestFit="1" customWidth="1"/>
    <col min="7168" max="7172" width="7.85546875" style="66" bestFit="1" customWidth="1"/>
    <col min="7173" max="7179" width="9" style="66" bestFit="1" customWidth="1"/>
    <col min="7180" max="7180" width="9.140625" style="66"/>
    <col min="7181" max="7181" width="10.28515625" style="66" bestFit="1" customWidth="1"/>
    <col min="7182" max="7419" width="9.140625" style="66"/>
    <col min="7420" max="7420" width="5.85546875" style="66" customWidth="1"/>
    <col min="7421" max="7421" width="30.7109375" style="66" bestFit="1" customWidth="1"/>
    <col min="7422" max="7422" width="10.5703125" style="66" bestFit="1" customWidth="1"/>
    <col min="7423" max="7423" width="6" style="66" bestFit="1" customWidth="1"/>
    <col min="7424" max="7428" width="7.85546875" style="66" bestFit="1" customWidth="1"/>
    <col min="7429" max="7435" width="9" style="66" bestFit="1" customWidth="1"/>
    <col min="7436" max="7436" width="9.140625" style="66"/>
    <col min="7437" max="7437" width="10.28515625" style="66" bestFit="1" customWidth="1"/>
    <col min="7438" max="7675" width="9.140625" style="66"/>
    <col min="7676" max="7676" width="5.85546875" style="66" customWidth="1"/>
    <col min="7677" max="7677" width="30.7109375" style="66" bestFit="1" customWidth="1"/>
    <col min="7678" max="7678" width="10.5703125" style="66" bestFit="1" customWidth="1"/>
    <col min="7679" max="7679" width="6" style="66" bestFit="1" customWidth="1"/>
    <col min="7680" max="7684" width="7.85546875" style="66" bestFit="1" customWidth="1"/>
    <col min="7685" max="7691" width="9" style="66" bestFit="1" customWidth="1"/>
    <col min="7692" max="7692" width="9.140625" style="66"/>
    <col min="7693" max="7693" width="10.28515625" style="66" bestFit="1" customWidth="1"/>
    <col min="7694" max="7931" width="9.140625" style="66"/>
    <col min="7932" max="7932" width="5.85546875" style="66" customWidth="1"/>
    <col min="7933" max="7933" width="30.7109375" style="66" bestFit="1" customWidth="1"/>
    <col min="7934" max="7934" width="10.5703125" style="66" bestFit="1" customWidth="1"/>
    <col min="7935" max="7935" width="6" style="66" bestFit="1" customWidth="1"/>
    <col min="7936" max="7940" width="7.85546875" style="66" bestFit="1" customWidth="1"/>
    <col min="7941" max="7947" width="9" style="66" bestFit="1" customWidth="1"/>
    <col min="7948" max="7948" width="9.140625" style="66"/>
    <col min="7949" max="7949" width="10.28515625" style="66" bestFit="1" customWidth="1"/>
    <col min="7950" max="8187" width="9.140625" style="66"/>
    <col min="8188" max="8188" width="5.85546875" style="66" customWidth="1"/>
    <col min="8189" max="8189" width="30.7109375" style="66" bestFit="1" customWidth="1"/>
    <col min="8190" max="8190" width="10.5703125" style="66" bestFit="1" customWidth="1"/>
    <col min="8191" max="8191" width="6" style="66" bestFit="1" customWidth="1"/>
    <col min="8192" max="8196" width="7.85546875" style="66" bestFit="1" customWidth="1"/>
    <col min="8197" max="8203" width="9" style="66" bestFit="1" customWidth="1"/>
    <col min="8204" max="8204" width="9.140625" style="66"/>
    <col min="8205" max="8205" width="10.28515625" style="66" bestFit="1" customWidth="1"/>
    <col min="8206" max="8443" width="9.140625" style="66"/>
    <col min="8444" max="8444" width="5.85546875" style="66" customWidth="1"/>
    <col min="8445" max="8445" width="30.7109375" style="66" bestFit="1" customWidth="1"/>
    <col min="8446" max="8446" width="10.5703125" style="66" bestFit="1" customWidth="1"/>
    <col min="8447" max="8447" width="6" style="66" bestFit="1" customWidth="1"/>
    <col min="8448" max="8452" width="7.85546875" style="66" bestFit="1" customWidth="1"/>
    <col min="8453" max="8459" width="9" style="66" bestFit="1" customWidth="1"/>
    <col min="8460" max="8460" width="9.140625" style="66"/>
    <col min="8461" max="8461" width="10.28515625" style="66" bestFit="1" customWidth="1"/>
    <col min="8462" max="8699" width="9.140625" style="66"/>
    <col min="8700" max="8700" width="5.85546875" style="66" customWidth="1"/>
    <col min="8701" max="8701" width="30.7109375" style="66" bestFit="1" customWidth="1"/>
    <col min="8702" max="8702" width="10.5703125" style="66" bestFit="1" customWidth="1"/>
    <col min="8703" max="8703" width="6" style="66" bestFit="1" customWidth="1"/>
    <col min="8704" max="8708" width="7.85546875" style="66" bestFit="1" customWidth="1"/>
    <col min="8709" max="8715" width="9" style="66" bestFit="1" customWidth="1"/>
    <col min="8716" max="8716" width="9.140625" style="66"/>
    <col min="8717" max="8717" width="10.28515625" style="66" bestFit="1" customWidth="1"/>
    <col min="8718" max="8955" width="9.140625" style="66"/>
    <col min="8956" max="8956" width="5.85546875" style="66" customWidth="1"/>
    <col min="8957" max="8957" width="30.7109375" style="66" bestFit="1" customWidth="1"/>
    <col min="8958" max="8958" width="10.5703125" style="66" bestFit="1" customWidth="1"/>
    <col min="8959" max="8959" width="6" style="66" bestFit="1" customWidth="1"/>
    <col min="8960" max="8964" width="7.85546875" style="66" bestFit="1" customWidth="1"/>
    <col min="8965" max="8971" width="9" style="66" bestFit="1" customWidth="1"/>
    <col min="8972" max="8972" width="9.140625" style="66"/>
    <col min="8973" max="8973" width="10.28515625" style="66" bestFit="1" customWidth="1"/>
    <col min="8974" max="9211" width="9.140625" style="66"/>
    <col min="9212" max="9212" width="5.85546875" style="66" customWidth="1"/>
    <col min="9213" max="9213" width="30.7109375" style="66" bestFit="1" customWidth="1"/>
    <col min="9214" max="9214" width="10.5703125" style="66" bestFit="1" customWidth="1"/>
    <col min="9215" max="9215" width="6" style="66" bestFit="1" customWidth="1"/>
    <col min="9216" max="9220" width="7.85546875" style="66" bestFit="1" customWidth="1"/>
    <col min="9221" max="9227" width="9" style="66" bestFit="1" customWidth="1"/>
    <col min="9228" max="9228" width="9.140625" style="66"/>
    <col min="9229" max="9229" width="10.28515625" style="66" bestFit="1" customWidth="1"/>
    <col min="9230" max="9467" width="9.140625" style="66"/>
    <col min="9468" max="9468" width="5.85546875" style="66" customWidth="1"/>
    <col min="9469" max="9469" width="30.7109375" style="66" bestFit="1" customWidth="1"/>
    <col min="9470" max="9470" width="10.5703125" style="66" bestFit="1" customWidth="1"/>
    <col min="9471" max="9471" width="6" style="66" bestFit="1" customWidth="1"/>
    <col min="9472" max="9476" width="7.85546875" style="66" bestFit="1" customWidth="1"/>
    <col min="9477" max="9483" width="9" style="66" bestFit="1" customWidth="1"/>
    <col min="9484" max="9484" width="9.140625" style="66"/>
    <col min="9485" max="9485" width="10.28515625" style="66" bestFit="1" customWidth="1"/>
    <col min="9486" max="9723" width="9.140625" style="66"/>
    <col min="9724" max="9724" width="5.85546875" style="66" customWidth="1"/>
    <col min="9725" max="9725" width="30.7109375" style="66" bestFit="1" customWidth="1"/>
    <col min="9726" max="9726" width="10.5703125" style="66" bestFit="1" customWidth="1"/>
    <col min="9727" max="9727" width="6" style="66" bestFit="1" customWidth="1"/>
    <col min="9728" max="9732" width="7.85546875" style="66" bestFit="1" customWidth="1"/>
    <col min="9733" max="9739" width="9" style="66" bestFit="1" customWidth="1"/>
    <col min="9740" max="9740" width="9.140625" style="66"/>
    <col min="9741" max="9741" width="10.28515625" style="66" bestFit="1" customWidth="1"/>
    <col min="9742" max="9979" width="9.140625" style="66"/>
    <col min="9980" max="9980" width="5.85546875" style="66" customWidth="1"/>
    <col min="9981" max="9981" width="30.7109375" style="66" bestFit="1" customWidth="1"/>
    <col min="9982" max="9982" width="10.5703125" style="66" bestFit="1" customWidth="1"/>
    <col min="9983" max="9983" width="6" style="66" bestFit="1" customWidth="1"/>
    <col min="9984" max="9988" width="7.85546875" style="66" bestFit="1" customWidth="1"/>
    <col min="9989" max="9995" width="9" style="66" bestFit="1" customWidth="1"/>
    <col min="9996" max="9996" width="9.140625" style="66"/>
    <col min="9997" max="9997" width="10.28515625" style="66" bestFit="1" customWidth="1"/>
    <col min="9998" max="10235" width="9.140625" style="66"/>
    <col min="10236" max="10236" width="5.85546875" style="66" customWidth="1"/>
    <col min="10237" max="10237" width="30.7109375" style="66" bestFit="1" customWidth="1"/>
    <col min="10238" max="10238" width="10.5703125" style="66" bestFit="1" customWidth="1"/>
    <col min="10239" max="10239" width="6" style="66" bestFit="1" customWidth="1"/>
    <col min="10240" max="10244" width="7.85546875" style="66" bestFit="1" customWidth="1"/>
    <col min="10245" max="10251" width="9" style="66" bestFit="1" customWidth="1"/>
    <col min="10252" max="10252" width="9.140625" style="66"/>
    <col min="10253" max="10253" width="10.28515625" style="66" bestFit="1" customWidth="1"/>
    <col min="10254" max="10491" width="9.140625" style="66"/>
    <col min="10492" max="10492" width="5.85546875" style="66" customWidth="1"/>
    <col min="10493" max="10493" width="30.7109375" style="66" bestFit="1" customWidth="1"/>
    <col min="10494" max="10494" width="10.5703125" style="66" bestFit="1" customWidth="1"/>
    <col min="10495" max="10495" width="6" style="66" bestFit="1" customWidth="1"/>
    <col min="10496" max="10500" width="7.85546875" style="66" bestFit="1" customWidth="1"/>
    <col min="10501" max="10507" width="9" style="66" bestFit="1" customWidth="1"/>
    <col min="10508" max="10508" width="9.140625" style="66"/>
    <col min="10509" max="10509" width="10.28515625" style="66" bestFit="1" customWidth="1"/>
    <col min="10510" max="10747" width="9.140625" style="66"/>
    <col min="10748" max="10748" width="5.85546875" style="66" customWidth="1"/>
    <col min="10749" max="10749" width="30.7109375" style="66" bestFit="1" customWidth="1"/>
    <col min="10750" max="10750" width="10.5703125" style="66" bestFit="1" customWidth="1"/>
    <col min="10751" max="10751" width="6" style="66" bestFit="1" customWidth="1"/>
    <col min="10752" max="10756" width="7.85546875" style="66" bestFit="1" customWidth="1"/>
    <col min="10757" max="10763" width="9" style="66" bestFit="1" customWidth="1"/>
    <col min="10764" max="10764" width="9.140625" style="66"/>
    <col min="10765" max="10765" width="10.28515625" style="66" bestFit="1" customWidth="1"/>
    <col min="10766" max="11003" width="9.140625" style="66"/>
    <col min="11004" max="11004" width="5.85546875" style="66" customWidth="1"/>
    <col min="11005" max="11005" width="30.7109375" style="66" bestFit="1" customWidth="1"/>
    <col min="11006" max="11006" width="10.5703125" style="66" bestFit="1" customWidth="1"/>
    <col min="11007" max="11007" width="6" style="66" bestFit="1" customWidth="1"/>
    <col min="11008" max="11012" width="7.85546875" style="66" bestFit="1" customWidth="1"/>
    <col min="11013" max="11019" width="9" style="66" bestFit="1" customWidth="1"/>
    <col min="11020" max="11020" width="9.140625" style="66"/>
    <col min="11021" max="11021" width="10.28515625" style="66" bestFit="1" customWidth="1"/>
    <col min="11022" max="11259" width="9.140625" style="66"/>
    <col min="11260" max="11260" width="5.85546875" style="66" customWidth="1"/>
    <col min="11261" max="11261" width="30.7109375" style="66" bestFit="1" customWidth="1"/>
    <col min="11262" max="11262" width="10.5703125" style="66" bestFit="1" customWidth="1"/>
    <col min="11263" max="11263" width="6" style="66" bestFit="1" customWidth="1"/>
    <col min="11264" max="11268" width="7.85546875" style="66" bestFit="1" customWidth="1"/>
    <col min="11269" max="11275" width="9" style="66" bestFit="1" customWidth="1"/>
    <col min="11276" max="11276" width="9.140625" style="66"/>
    <col min="11277" max="11277" width="10.28515625" style="66" bestFit="1" customWidth="1"/>
    <col min="11278" max="11515" width="9.140625" style="66"/>
    <col min="11516" max="11516" width="5.85546875" style="66" customWidth="1"/>
    <col min="11517" max="11517" width="30.7109375" style="66" bestFit="1" customWidth="1"/>
    <col min="11518" max="11518" width="10.5703125" style="66" bestFit="1" customWidth="1"/>
    <col min="11519" max="11519" width="6" style="66" bestFit="1" customWidth="1"/>
    <col min="11520" max="11524" width="7.85546875" style="66" bestFit="1" customWidth="1"/>
    <col min="11525" max="11531" width="9" style="66" bestFit="1" customWidth="1"/>
    <col min="11532" max="11532" width="9.140625" style="66"/>
    <col min="11533" max="11533" width="10.28515625" style="66" bestFit="1" customWidth="1"/>
    <col min="11534" max="11771" width="9.140625" style="66"/>
    <col min="11772" max="11772" width="5.85546875" style="66" customWidth="1"/>
    <col min="11773" max="11773" width="30.7109375" style="66" bestFit="1" customWidth="1"/>
    <col min="11774" max="11774" width="10.5703125" style="66" bestFit="1" customWidth="1"/>
    <col min="11775" max="11775" width="6" style="66" bestFit="1" customWidth="1"/>
    <col min="11776" max="11780" width="7.85546875" style="66" bestFit="1" customWidth="1"/>
    <col min="11781" max="11787" width="9" style="66" bestFit="1" customWidth="1"/>
    <col min="11788" max="11788" width="9.140625" style="66"/>
    <col min="11789" max="11789" width="10.28515625" style="66" bestFit="1" customWidth="1"/>
    <col min="11790" max="12027" width="9.140625" style="66"/>
    <col min="12028" max="12028" width="5.85546875" style="66" customWidth="1"/>
    <col min="12029" max="12029" width="30.7109375" style="66" bestFit="1" customWidth="1"/>
    <col min="12030" max="12030" width="10.5703125" style="66" bestFit="1" customWidth="1"/>
    <col min="12031" max="12031" width="6" style="66" bestFit="1" customWidth="1"/>
    <col min="12032" max="12036" width="7.85546875" style="66" bestFit="1" customWidth="1"/>
    <col min="12037" max="12043" width="9" style="66" bestFit="1" customWidth="1"/>
    <col min="12044" max="12044" width="9.140625" style="66"/>
    <col min="12045" max="12045" width="10.28515625" style="66" bestFit="1" customWidth="1"/>
    <col min="12046" max="12283" width="9.140625" style="66"/>
    <col min="12284" max="12284" width="5.85546875" style="66" customWidth="1"/>
    <col min="12285" max="12285" width="30.7109375" style="66" bestFit="1" customWidth="1"/>
    <col min="12286" max="12286" width="10.5703125" style="66" bestFit="1" customWidth="1"/>
    <col min="12287" max="12287" width="6" style="66" bestFit="1" customWidth="1"/>
    <col min="12288" max="12292" width="7.85546875" style="66" bestFit="1" customWidth="1"/>
    <col min="12293" max="12299" width="9" style="66" bestFit="1" customWidth="1"/>
    <col min="12300" max="12300" width="9.140625" style="66"/>
    <col min="12301" max="12301" width="10.28515625" style="66" bestFit="1" customWidth="1"/>
    <col min="12302" max="12539" width="9.140625" style="66"/>
    <col min="12540" max="12540" width="5.85546875" style="66" customWidth="1"/>
    <col min="12541" max="12541" width="30.7109375" style="66" bestFit="1" customWidth="1"/>
    <col min="12542" max="12542" width="10.5703125" style="66" bestFit="1" customWidth="1"/>
    <col min="12543" max="12543" width="6" style="66" bestFit="1" customWidth="1"/>
    <col min="12544" max="12548" width="7.85546875" style="66" bestFit="1" customWidth="1"/>
    <col min="12549" max="12555" width="9" style="66" bestFit="1" customWidth="1"/>
    <col min="12556" max="12556" width="9.140625" style="66"/>
    <col min="12557" max="12557" width="10.28515625" style="66" bestFit="1" customWidth="1"/>
    <col min="12558" max="12795" width="9.140625" style="66"/>
    <col min="12796" max="12796" width="5.85546875" style="66" customWidth="1"/>
    <col min="12797" max="12797" width="30.7109375" style="66" bestFit="1" customWidth="1"/>
    <col min="12798" max="12798" width="10.5703125" style="66" bestFit="1" customWidth="1"/>
    <col min="12799" max="12799" width="6" style="66" bestFit="1" customWidth="1"/>
    <col min="12800" max="12804" width="7.85546875" style="66" bestFit="1" customWidth="1"/>
    <col min="12805" max="12811" width="9" style="66" bestFit="1" customWidth="1"/>
    <col min="12812" max="12812" width="9.140625" style="66"/>
    <col min="12813" max="12813" width="10.28515625" style="66" bestFit="1" customWidth="1"/>
    <col min="12814" max="13051" width="9.140625" style="66"/>
    <col min="13052" max="13052" width="5.85546875" style="66" customWidth="1"/>
    <col min="13053" max="13053" width="30.7109375" style="66" bestFit="1" customWidth="1"/>
    <col min="13054" max="13054" width="10.5703125" style="66" bestFit="1" customWidth="1"/>
    <col min="13055" max="13055" width="6" style="66" bestFit="1" customWidth="1"/>
    <col min="13056" max="13060" width="7.85546875" style="66" bestFit="1" customWidth="1"/>
    <col min="13061" max="13067" width="9" style="66" bestFit="1" customWidth="1"/>
    <col min="13068" max="13068" width="9.140625" style="66"/>
    <col min="13069" max="13069" width="10.28515625" style="66" bestFit="1" customWidth="1"/>
    <col min="13070" max="13307" width="9.140625" style="66"/>
    <col min="13308" max="13308" width="5.85546875" style="66" customWidth="1"/>
    <col min="13309" max="13309" width="30.7109375" style="66" bestFit="1" customWidth="1"/>
    <col min="13310" max="13310" width="10.5703125" style="66" bestFit="1" customWidth="1"/>
    <col min="13311" max="13311" width="6" style="66" bestFit="1" customWidth="1"/>
    <col min="13312" max="13316" width="7.85546875" style="66" bestFit="1" customWidth="1"/>
    <col min="13317" max="13323" width="9" style="66" bestFit="1" customWidth="1"/>
    <col min="13324" max="13324" width="9.140625" style="66"/>
    <col min="13325" max="13325" width="10.28515625" style="66" bestFit="1" customWidth="1"/>
    <col min="13326" max="13563" width="9.140625" style="66"/>
    <col min="13564" max="13564" width="5.85546875" style="66" customWidth="1"/>
    <col min="13565" max="13565" width="30.7109375" style="66" bestFit="1" customWidth="1"/>
    <col min="13566" max="13566" width="10.5703125" style="66" bestFit="1" customWidth="1"/>
    <col min="13567" max="13567" width="6" style="66" bestFit="1" customWidth="1"/>
    <col min="13568" max="13572" width="7.85546875" style="66" bestFit="1" customWidth="1"/>
    <col min="13573" max="13579" width="9" style="66" bestFit="1" customWidth="1"/>
    <col min="13580" max="13580" width="9.140625" style="66"/>
    <col min="13581" max="13581" width="10.28515625" style="66" bestFit="1" customWidth="1"/>
    <col min="13582" max="13819" width="9.140625" style="66"/>
    <col min="13820" max="13820" width="5.85546875" style="66" customWidth="1"/>
    <col min="13821" max="13821" width="30.7109375" style="66" bestFit="1" customWidth="1"/>
    <col min="13822" max="13822" width="10.5703125" style="66" bestFit="1" customWidth="1"/>
    <col min="13823" max="13823" width="6" style="66" bestFit="1" customWidth="1"/>
    <col min="13824" max="13828" width="7.85546875" style="66" bestFit="1" customWidth="1"/>
    <col min="13829" max="13835" width="9" style="66" bestFit="1" customWidth="1"/>
    <col min="13836" max="13836" width="9.140625" style="66"/>
    <col min="13837" max="13837" width="10.28515625" style="66" bestFit="1" customWidth="1"/>
    <col min="13838" max="14075" width="9.140625" style="66"/>
    <col min="14076" max="14076" width="5.85546875" style="66" customWidth="1"/>
    <col min="14077" max="14077" width="30.7109375" style="66" bestFit="1" customWidth="1"/>
    <col min="14078" max="14078" width="10.5703125" style="66" bestFit="1" customWidth="1"/>
    <col min="14079" max="14079" width="6" style="66" bestFit="1" customWidth="1"/>
    <col min="14080" max="14084" width="7.85546875" style="66" bestFit="1" customWidth="1"/>
    <col min="14085" max="14091" width="9" style="66" bestFit="1" customWidth="1"/>
    <col min="14092" max="14092" width="9.140625" style="66"/>
    <col min="14093" max="14093" width="10.28515625" style="66" bestFit="1" customWidth="1"/>
    <col min="14094" max="14331" width="9.140625" style="66"/>
    <col min="14332" max="14332" width="5.85546875" style="66" customWidth="1"/>
    <col min="14333" max="14333" width="30.7109375" style="66" bestFit="1" customWidth="1"/>
    <col min="14334" max="14334" width="10.5703125" style="66" bestFit="1" customWidth="1"/>
    <col min="14335" max="14335" width="6" style="66" bestFit="1" customWidth="1"/>
    <col min="14336" max="14340" width="7.85546875" style="66" bestFit="1" customWidth="1"/>
    <col min="14341" max="14347" width="9" style="66" bestFit="1" customWidth="1"/>
    <col min="14348" max="14348" width="9.140625" style="66"/>
    <col min="14349" max="14349" width="10.28515625" style="66" bestFit="1" customWidth="1"/>
    <col min="14350" max="14587" width="9.140625" style="66"/>
    <col min="14588" max="14588" width="5.85546875" style="66" customWidth="1"/>
    <col min="14589" max="14589" width="30.7109375" style="66" bestFit="1" customWidth="1"/>
    <col min="14590" max="14590" width="10.5703125" style="66" bestFit="1" customWidth="1"/>
    <col min="14591" max="14591" width="6" style="66" bestFit="1" customWidth="1"/>
    <col min="14592" max="14596" width="7.85546875" style="66" bestFit="1" customWidth="1"/>
    <col min="14597" max="14603" width="9" style="66" bestFit="1" customWidth="1"/>
    <col min="14604" max="14604" width="9.140625" style="66"/>
    <col min="14605" max="14605" width="10.28515625" style="66" bestFit="1" customWidth="1"/>
    <col min="14606" max="14843" width="9.140625" style="66"/>
    <col min="14844" max="14844" width="5.85546875" style="66" customWidth="1"/>
    <col min="14845" max="14845" width="30.7109375" style="66" bestFit="1" customWidth="1"/>
    <col min="14846" max="14846" width="10.5703125" style="66" bestFit="1" customWidth="1"/>
    <col min="14847" max="14847" width="6" style="66" bestFit="1" customWidth="1"/>
    <col min="14848" max="14852" width="7.85546875" style="66" bestFit="1" customWidth="1"/>
    <col min="14853" max="14859" width="9" style="66" bestFit="1" customWidth="1"/>
    <col min="14860" max="14860" width="9.140625" style="66"/>
    <col min="14861" max="14861" width="10.28515625" style="66" bestFit="1" customWidth="1"/>
    <col min="14862" max="15099" width="9.140625" style="66"/>
    <col min="15100" max="15100" width="5.85546875" style="66" customWidth="1"/>
    <col min="15101" max="15101" width="30.7109375" style="66" bestFit="1" customWidth="1"/>
    <col min="15102" max="15102" width="10.5703125" style="66" bestFit="1" customWidth="1"/>
    <col min="15103" max="15103" width="6" style="66" bestFit="1" customWidth="1"/>
    <col min="15104" max="15108" width="7.85546875" style="66" bestFit="1" customWidth="1"/>
    <col min="15109" max="15115" width="9" style="66" bestFit="1" customWidth="1"/>
    <col min="15116" max="15116" width="9.140625" style="66"/>
    <col min="15117" max="15117" width="10.28515625" style="66" bestFit="1" customWidth="1"/>
    <col min="15118" max="15355" width="9.140625" style="66"/>
    <col min="15356" max="15356" width="5.85546875" style="66" customWidth="1"/>
    <col min="15357" max="15357" width="30.7109375" style="66" bestFit="1" customWidth="1"/>
    <col min="15358" max="15358" width="10.5703125" style="66" bestFit="1" customWidth="1"/>
    <col min="15359" max="15359" width="6" style="66" bestFit="1" customWidth="1"/>
    <col min="15360" max="15364" width="7.85546875" style="66" bestFit="1" customWidth="1"/>
    <col min="15365" max="15371" width="9" style="66" bestFit="1" customWidth="1"/>
    <col min="15372" max="15372" width="9.140625" style="66"/>
    <col min="15373" max="15373" width="10.28515625" style="66" bestFit="1" customWidth="1"/>
    <col min="15374" max="15611" width="9.140625" style="66"/>
    <col min="15612" max="15612" width="5.85546875" style="66" customWidth="1"/>
    <col min="15613" max="15613" width="30.7109375" style="66" bestFit="1" customWidth="1"/>
    <col min="15614" max="15614" width="10.5703125" style="66" bestFit="1" customWidth="1"/>
    <col min="15615" max="15615" width="6" style="66" bestFit="1" customWidth="1"/>
    <col min="15616" max="15620" width="7.85546875" style="66" bestFit="1" customWidth="1"/>
    <col min="15621" max="15627" width="9" style="66" bestFit="1" customWidth="1"/>
    <col min="15628" max="15628" width="9.140625" style="66"/>
    <col min="15629" max="15629" width="10.28515625" style="66" bestFit="1" customWidth="1"/>
    <col min="15630" max="15867" width="9.140625" style="66"/>
    <col min="15868" max="15868" width="5.85546875" style="66" customWidth="1"/>
    <col min="15869" max="15869" width="30.7109375" style="66" bestFit="1" customWidth="1"/>
    <col min="15870" max="15870" width="10.5703125" style="66" bestFit="1" customWidth="1"/>
    <col min="15871" max="15871" width="6" style="66" bestFit="1" customWidth="1"/>
    <col min="15872" max="15876" width="7.85546875" style="66" bestFit="1" customWidth="1"/>
    <col min="15877" max="15883" width="9" style="66" bestFit="1" customWidth="1"/>
    <col min="15884" max="15884" width="9.140625" style="66"/>
    <col min="15885" max="15885" width="10.28515625" style="66" bestFit="1" customWidth="1"/>
    <col min="15886" max="16123" width="9.140625" style="66"/>
    <col min="16124" max="16124" width="5.85546875" style="66" customWidth="1"/>
    <col min="16125" max="16125" width="30.7109375" style="66" bestFit="1" customWidth="1"/>
    <col min="16126" max="16126" width="10.5703125" style="66" bestFit="1" customWidth="1"/>
    <col min="16127" max="16127" width="6" style="66" bestFit="1" customWidth="1"/>
    <col min="16128" max="16132" width="7.85546875" style="66" bestFit="1" customWidth="1"/>
    <col min="16133" max="16139" width="9" style="66" bestFit="1" customWidth="1"/>
    <col min="16140" max="16140" width="9.140625" style="66"/>
    <col min="16141" max="16141" width="10.28515625" style="66" bestFit="1" customWidth="1"/>
    <col min="16142" max="16384" width="9.140625" style="66"/>
  </cols>
  <sheetData>
    <row r="2" spans="1:32" ht="14.25" thickBot="1"/>
    <row r="3" spans="1:32" ht="14.25" thickBot="1">
      <c r="G3" s="72" t="s">
        <v>51</v>
      </c>
    </row>
    <row r="4" spans="1:32" ht="24" customHeight="1" thickBot="1">
      <c r="A4" s="73"/>
      <c r="B4" s="73"/>
      <c r="C4" s="73"/>
      <c r="D4" s="74"/>
      <c r="E4" s="73"/>
      <c r="F4" s="73"/>
      <c r="G4" s="73"/>
      <c r="H4" s="73"/>
      <c r="I4" s="73"/>
      <c r="J4" s="73"/>
      <c r="K4" s="73"/>
      <c r="L4" s="73"/>
      <c r="M4" s="73"/>
      <c r="N4" s="73"/>
      <c r="O4" s="293" t="s">
        <v>52</v>
      </c>
      <c r="P4" s="293"/>
      <c r="Q4" s="75">
        <v>430</v>
      </c>
      <c r="R4" s="76" t="s">
        <v>53</v>
      </c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</row>
    <row r="5" spans="1:32" ht="14.25" thickBot="1">
      <c r="B5" s="78"/>
      <c r="C5" s="79" t="s">
        <v>54</v>
      </c>
      <c r="D5" s="80"/>
      <c r="E5" s="80"/>
      <c r="F5" s="80"/>
      <c r="G5" s="81" t="s">
        <v>55</v>
      </c>
      <c r="H5" s="82" t="s">
        <v>0</v>
      </c>
      <c r="I5" s="82" t="s">
        <v>1</v>
      </c>
      <c r="J5" s="82" t="s">
        <v>2</v>
      </c>
      <c r="K5" s="82" t="s">
        <v>3</v>
      </c>
      <c r="L5" s="82" t="s">
        <v>4</v>
      </c>
      <c r="M5" s="82" t="s">
        <v>5</v>
      </c>
      <c r="N5" s="82" t="s">
        <v>6</v>
      </c>
      <c r="O5" s="82" t="s">
        <v>7</v>
      </c>
      <c r="P5" s="82" t="s">
        <v>8</v>
      </c>
      <c r="Q5" s="82" t="s">
        <v>9</v>
      </c>
      <c r="R5" s="83" t="s">
        <v>10</v>
      </c>
      <c r="S5" s="84"/>
      <c r="T5" s="85"/>
      <c r="U5" s="86"/>
      <c r="V5" s="84"/>
      <c r="W5" s="84"/>
      <c r="X5" s="84"/>
      <c r="Y5" s="84"/>
      <c r="Z5" s="84"/>
      <c r="AA5" s="84"/>
      <c r="AB5" s="84"/>
      <c r="AC5" s="84"/>
      <c r="AD5" s="84"/>
    </row>
    <row r="6" spans="1:32">
      <c r="A6" s="294" t="s">
        <v>56</v>
      </c>
      <c r="B6" s="87" t="s">
        <v>57</v>
      </c>
      <c r="C6" s="88" t="s">
        <v>58</v>
      </c>
      <c r="D6" s="87" t="s">
        <v>59</v>
      </c>
      <c r="E6" s="89" t="s">
        <v>60</v>
      </c>
      <c r="F6" s="90" t="s">
        <v>61</v>
      </c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2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</row>
    <row r="7" spans="1:32">
      <c r="A7" s="295"/>
      <c r="B7" s="93" t="s">
        <v>62</v>
      </c>
      <c r="C7" s="94" t="s">
        <v>63</v>
      </c>
      <c r="D7" s="93" t="s">
        <v>59</v>
      </c>
      <c r="E7" s="95" t="s">
        <v>64</v>
      </c>
      <c r="F7" s="96" t="s">
        <v>61</v>
      </c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8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</row>
    <row r="8" spans="1:32" ht="15.75" thickBot="1">
      <c r="A8" s="296"/>
      <c r="B8" s="99" t="s">
        <v>65</v>
      </c>
      <c r="C8" s="100" t="s">
        <v>66</v>
      </c>
      <c r="D8" s="101" t="s">
        <v>59</v>
      </c>
      <c r="E8" s="102" t="s">
        <v>67</v>
      </c>
      <c r="F8" s="103" t="s">
        <v>61</v>
      </c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5"/>
      <c r="S8" s="77"/>
      <c r="T8" s="77"/>
      <c r="U8" s="77"/>
      <c r="V8" s="77"/>
      <c r="W8" s="77"/>
      <c r="X8" s="77"/>
      <c r="Y8" s="194"/>
      <c r="Z8" s="194"/>
      <c r="AA8" s="192"/>
      <c r="AB8" s="192"/>
      <c r="AC8" s="192"/>
      <c r="AD8" s="192"/>
      <c r="AE8" s="198"/>
      <c r="AF8" s="201"/>
    </row>
    <row r="9" spans="1:32" ht="15.75" thickBot="1">
      <c r="A9" s="297" t="s">
        <v>68</v>
      </c>
      <c r="B9" s="101" t="s">
        <v>57</v>
      </c>
      <c r="C9" s="106" t="s">
        <v>69</v>
      </c>
      <c r="D9" s="107" t="s">
        <v>59</v>
      </c>
      <c r="E9" s="102" t="s">
        <v>70</v>
      </c>
      <c r="F9" s="103" t="s">
        <v>61</v>
      </c>
      <c r="G9" s="104"/>
      <c r="H9" s="104"/>
      <c r="I9" s="108"/>
      <c r="J9" s="104"/>
      <c r="K9" s="104"/>
      <c r="L9" s="104"/>
      <c r="M9" s="104"/>
      <c r="N9" s="104"/>
      <c r="O9" s="104"/>
      <c r="P9" s="104"/>
      <c r="Q9" s="104"/>
      <c r="R9" s="105"/>
      <c r="S9" s="77"/>
      <c r="T9" s="77"/>
      <c r="U9" s="77"/>
      <c r="V9" s="77"/>
      <c r="W9" s="77"/>
      <c r="X9" s="77"/>
      <c r="Y9" s="194"/>
      <c r="Z9" s="194"/>
      <c r="AA9" s="192"/>
      <c r="AB9" s="192"/>
      <c r="AC9" s="192"/>
      <c r="AD9" s="192"/>
      <c r="AE9" s="198"/>
      <c r="AF9" s="201"/>
    </row>
    <row r="10" spans="1:32" ht="15">
      <c r="A10" s="297"/>
      <c r="B10" s="93" t="s">
        <v>62</v>
      </c>
      <c r="C10" s="299" t="s">
        <v>71</v>
      </c>
      <c r="D10" s="109" t="s">
        <v>59</v>
      </c>
      <c r="E10" s="95" t="s">
        <v>72</v>
      </c>
      <c r="F10" s="110" t="s">
        <v>61</v>
      </c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2"/>
      <c r="S10" s="77" t="s">
        <v>73</v>
      </c>
      <c r="T10" s="77"/>
      <c r="U10" s="77"/>
      <c r="V10" s="77"/>
      <c r="W10" s="77"/>
      <c r="X10" s="77"/>
      <c r="Y10" s="194"/>
      <c r="Z10" s="194"/>
      <c r="AA10" s="192"/>
      <c r="AB10" s="192"/>
      <c r="AC10" s="192"/>
      <c r="AD10" s="192"/>
      <c r="AE10" s="198"/>
      <c r="AF10" s="201"/>
    </row>
    <row r="11" spans="1:32" ht="15.75" thickBot="1">
      <c r="A11" s="297"/>
      <c r="B11" s="107" t="s">
        <v>65</v>
      </c>
      <c r="C11" s="300"/>
      <c r="D11" s="113" t="s">
        <v>74</v>
      </c>
      <c r="E11" s="114" t="s">
        <v>75</v>
      </c>
      <c r="F11" s="115" t="s">
        <v>61</v>
      </c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7"/>
      <c r="S11" s="77"/>
      <c r="T11" s="77"/>
      <c r="U11" s="77"/>
      <c r="V11" s="77"/>
      <c r="W11" s="77"/>
      <c r="X11" s="77"/>
      <c r="Y11" s="194"/>
      <c r="Z11" s="194"/>
      <c r="AA11" s="192"/>
      <c r="AB11" s="192"/>
      <c r="AC11" s="192"/>
      <c r="AD11" s="192"/>
      <c r="AE11" s="198"/>
      <c r="AF11" s="201"/>
    </row>
    <row r="12" spans="1:32" ht="15.75" thickBot="1">
      <c r="A12" s="297"/>
      <c r="B12" s="118"/>
      <c r="C12" s="119" t="s">
        <v>76</v>
      </c>
      <c r="D12" s="120" t="s">
        <v>59</v>
      </c>
      <c r="E12" s="121"/>
      <c r="F12" s="122" t="s">
        <v>77</v>
      </c>
      <c r="G12" s="123"/>
      <c r="H12" s="123"/>
      <c r="I12" s="123"/>
      <c r="J12" s="123"/>
      <c r="K12" s="123"/>
      <c r="L12" s="123"/>
      <c r="M12" s="123"/>
      <c r="N12" s="123"/>
      <c r="O12" s="123"/>
      <c r="P12" s="124"/>
      <c r="Q12" s="124"/>
      <c r="R12" s="125"/>
      <c r="S12" s="77"/>
      <c r="T12" s="77"/>
      <c r="U12" s="77"/>
      <c r="V12" s="77"/>
      <c r="W12" s="77"/>
      <c r="X12" s="77"/>
      <c r="Y12" s="194"/>
      <c r="Z12" s="194"/>
      <c r="AA12" s="192"/>
      <c r="AB12" s="192"/>
      <c r="AC12" s="192"/>
      <c r="AD12" s="192"/>
      <c r="AE12" s="198"/>
      <c r="AF12" s="201"/>
    </row>
    <row r="13" spans="1:32" ht="15">
      <c r="A13" s="297"/>
      <c r="B13" s="87" t="s">
        <v>78</v>
      </c>
      <c r="C13" s="301" t="s">
        <v>79</v>
      </c>
      <c r="D13" s="303" t="s">
        <v>59</v>
      </c>
      <c r="E13" s="126" t="s">
        <v>80</v>
      </c>
      <c r="F13" s="90" t="s">
        <v>81</v>
      </c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8"/>
      <c r="S13" s="77" t="s">
        <v>82</v>
      </c>
      <c r="T13" s="77"/>
      <c r="U13" s="77"/>
      <c r="V13" s="77"/>
      <c r="W13" s="77"/>
      <c r="X13" s="77"/>
      <c r="Y13" s="194"/>
      <c r="Z13" s="194"/>
      <c r="AA13" s="192"/>
      <c r="AB13" s="192"/>
      <c r="AC13" s="192"/>
      <c r="AD13" s="192"/>
      <c r="AE13" s="198"/>
      <c r="AF13" s="201"/>
    </row>
    <row r="14" spans="1:32" ht="15.75" thickBot="1">
      <c r="A14" s="297"/>
      <c r="B14" s="101" t="s">
        <v>83</v>
      </c>
      <c r="C14" s="302"/>
      <c r="D14" s="304"/>
      <c r="E14" s="114" t="s">
        <v>84</v>
      </c>
      <c r="F14" s="103" t="s">
        <v>85</v>
      </c>
      <c r="G14" s="129"/>
      <c r="H14" s="130"/>
      <c r="I14" s="131"/>
      <c r="J14" s="130"/>
      <c r="K14" s="130"/>
      <c r="L14" s="130"/>
      <c r="M14" s="130"/>
      <c r="N14" s="130"/>
      <c r="O14" s="130"/>
      <c r="P14" s="130"/>
      <c r="Q14" s="130"/>
      <c r="R14" s="132"/>
      <c r="S14" s="77" t="s">
        <v>86</v>
      </c>
      <c r="T14" s="77"/>
      <c r="U14" s="77"/>
      <c r="V14" s="77"/>
      <c r="W14" s="77"/>
      <c r="X14" s="77"/>
      <c r="Y14" s="194"/>
      <c r="Z14" s="194"/>
      <c r="AA14" s="192"/>
      <c r="AB14" s="192"/>
      <c r="AC14" s="192"/>
      <c r="AD14" s="192"/>
      <c r="AE14" s="198"/>
      <c r="AF14" s="201"/>
    </row>
    <row r="15" spans="1:32" ht="15.75" thickBot="1">
      <c r="A15" s="298"/>
      <c r="B15" s="101" t="s">
        <v>87</v>
      </c>
      <c r="C15" s="133" t="s">
        <v>88</v>
      </c>
      <c r="D15" s="103"/>
      <c r="E15" s="114" t="s">
        <v>89</v>
      </c>
      <c r="F15" s="115" t="s">
        <v>61</v>
      </c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5"/>
      <c r="S15" s="136"/>
      <c r="T15" s="136"/>
      <c r="U15" s="136"/>
      <c r="V15" s="136"/>
      <c r="W15" s="136"/>
      <c r="X15" s="136"/>
      <c r="Y15" s="194"/>
      <c r="Z15" s="194"/>
      <c r="AA15" s="192"/>
      <c r="AB15" s="192"/>
      <c r="AC15" s="192"/>
      <c r="AD15" s="192"/>
      <c r="AE15" s="198"/>
      <c r="AF15" s="201"/>
    </row>
    <row r="16" spans="1:32" ht="15">
      <c r="A16" s="295" t="s">
        <v>90</v>
      </c>
      <c r="B16" s="93" t="s">
        <v>57</v>
      </c>
      <c r="C16" s="299" t="s">
        <v>91</v>
      </c>
      <c r="D16" s="137" t="s">
        <v>59</v>
      </c>
      <c r="E16" s="94" t="s">
        <v>92</v>
      </c>
      <c r="F16" s="110" t="s">
        <v>61</v>
      </c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2"/>
      <c r="S16" s="77"/>
      <c r="T16" s="77"/>
      <c r="U16" s="77"/>
      <c r="V16" s="77"/>
      <c r="W16" s="77"/>
      <c r="X16" s="77"/>
      <c r="Y16" s="194"/>
      <c r="Z16" s="194"/>
      <c r="AA16" s="192"/>
      <c r="AB16" s="192"/>
      <c r="AC16" s="192"/>
      <c r="AD16" s="192"/>
      <c r="AE16" s="198"/>
      <c r="AF16" s="201"/>
    </row>
    <row r="17" spans="1:32" ht="15.75" thickBot="1">
      <c r="A17" s="295"/>
      <c r="B17" s="107" t="s">
        <v>62</v>
      </c>
      <c r="C17" s="300"/>
      <c r="D17" s="138" t="s">
        <v>74</v>
      </c>
      <c r="E17" s="114" t="s">
        <v>93</v>
      </c>
      <c r="F17" s="115" t="s">
        <v>61</v>
      </c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7"/>
      <c r="S17" s="77"/>
      <c r="T17" s="77"/>
      <c r="U17" s="77"/>
      <c r="V17" s="77"/>
      <c r="W17" s="77"/>
      <c r="X17" s="77"/>
      <c r="Y17" s="194"/>
      <c r="Z17" s="194"/>
      <c r="AA17" s="192"/>
      <c r="AB17" s="192"/>
      <c r="AC17" s="192"/>
      <c r="AD17" s="192"/>
      <c r="AE17" s="198"/>
      <c r="AF17" s="201"/>
    </row>
    <row r="18" spans="1:32" s="143" customFormat="1" ht="15">
      <c r="A18" s="295"/>
      <c r="B18" s="93" t="s">
        <v>65</v>
      </c>
      <c r="C18" s="311" t="s">
        <v>94</v>
      </c>
      <c r="D18" s="139" t="s">
        <v>59</v>
      </c>
      <c r="E18" s="140" t="s">
        <v>95</v>
      </c>
      <c r="F18" s="110" t="s">
        <v>61</v>
      </c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2"/>
      <c r="Y18" s="194"/>
      <c r="Z18" s="194"/>
      <c r="AA18" s="192"/>
      <c r="AB18" s="192"/>
      <c r="AC18" s="192"/>
      <c r="AD18" s="192"/>
      <c r="AE18" s="198"/>
      <c r="AF18" s="201"/>
    </row>
    <row r="19" spans="1:32" s="143" customFormat="1" ht="27.75" thickBot="1">
      <c r="A19" s="295"/>
      <c r="B19" s="107" t="s">
        <v>83</v>
      </c>
      <c r="C19" s="312"/>
      <c r="D19" s="144" t="s">
        <v>74</v>
      </c>
      <c r="E19" s="145" t="s">
        <v>96</v>
      </c>
      <c r="F19" s="115" t="s">
        <v>61</v>
      </c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7"/>
      <c r="Y19" s="194"/>
      <c r="Z19" s="194"/>
      <c r="AA19" s="192"/>
      <c r="AB19" s="192"/>
      <c r="AC19" s="192"/>
      <c r="AD19" s="192"/>
      <c r="AE19" s="198"/>
      <c r="AF19" s="201"/>
    </row>
    <row r="20" spans="1:32" ht="15">
      <c r="A20" s="295"/>
      <c r="B20" s="87" t="s">
        <v>87</v>
      </c>
      <c r="C20" s="313" t="s">
        <v>97</v>
      </c>
      <c r="D20" s="90" t="s">
        <v>59</v>
      </c>
      <c r="E20" s="88" t="s">
        <v>98</v>
      </c>
      <c r="F20" s="96" t="s">
        <v>61</v>
      </c>
      <c r="G20" s="148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50"/>
      <c r="S20" s="77"/>
      <c r="T20" s="77"/>
      <c r="U20" s="77"/>
      <c r="V20" s="77"/>
      <c r="W20" s="77"/>
      <c r="X20" s="77"/>
      <c r="Y20" s="194"/>
      <c r="Z20" s="194"/>
      <c r="AA20" s="192"/>
      <c r="AB20" s="192"/>
      <c r="AC20" s="192"/>
      <c r="AD20" s="192"/>
      <c r="AE20" s="198"/>
      <c r="AF20" s="201"/>
    </row>
    <row r="21" spans="1:32" ht="15.75" thickBot="1">
      <c r="A21" s="295"/>
      <c r="B21" s="101" t="s">
        <v>99</v>
      </c>
      <c r="C21" s="314"/>
      <c r="D21" s="103" t="s">
        <v>74</v>
      </c>
      <c r="E21" s="114" t="s">
        <v>100</v>
      </c>
      <c r="F21" s="115" t="s">
        <v>61</v>
      </c>
      <c r="G21" s="151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3"/>
      <c r="S21" s="77"/>
      <c r="T21" s="77"/>
      <c r="U21" s="77"/>
      <c r="V21" s="77"/>
      <c r="W21" s="77"/>
      <c r="X21" s="77"/>
      <c r="Y21" s="194"/>
      <c r="Z21" s="194"/>
      <c r="AA21" s="198"/>
      <c r="AB21" s="192"/>
      <c r="AC21" s="192"/>
      <c r="AD21" s="192"/>
      <c r="AE21" s="198"/>
      <c r="AF21" s="201"/>
    </row>
    <row r="22" spans="1:32" ht="15">
      <c r="A22" s="295"/>
      <c r="B22" s="109" t="s">
        <v>101</v>
      </c>
      <c r="C22" s="313" t="s">
        <v>102</v>
      </c>
      <c r="D22" s="154" t="s">
        <v>59</v>
      </c>
      <c r="E22" s="88" t="s">
        <v>103</v>
      </c>
      <c r="F22" s="155" t="s">
        <v>61</v>
      </c>
      <c r="G22" s="156"/>
      <c r="H22" s="157"/>
      <c r="I22" s="157"/>
      <c r="J22" s="157"/>
      <c r="K22" s="157"/>
      <c r="L22" s="157"/>
      <c r="M22" s="158"/>
      <c r="N22" s="158"/>
      <c r="O22" s="158"/>
      <c r="P22" s="158"/>
      <c r="Q22" s="158"/>
      <c r="R22" s="159"/>
      <c r="S22" s="77"/>
      <c r="T22" s="77"/>
      <c r="U22" s="77"/>
      <c r="V22" s="77"/>
      <c r="W22" s="77"/>
      <c r="X22" s="77"/>
      <c r="Y22" s="194"/>
      <c r="Z22" s="194"/>
      <c r="AA22" s="198"/>
      <c r="AB22" s="192"/>
      <c r="AC22" s="192"/>
      <c r="AD22" s="192"/>
      <c r="AE22" s="198"/>
      <c r="AF22" s="201"/>
    </row>
    <row r="23" spans="1:32" ht="15.75" thickBot="1">
      <c r="A23" s="295"/>
      <c r="B23" s="107" t="s">
        <v>104</v>
      </c>
      <c r="C23" s="314"/>
      <c r="D23" s="120" t="s">
        <v>74</v>
      </c>
      <c r="E23" s="160" t="s">
        <v>105</v>
      </c>
      <c r="F23" s="161" t="s">
        <v>61</v>
      </c>
      <c r="G23" s="162"/>
      <c r="H23" s="134"/>
      <c r="I23" s="134"/>
      <c r="J23" s="134"/>
      <c r="K23" s="134"/>
      <c r="L23" s="134"/>
      <c r="M23" s="152"/>
      <c r="N23" s="152"/>
      <c r="O23" s="152"/>
      <c r="P23" s="152"/>
      <c r="Q23" s="152"/>
      <c r="R23" s="153"/>
      <c r="S23" s="77"/>
      <c r="T23" s="77"/>
      <c r="U23" s="77"/>
      <c r="V23" s="77"/>
      <c r="W23" s="77"/>
      <c r="X23" s="77"/>
      <c r="Y23" s="194"/>
      <c r="Z23" s="194"/>
      <c r="AA23" s="198"/>
      <c r="AB23" s="192"/>
      <c r="AC23" s="192"/>
      <c r="AD23" s="192"/>
      <c r="AE23" s="198"/>
      <c r="AF23" s="201"/>
    </row>
    <row r="24" spans="1:32" ht="15">
      <c r="A24" s="295"/>
      <c r="B24" s="93" t="s">
        <v>106</v>
      </c>
      <c r="C24" s="315" t="s">
        <v>107</v>
      </c>
      <c r="D24" s="90" t="s">
        <v>59</v>
      </c>
      <c r="E24" s="163" t="s">
        <v>108</v>
      </c>
      <c r="F24" s="154" t="s">
        <v>61</v>
      </c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5"/>
      <c r="S24" s="77"/>
      <c r="T24" s="77"/>
      <c r="U24" s="77"/>
      <c r="V24" s="77"/>
      <c r="W24" s="77"/>
      <c r="X24" s="77"/>
      <c r="Y24" s="194"/>
      <c r="Z24" s="194"/>
      <c r="AA24" s="198"/>
      <c r="AB24" s="192"/>
      <c r="AC24" s="192"/>
      <c r="AD24" s="192"/>
      <c r="AE24" s="198"/>
      <c r="AF24" s="201"/>
    </row>
    <row r="25" spans="1:32" ht="15.75" thickBot="1">
      <c r="A25" s="295"/>
      <c r="B25" s="101" t="s">
        <v>109</v>
      </c>
      <c r="C25" s="316"/>
      <c r="D25" s="103" t="s">
        <v>74</v>
      </c>
      <c r="E25" s="114" t="s">
        <v>110</v>
      </c>
      <c r="F25" s="115" t="s">
        <v>61</v>
      </c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7"/>
      <c r="S25" s="77"/>
      <c r="T25" s="77"/>
      <c r="U25" s="77"/>
      <c r="V25" s="77"/>
      <c r="W25" s="77"/>
      <c r="X25" s="77"/>
      <c r="Y25" s="194"/>
      <c r="Z25" s="194"/>
      <c r="AA25" s="192"/>
      <c r="AB25" s="192"/>
      <c r="AC25" s="192"/>
      <c r="AD25" s="192"/>
      <c r="AE25" s="198"/>
      <c r="AF25" s="201"/>
    </row>
    <row r="26" spans="1:32">
      <c r="A26" s="295"/>
      <c r="B26" s="93" t="s">
        <v>111</v>
      </c>
      <c r="C26" s="313" t="s">
        <v>112</v>
      </c>
      <c r="D26" s="154" t="s">
        <v>59</v>
      </c>
      <c r="E26" s="166" t="s">
        <v>113</v>
      </c>
      <c r="F26" s="96" t="s">
        <v>61</v>
      </c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50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</row>
    <row r="27" spans="1:32" ht="14.25" thickBot="1">
      <c r="A27" s="296"/>
      <c r="B27" s="107" t="s">
        <v>114</v>
      </c>
      <c r="C27" s="314"/>
      <c r="D27" s="120" t="s">
        <v>74</v>
      </c>
      <c r="E27" s="114" t="s">
        <v>115</v>
      </c>
      <c r="F27" s="115" t="s">
        <v>61</v>
      </c>
      <c r="G27" s="188"/>
      <c r="H27" s="188"/>
      <c r="I27" s="188"/>
      <c r="J27" s="188"/>
      <c r="K27" s="188"/>
      <c r="L27" s="188"/>
      <c r="M27" s="152"/>
      <c r="N27" s="152"/>
      <c r="O27" s="152"/>
      <c r="P27" s="152"/>
      <c r="Q27" s="152"/>
      <c r="R27" s="153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</row>
    <row r="28" spans="1:32">
      <c r="A28" s="305" t="s">
        <v>116</v>
      </c>
      <c r="B28" s="167" t="s">
        <v>117</v>
      </c>
      <c r="C28" s="168" t="s">
        <v>118</v>
      </c>
      <c r="D28" s="308" t="s">
        <v>59</v>
      </c>
      <c r="E28" s="168" t="s">
        <v>119</v>
      </c>
      <c r="F28" s="185" t="s">
        <v>61</v>
      </c>
      <c r="G28" s="189">
        <v>2076</v>
      </c>
      <c r="H28" s="189">
        <v>1771</v>
      </c>
      <c r="I28" s="189">
        <v>2440</v>
      </c>
      <c r="J28" s="189">
        <v>0</v>
      </c>
      <c r="K28" s="189">
        <v>0</v>
      </c>
      <c r="L28" s="189">
        <v>0</v>
      </c>
      <c r="M28" s="189">
        <v>0</v>
      </c>
      <c r="N28" s="189">
        <v>0</v>
      </c>
      <c r="O28" s="189">
        <v>0</v>
      </c>
      <c r="P28" s="189">
        <v>0</v>
      </c>
      <c r="Q28" s="189">
        <v>0</v>
      </c>
      <c r="R28" s="189">
        <v>0</v>
      </c>
    </row>
    <row r="29" spans="1:32">
      <c r="A29" s="306"/>
      <c r="B29" s="170" t="s">
        <v>120</v>
      </c>
      <c r="C29" s="171" t="s">
        <v>94</v>
      </c>
      <c r="D29" s="309"/>
      <c r="E29" s="171" t="s">
        <v>121</v>
      </c>
      <c r="F29" s="186" t="s">
        <v>61</v>
      </c>
      <c r="G29" s="190">
        <v>9639</v>
      </c>
      <c r="H29" s="190">
        <v>7388</v>
      </c>
      <c r="I29" s="190">
        <v>12870</v>
      </c>
      <c r="J29" s="190">
        <v>313</v>
      </c>
      <c r="K29" s="190">
        <v>0</v>
      </c>
      <c r="L29" s="190">
        <v>0</v>
      </c>
      <c r="M29" s="190">
        <v>0</v>
      </c>
      <c r="N29" s="190">
        <v>0</v>
      </c>
      <c r="O29" s="190">
        <v>0</v>
      </c>
      <c r="P29" s="190">
        <v>0</v>
      </c>
      <c r="Q29" s="190">
        <v>0</v>
      </c>
      <c r="R29" s="190">
        <v>0</v>
      </c>
      <c r="V29" s="217"/>
    </row>
    <row r="30" spans="1:32" ht="14.25" thickBot="1">
      <c r="A30" s="306"/>
      <c r="B30" s="173" t="s">
        <v>122</v>
      </c>
      <c r="C30" s="174" t="s">
        <v>159</v>
      </c>
      <c r="D30" s="310"/>
      <c r="E30" s="175" t="s">
        <v>123</v>
      </c>
      <c r="F30" s="187" t="s">
        <v>61</v>
      </c>
      <c r="G30" s="191">
        <v>159134</v>
      </c>
      <c r="H30" s="191">
        <v>120846</v>
      </c>
      <c r="I30" s="191">
        <v>187021</v>
      </c>
      <c r="J30" s="191">
        <v>12</v>
      </c>
      <c r="K30" s="191">
        <v>0</v>
      </c>
      <c r="L30" s="191">
        <v>0</v>
      </c>
      <c r="M30" s="191">
        <v>0</v>
      </c>
      <c r="N30" s="191">
        <v>0</v>
      </c>
      <c r="O30" s="191">
        <v>0</v>
      </c>
      <c r="P30" s="191">
        <v>0</v>
      </c>
      <c r="Q30" s="191">
        <v>0</v>
      </c>
      <c r="R30" s="191">
        <v>0</v>
      </c>
    </row>
    <row r="31" spans="1:32">
      <c r="A31" s="306"/>
      <c r="B31" s="178" t="s">
        <v>124</v>
      </c>
      <c r="C31" s="179" t="s">
        <v>125</v>
      </c>
      <c r="D31" s="309" t="s">
        <v>74</v>
      </c>
      <c r="E31" s="180" t="s">
        <v>126</v>
      </c>
      <c r="F31" s="181" t="s">
        <v>61</v>
      </c>
      <c r="G31" s="189">
        <f>+G28</f>
        <v>2076</v>
      </c>
      <c r="H31" s="169">
        <f>H28+G31</f>
        <v>3847</v>
      </c>
      <c r="I31" s="169">
        <f t="shared" ref="I31:L31" si="0">I28+H31</f>
        <v>6287</v>
      </c>
      <c r="J31" s="169">
        <f t="shared" si="0"/>
        <v>6287</v>
      </c>
      <c r="K31" s="169">
        <f t="shared" si="0"/>
        <v>6287</v>
      </c>
      <c r="L31" s="169">
        <f t="shared" si="0"/>
        <v>6287</v>
      </c>
      <c r="M31" s="169">
        <f t="shared" ref="M31:R31" si="1">M28+L31</f>
        <v>6287</v>
      </c>
      <c r="N31" s="169">
        <f t="shared" si="1"/>
        <v>6287</v>
      </c>
      <c r="O31" s="169">
        <f t="shared" si="1"/>
        <v>6287</v>
      </c>
      <c r="P31" s="169">
        <f t="shared" si="1"/>
        <v>6287</v>
      </c>
      <c r="Q31" s="169">
        <f t="shared" si="1"/>
        <v>6287</v>
      </c>
      <c r="R31" s="169">
        <f t="shared" si="1"/>
        <v>6287</v>
      </c>
    </row>
    <row r="32" spans="1:32">
      <c r="A32" s="306"/>
      <c r="B32" s="182" t="s">
        <v>127</v>
      </c>
      <c r="C32" s="171" t="s">
        <v>128</v>
      </c>
      <c r="D32" s="309"/>
      <c r="E32" s="183" t="s">
        <v>129</v>
      </c>
      <c r="F32" s="172" t="s">
        <v>61</v>
      </c>
      <c r="G32" s="190">
        <f>+G29</f>
        <v>9639</v>
      </c>
      <c r="H32" s="216">
        <f t="shared" ref="H32:R33" si="2">H29+G32</f>
        <v>17027</v>
      </c>
      <c r="I32" s="216">
        <f t="shared" si="2"/>
        <v>29897</v>
      </c>
      <c r="J32" s="216">
        <f t="shared" si="2"/>
        <v>30210</v>
      </c>
      <c r="K32" s="216">
        <f t="shared" si="2"/>
        <v>30210</v>
      </c>
      <c r="L32" s="216">
        <f t="shared" si="2"/>
        <v>30210</v>
      </c>
      <c r="M32" s="216">
        <f t="shared" si="2"/>
        <v>30210</v>
      </c>
      <c r="N32" s="216">
        <f t="shared" si="2"/>
        <v>30210</v>
      </c>
      <c r="O32" s="216">
        <f t="shared" si="2"/>
        <v>30210</v>
      </c>
      <c r="P32" s="216">
        <f t="shared" si="2"/>
        <v>30210</v>
      </c>
      <c r="Q32" s="216">
        <f t="shared" si="2"/>
        <v>30210</v>
      </c>
      <c r="R32" s="216">
        <f t="shared" si="2"/>
        <v>30210</v>
      </c>
    </row>
    <row r="33" spans="1:18" ht="14.25" thickBot="1">
      <c r="A33" s="307"/>
      <c r="B33" s="184" t="s">
        <v>130</v>
      </c>
      <c r="C33" s="174" t="s">
        <v>131</v>
      </c>
      <c r="D33" s="310"/>
      <c r="E33" s="175" t="s">
        <v>132</v>
      </c>
      <c r="F33" s="176" t="s">
        <v>61</v>
      </c>
      <c r="G33" s="191">
        <f>+G30</f>
        <v>159134</v>
      </c>
      <c r="H33" s="177">
        <f t="shared" si="2"/>
        <v>279980</v>
      </c>
      <c r="I33" s="177">
        <f t="shared" si="2"/>
        <v>467001</v>
      </c>
      <c r="J33" s="177">
        <f t="shared" si="2"/>
        <v>467013</v>
      </c>
      <c r="K33" s="177">
        <f t="shared" si="2"/>
        <v>467013</v>
      </c>
      <c r="L33" s="177">
        <f t="shared" si="2"/>
        <v>467013</v>
      </c>
      <c r="M33" s="177">
        <f t="shared" si="2"/>
        <v>467013</v>
      </c>
      <c r="N33" s="177">
        <f t="shared" si="2"/>
        <v>467013</v>
      </c>
      <c r="O33" s="177">
        <f t="shared" si="2"/>
        <v>467013</v>
      </c>
      <c r="P33" s="177">
        <f t="shared" si="2"/>
        <v>467013</v>
      </c>
      <c r="Q33" s="177">
        <f t="shared" si="2"/>
        <v>467013</v>
      </c>
      <c r="R33" s="177">
        <f t="shared" si="2"/>
        <v>467013</v>
      </c>
    </row>
    <row r="34" spans="1:18">
      <c r="I34" s="193"/>
    </row>
    <row r="50" spans="1:1">
      <c r="A50" s="66" t="s">
        <v>133</v>
      </c>
    </row>
    <row r="51" spans="1:1">
      <c r="A51" s="66" t="s">
        <v>134</v>
      </c>
    </row>
    <row r="52" spans="1:1">
      <c r="A52" s="66" t="s">
        <v>135</v>
      </c>
    </row>
    <row r="53" spans="1:1">
      <c r="A53" s="66" t="s">
        <v>136</v>
      </c>
    </row>
  </sheetData>
  <mergeCells count="16">
    <mergeCell ref="A28:A33"/>
    <mergeCell ref="D28:D30"/>
    <mergeCell ref="D31:D33"/>
    <mergeCell ref="A16:A27"/>
    <mergeCell ref="C16:C17"/>
    <mergeCell ref="C18:C19"/>
    <mergeCell ref="C20:C21"/>
    <mergeCell ref="C22:C23"/>
    <mergeCell ref="C24:C25"/>
    <mergeCell ref="C26:C27"/>
    <mergeCell ref="O4:P4"/>
    <mergeCell ref="A6:A8"/>
    <mergeCell ref="A9:A15"/>
    <mergeCell ref="C10:C11"/>
    <mergeCell ref="C13:C14"/>
    <mergeCell ref="D13:D14"/>
  </mergeCells>
  <phoneticPr fontId="2"/>
  <pageMargins left="0" right="0" top="0" bottom="0" header="0.51181102362204722" footer="0.51181102362204722"/>
  <pageSetup paperSize="9" scale="75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指標２(外作)</vt:lpstr>
      <vt:lpstr>指標４（生産性）</vt:lpstr>
    </vt:vector>
  </TitlesOfParts>
  <Company>mabuchi-motor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hachisu takashi</dc:creator>
  <cp:lastModifiedBy>VDM/HOANG LE PHUOC</cp:lastModifiedBy>
  <dcterms:created xsi:type="dcterms:W3CDTF">2016-10-24T01:59:16Z</dcterms:created>
  <dcterms:modified xsi:type="dcterms:W3CDTF">2026-05-09T03:56:47Z</dcterms:modified>
</cp:coreProperties>
</file>