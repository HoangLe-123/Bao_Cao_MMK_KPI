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harts/chart7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7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de_cokhi\Bao_Cao_MMK_KPI\"/>
    </mc:Choice>
  </mc:AlternateContent>
  <xr:revisionPtr revIDLastSave="0" documentId="13_ncr:1_{90CC92DF-6F15-423F-AB0F-EC706B13046B}" xr6:coauthVersionLast="47" xr6:coauthVersionMax="47" xr10:uidLastSave="{00000000-0000-0000-0000-000000000000}"/>
  <bookViews>
    <workbookView xWindow="-120" yWindow="-120" windowWidth="29040" windowHeight="15720" tabRatio="829" xr2:uid="{00000000-000D-0000-FFFF-FFFF00000000}"/>
  </bookViews>
  <sheets>
    <sheet name="機械別実績" sheetId="38" r:id="rId1"/>
    <sheet name="指標1" sheetId="39" r:id="rId2"/>
    <sheet name="指標２(内作)" sheetId="41" r:id="rId3"/>
    <sheet name="指標２(外作)" sheetId="44" state="hidden" r:id="rId4"/>
    <sheet name="指標3（工程毎負荷時間)" sheetId="32" state="hidden" r:id="rId5"/>
    <sheet name="指標４（生産性) " sheetId="49" r:id="rId6"/>
  </sheets>
  <definedNames>
    <definedName name="_xlnm._FilterDatabase" localSheetId="0" hidden="1">機械別実績!$A$4:$W$119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1" l="1"/>
  <c r="E9" i="41"/>
  <c r="D10" i="41" l="1"/>
  <c r="D9" i="41"/>
  <c r="C10" i="41" l="1"/>
  <c r="C9" i="41"/>
  <c r="L74" i="44"/>
  <c r="M74" i="44"/>
  <c r="N74" i="44"/>
  <c r="M10" i="44" l="1"/>
  <c r="N10" i="44"/>
  <c r="O10" i="44"/>
  <c r="E98" i="44"/>
  <c r="D98" i="44"/>
  <c r="E95" i="44"/>
  <c r="D95" i="44"/>
  <c r="E92" i="44"/>
  <c r="D92" i="44"/>
  <c r="E89" i="44"/>
  <c r="D89" i="44"/>
  <c r="E86" i="44"/>
  <c r="D86" i="44"/>
  <c r="E83" i="44"/>
  <c r="D83" i="44"/>
  <c r="E80" i="44"/>
  <c r="D80" i="44"/>
  <c r="E77" i="44"/>
  <c r="D77" i="44"/>
  <c r="E74" i="44"/>
  <c r="D74" i="44"/>
  <c r="E71" i="44"/>
  <c r="D71" i="44"/>
  <c r="E68" i="44"/>
  <c r="D68" i="44"/>
  <c r="E65" i="44"/>
  <c r="D65" i="44"/>
  <c r="E62" i="44"/>
  <c r="D62" i="44"/>
  <c r="E59" i="44"/>
  <c r="D59" i="44"/>
  <c r="E56" i="44"/>
  <c r="D56" i="44"/>
  <c r="E53" i="44"/>
  <c r="D53" i="44"/>
  <c r="E50" i="44"/>
  <c r="D50" i="44"/>
  <c r="E47" i="44"/>
  <c r="D47" i="44"/>
  <c r="E44" i="44"/>
  <c r="D44" i="44"/>
  <c r="E41" i="44"/>
  <c r="D41" i="44"/>
  <c r="E38" i="44"/>
  <c r="D38" i="44"/>
  <c r="E35" i="44"/>
  <c r="D35" i="44"/>
  <c r="E32" i="44"/>
  <c r="D32" i="44"/>
  <c r="E29" i="44"/>
  <c r="D29" i="44"/>
  <c r="E26" i="44"/>
  <c r="D26" i="44"/>
  <c r="E23" i="44"/>
  <c r="D23" i="44"/>
  <c r="E20" i="44"/>
  <c r="D20" i="44"/>
  <c r="E17" i="44"/>
  <c r="D17" i="44"/>
  <c r="E14" i="44"/>
  <c r="D14" i="44"/>
  <c r="D56" i="41"/>
  <c r="C56" i="41"/>
  <c r="D53" i="41"/>
  <c r="C53" i="41"/>
  <c r="D50" i="41"/>
  <c r="C50" i="41"/>
  <c r="D47" i="41"/>
  <c r="C47" i="41"/>
  <c r="D44" i="41"/>
  <c r="C44" i="41"/>
  <c r="D41" i="41"/>
  <c r="C41" i="41"/>
  <c r="D38" i="41"/>
  <c r="C38" i="41"/>
  <c r="D35" i="41"/>
  <c r="C35" i="41"/>
  <c r="D32" i="41"/>
  <c r="C32" i="41"/>
  <c r="D29" i="41"/>
  <c r="C29" i="41"/>
  <c r="D26" i="41"/>
  <c r="C26" i="41"/>
  <c r="D23" i="41"/>
  <c r="C23" i="41"/>
  <c r="D20" i="41"/>
  <c r="C20" i="41"/>
  <c r="D17" i="41"/>
  <c r="C17" i="41"/>
  <c r="D14" i="41"/>
  <c r="C14" i="41"/>
  <c r="U17" i="49" l="1"/>
  <c r="U13" i="49"/>
  <c r="J12" i="49"/>
  <c r="J15" i="49" s="1"/>
  <c r="K12" i="49"/>
  <c r="K15" i="49" s="1"/>
  <c r="L12" i="49"/>
  <c r="L15" i="49" s="1"/>
  <c r="M12" i="49"/>
  <c r="M15" i="49" s="1"/>
  <c r="N12" i="49"/>
  <c r="N15" i="49" s="1"/>
  <c r="O12" i="49"/>
  <c r="O15" i="49" s="1"/>
  <c r="P12" i="49"/>
  <c r="P15" i="49" s="1"/>
  <c r="Q12" i="49"/>
  <c r="Q15" i="49" s="1"/>
  <c r="R12" i="49"/>
  <c r="R15" i="49" s="1"/>
  <c r="S12" i="49"/>
  <c r="S15" i="49" s="1"/>
  <c r="T12" i="49"/>
  <c r="T15" i="49" s="1"/>
  <c r="I12" i="49"/>
  <c r="I15" i="49" s="1"/>
  <c r="I11" i="49"/>
  <c r="J11" i="49"/>
  <c r="K11" i="49"/>
  <c r="L11" i="49"/>
  <c r="M11" i="49"/>
  <c r="N11" i="49"/>
  <c r="O11" i="49"/>
  <c r="P11" i="49"/>
  <c r="Q11" i="49"/>
  <c r="R11" i="49"/>
  <c r="S11" i="49"/>
  <c r="T11" i="49"/>
  <c r="I14" i="49"/>
  <c r="J14" i="49" s="1"/>
  <c r="I19" i="49"/>
  <c r="I20" i="49" s="1"/>
  <c r="I4" i="49" s="1"/>
  <c r="J19" i="49"/>
  <c r="J20" i="49" s="1"/>
  <c r="J4" i="49" s="1"/>
  <c r="K19" i="49"/>
  <c r="L19" i="49"/>
  <c r="M19" i="49"/>
  <c r="N19" i="49"/>
  <c r="O19" i="49"/>
  <c r="P19" i="49"/>
  <c r="P20" i="49" s="1"/>
  <c r="P4" i="49" s="1"/>
  <c r="Q19" i="49"/>
  <c r="Q20" i="49" s="1"/>
  <c r="Q4" i="49" s="1"/>
  <c r="R19" i="49"/>
  <c r="S19" i="49"/>
  <c r="S20" i="49" s="1"/>
  <c r="S4" i="49" s="1"/>
  <c r="T19" i="49"/>
  <c r="T20" i="49" s="1"/>
  <c r="T4" i="49" s="1"/>
  <c r="M20" i="49"/>
  <c r="M4" i="49" s="1"/>
  <c r="N20" i="49"/>
  <c r="N4" i="49" s="1"/>
  <c r="O20" i="49"/>
  <c r="O4" i="49" s="1"/>
  <c r="I21" i="49"/>
  <c r="J21" i="49"/>
  <c r="K21" i="49"/>
  <c r="L21" i="49"/>
  <c r="M21" i="49"/>
  <c r="N21" i="49"/>
  <c r="O21" i="49"/>
  <c r="P21" i="49"/>
  <c r="Q21" i="49"/>
  <c r="R21" i="49"/>
  <c r="S21" i="49"/>
  <c r="T21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I26" i="49"/>
  <c r="I27" i="49" s="1"/>
  <c r="J26" i="49"/>
  <c r="K26" i="49"/>
  <c r="K27" i="49" s="1"/>
  <c r="L26" i="49"/>
  <c r="L27" i="49" s="1"/>
  <c r="M26" i="49"/>
  <c r="M28" i="49" s="1"/>
  <c r="N26" i="49"/>
  <c r="N27" i="49" s="1"/>
  <c r="O26" i="49"/>
  <c r="O27" i="49" s="1"/>
  <c r="P26" i="49"/>
  <c r="P27" i="49" s="1"/>
  <c r="Q26" i="49"/>
  <c r="Q27" i="49" s="1"/>
  <c r="R26" i="49"/>
  <c r="R27" i="49" s="1"/>
  <c r="S26" i="49"/>
  <c r="S28" i="49" s="1"/>
  <c r="T26" i="49"/>
  <c r="T27" i="49" s="1"/>
  <c r="J27" i="49"/>
  <c r="J28" i="49"/>
  <c r="L28" i="49"/>
  <c r="P28" i="49"/>
  <c r="I30" i="49"/>
  <c r="I34" i="49" s="1"/>
  <c r="J30" i="49"/>
  <c r="J34" i="49" s="1"/>
  <c r="K30" i="49"/>
  <c r="K34" i="49" s="1"/>
  <c r="L30" i="49"/>
  <c r="M30" i="49"/>
  <c r="M34" i="49" s="1"/>
  <c r="N30" i="49"/>
  <c r="N34" i="49" s="1"/>
  <c r="O30" i="49"/>
  <c r="O34" i="49" s="1"/>
  <c r="P30" i="49"/>
  <c r="P34" i="49" s="1"/>
  <c r="Q30" i="49"/>
  <c r="Q34" i="49" s="1"/>
  <c r="R30" i="49"/>
  <c r="S30" i="49"/>
  <c r="S34" i="49" s="1"/>
  <c r="T30" i="49"/>
  <c r="T34" i="49" s="1"/>
  <c r="I32" i="49"/>
  <c r="I29" i="49" s="1"/>
  <c r="J32" i="49"/>
  <c r="J29" i="49" s="1"/>
  <c r="K32" i="49"/>
  <c r="K29" i="49" s="1"/>
  <c r="L32" i="49"/>
  <c r="L29" i="49" s="1"/>
  <c r="M32" i="49"/>
  <c r="M29" i="49" s="1"/>
  <c r="N32" i="49"/>
  <c r="N29" i="49" s="1"/>
  <c r="O32" i="49"/>
  <c r="O29" i="49" s="1"/>
  <c r="P32" i="49"/>
  <c r="P29" i="49" s="1"/>
  <c r="Q32" i="49"/>
  <c r="Q29" i="49" s="1"/>
  <c r="R32" i="49"/>
  <c r="R29" i="49" s="1"/>
  <c r="S32" i="49"/>
  <c r="S29" i="49" s="1"/>
  <c r="T32" i="49"/>
  <c r="T29" i="49" s="1"/>
  <c r="L34" i="49"/>
  <c r="R34" i="49"/>
  <c r="I39" i="49"/>
  <c r="J39" i="49" s="1"/>
  <c r="K39" i="49" s="1"/>
  <c r="I40" i="49"/>
  <c r="J40" i="49"/>
  <c r="K40" i="49"/>
  <c r="L40" i="49"/>
  <c r="M40" i="49"/>
  <c r="N40" i="49"/>
  <c r="O40" i="49"/>
  <c r="P40" i="49"/>
  <c r="Q40" i="49"/>
  <c r="R40" i="49"/>
  <c r="S40" i="49"/>
  <c r="T40" i="49"/>
  <c r="I42" i="49"/>
  <c r="I45" i="49" s="1"/>
  <c r="J42" i="49"/>
  <c r="K42" i="49"/>
  <c r="L42" i="49"/>
  <c r="M42" i="49"/>
  <c r="N42" i="49"/>
  <c r="O42" i="49"/>
  <c r="P42" i="49"/>
  <c r="Q42" i="49"/>
  <c r="R42" i="49"/>
  <c r="S42" i="49"/>
  <c r="T42" i="49"/>
  <c r="I46" i="49"/>
  <c r="J46" i="49" s="1"/>
  <c r="K46" i="49" s="1"/>
  <c r="L46" i="49" s="1"/>
  <c r="M46" i="49" s="1"/>
  <c r="N46" i="49" s="1"/>
  <c r="O46" i="49" s="1"/>
  <c r="P46" i="49" s="1"/>
  <c r="Q46" i="49" s="1"/>
  <c r="R46" i="49" s="1"/>
  <c r="S46" i="49" s="1"/>
  <c r="T46" i="49" s="1"/>
  <c r="I47" i="49"/>
  <c r="J47" i="49" s="1"/>
  <c r="K47" i="49" s="1"/>
  <c r="L47" i="49" s="1"/>
  <c r="M47" i="49" s="1"/>
  <c r="N47" i="49" s="1"/>
  <c r="O47" i="49" s="1"/>
  <c r="P47" i="49" s="1"/>
  <c r="Q47" i="49" s="1"/>
  <c r="R47" i="49" s="1"/>
  <c r="S47" i="49" s="1"/>
  <c r="T47" i="49" s="1"/>
  <c r="I48" i="49"/>
  <c r="J48" i="49"/>
  <c r="K48" i="49"/>
  <c r="L48" i="49"/>
  <c r="M48" i="49"/>
  <c r="N48" i="49"/>
  <c r="O48" i="49"/>
  <c r="P48" i="49"/>
  <c r="Q48" i="49"/>
  <c r="R48" i="49"/>
  <c r="S48" i="49"/>
  <c r="T48" i="49"/>
  <c r="I49" i="49"/>
  <c r="J49" i="49"/>
  <c r="K49" i="49"/>
  <c r="L49" i="49"/>
  <c r="M49" i="49"/>
  <c r="N49" i="49"/>
  <c r="O49" i="49"/>
  <c r="P49" i="49"/>
  <c r="Q49" i="49"/>
  <c r="R49" i="49"/>
  <c r="S49" i="49"/>
  <c r="T49" i="49"/>
  <c r="R20" i="49" l="1"/>
  <c r="R4" i="49" s="1"/>
  <c r="R6" i="49"/>
  <c r="O6" i="49"/>
  <c r="L20" i="49"/>
  <c r="L4" i="49" s="1"/>
  <c r="L6" i="49"/>
  <c r="I6" i="49"/>
  <c r="K20" i="49"/>
  <c r="K4" i="49" s="1"/>
  <c r="J45" i="49"/>
  <c r="K45" i="49" s="1"/>
  <c r="L45" i="49" s="1"/>
  <c r="M45" i="49" s="1"/>
  <c r="N45" i="49" s="1"/>
  <c r="O45" i="49" s="1"/>
  <c r="P45" i="49" s="1"/>
  <c r="Q45" i="49" s="1"/>
  <c r="R45" i="49" s="1"/>
  <c r="S45" i="49" s="1"/>
  <c r="T45" i="49" s="1"/>
  <c r="M36" i="49"/>
  <c r="U22" i="49"/>
  <c r="R28" i="49"/>
  <c r="O28" i="49"/>
  <c r="R36" i="49"/>
  <c r="I31" i="49"/>
  <c r="J31" i="49" s="1"/>
  <c r="J35" i="49" s="1"/>
  <c r="K28" i="49"/>
  <c r="L36" i="49"/>
  <c r="J36" i="49"/>
  <c r="T36" i="49"/>
  <c r="S27" i="49"/>
  <c r="I41" i="49"/>
  <c r="P36" i="49"/>
  <c r="O36" i="49"/>
  <c r="M27" i="49"/>
  <c r="U19" i="49"/>
  <c r="U20" i="49" s="1"/>
  <c r="U4" i="49" s="1"/>
  <c r="N36" i="49"/>
  <c r="Q28" i="49"/>
  <c r="I28" i="49"/>
  <c r="S36" i="49"/>
  <c r="K36" i="49"/>
  <c r="N28" i="49"/>
  <c r="I33" i="49"/>
  <c r="Q36" i="49"/>
  <c r="I36" i="49"/>
  <c r="T28" i="49"/>
  <c r="J41" i="49"/>
  <c r="K14" i="49"/>
  <c r="L14" i="49" s="1"/>
  <c r="L39" i="49"/>
  <c r="I35" i="49" l="1"/>
  <c r="K31" i="49"/>
  <c r="K35" i="49" s="1"/>
  <c r="M14" i="49"/>
  <c r="N14" i="49" s="1"/>
  <c r="O14" i="49" s="1"/>
  <c r="J33" i="49"/>
  <c r="I37" i="49"/>
  <c r="K41" i="49"/>
  <c r="M39" i="49"/>
  <c r="L41" i="49"/>
  <c r="L31" i="49"/>
  <c r="P14" i="49" l="1"/>
  <c r="Q14" i="49" s="1"/>
  <c r="R14" i="49" s="1"/>
  <c r="K33" i="49"/>
  <c r="J37" i="49"/>
  <c r="L35" i="49"/>
  <c r="M31" i="49"/>
  <c r="M41" i="49"/>
  <c r="N39" i="49"/>
  <c r="S14" i="49" l="1"/>
  <c r="T14" i="49" s="1"/>
  <c r="L33" i="49"/>
  <c r="K37" i="49"/>
  <c r="N41" i="49"/>
  <c r="O39" i="49"/>
  <c r="M35" i="49"/>
  <c r="N31" i="49"/>
  <c r="M33" i="49" l="1"/>
  <c r="L37" i="49"/>
  <c r="N35" i="49"/>
  <c r="O31" i="49"/>
  <c r="O41" i="49"/>
  <c r="P39" i="49"/>
  <c r="M37" i="49" l="1"/>
  <c r="N33" i="49"/>
  <c r="P31" i="49"/>
  <c r="O35" i="49"/>
  <c r="P41" i="49"/>
  <c r="Q39" i="49"/>
  <c r="N37" i="49" l="1"/>
  <c r="O33" i="49"/>
  <c r="Q31" i="49"/>
  <c r="P35" i="49"/>
  <c r="Q41" i="49"/>
  <c r="R39" i="49"/>
  <c r="O37" i="49" l="1"/>
  <c r="P33" i="49"/>
  <c r="R41" i="49"/>
  <c r="S39" i="49"/>
  <c r="Q35" i="49"/>
  <c r="R31" i="49"/>
  <c r="Q33" i="49" l="1"/>
  <c r="P37" i="49"/>
  <c r="R35" i="49"/>
  <c r="S31" i="49"/>
  <c r="T39" i="49"/>
  <c r="T41" i="49" s="1"/>
  <c r="S41" i="49"/>
  <c r="Q37" i="49" l="1"/>
  <c r="R33" i="49"/>
  <c r="S35" i="49"/>
  <c r="T31" i="49"/>
  <c r="T35" i="49" s="1"/>
  <c r="R37" i="49" l="1"/>
  <c r="S33" i="49"/>
  <c r="M3" i="38"/>
  <c r="N3" i="38"/>
  <c r="O3" i="38"/>
  <c r="P3" i="38"/>
  <c r="Q3" i="38"/>
  <c r="R3" i="38"/>
  <c r="S3" i="38"/>
  <c r="T3" i="38"/>
  <c r="U3" i="38"/>
  <c r="V3" i="38"/>
  <c r="P10" i="32" s="1"/>
  <c r="W3" i="38"/>
  <c r="L3" i="38"/>
  <c r="H107" i="38"/>
  <c r="S37" i="49" l="1"/>
  <c r="T33" i="49"/>
  <c r="T37" i="49" s="1"/>
  <c r="O57" i="41"/>
  <c r="R26" i="38"/>
  <c r="I9" i="44" l="1"/>
  <c r="H9" i="44"/>
  <c r="H10" i="44"/>
  <c r="F38" i="44" l="1"/>
  <c r="G38" i="44"/>
  <c r="H38" i="44"/>
  <c r="G65" i="44"/>
  <c r="F9" i="44"/>
  <c r="F20" i="44"/>
  <c r="E10" i="44"/>
  <c r="F10" i="44"/>
  <c r="G10" i="44"/>
  <c r="I10" i="44"/>
  <c r="J10" i="44"/>
  <c r="K10" i="44"/>
  <c r="L10" i="44"/>
  <c r="E9" i="44"/>
  <c r="G9" i="44"/>
  <c r="J9" i="44"/>
  <c r="K9" i="44"/>
  <c r="L9" i="44"/>
  <c r="M9" i="44"/>
  <c r="N9" i="44"/>
  <c r="O9" i="44"/>
  <c r="H10" i="38"/>
  <c r="B154" i="44"/>
  <c r="B208" i="44"/>
  <c r="B207" i="44"/>
  <c r="B206" i="44"/>
  <c r="C206" i="44"/>
  <c r="C207" i="44"/>
  <c r="C208" i="44"/>
  <c r="D154" i="44"/>
  <c r="E152" i="44"/>
  <c r="F152" i="44"/>
  <c r="G152" i="44"/>
  <c r="H152" i="44"/>
  <c r="I152" i="44"/>
  <c r="J152" i="44"/>
  <c r="K152" i="44"/>
  <c r="L152" i="44"/>
  <c r="M152" i="44"/>
  <c r="N152" i="44"/>
  <c r="O152" i="44"/>
  <c r="E153" i="44"/>
  <c r="F153" i="44"/>
  <c r="G153" i="44"/>
  <c r="H153" i="44"/>
  <c r="I153" i="44"/>
  <c r="J153" i="44"/>
  <c r="K153" i="44"/>
  <c r="L153" i="44"/>
  <c r="M153" i="44"/>
  <c r="N153" i="44"/>
  <c r="O153" i="44"/>
  <c r="E154" i="44"/>
  <c r="F154" i="44"/>
  <c r="G154" i="44"/>
  <c r="H154" i="44"/>
  <c r="I154" i="44"/>
  <c r="J154" i="44"/>
  <c r="K154" i="44"/>
  <c r="L154" i="44"/>
  <c r="M154" i="44"/>
  <c r="N154" i="44"/>
  <c r="O154" i="44"/>
  <c r="D153" i="44"/>
  <c r="D152" i="44"/>
  <c r="B153" i="44"/>
  <c r="B152" i="44"/>
  <c r="B151" i="44"/>
  <c r="C152" i="44"/>
  <c r="C153" i="44"/>
  <c r="C154" i="44"/>
  <c r="P105" i="44"/>
  <c r="P106" i="44"/>
  <c r="D107" i="44"/>
  <c r="D206" i="44" s="1"/>
  <c r="E107" i="44"/>
  <c r="E206" i="44" s="1"/>
  <c r="F107" i="44"/>
  <c r="F206" i="44" s="1"/>
  <c r="G107" i="44"/>
  <c r="G206" i="44" s="1"/>
  <c r="H107" i="44"/>
  <c r="H206" i="44" s="1"/>
  <c r="I107" i="44"/>
  <c r="I206" i="44" s="1"/>
  <c r="J107" i="44"/>
  <c r="J206" i="44" s="1"/>
  <c r="K107" i="44"/>
  <c r="K206" i="44" s="1"/>
  <c r="L107" i="44"/>
  <c r="L206" i="44" s="1"/>
  <c r="M107" i="44"/>
  <c r="M206" i="44" s="1"/>
  <c r="N107" i="44"/>
  <c r="N206" i="44" s="1"/>
  <c r="O107" i="44"/>
  <c r="O206" i="44" s="1"/>
  <c r="P108" i="44"/>
  <c r="P109" i="44"/>
  <c r="P110" i="44" s="1"/>
  <c r="P207" i="44" s="1"/>
  <c r="D110" i="44"/>
  <c r="D207" i="44" s="1"/>
  <c r="E110" i="44"/>
  <c r="E207" i="44" s="1"/>
  <c r="F110" i="44"/>
  <c r="F207" i="44" s="1"/>
  <c r="G110" i="44"/>
  <c r="G207" i="44" s="1"/>
  <c r="H110" i="44"/>
  <c r="H207" i="44" s="1"/>
  <c r="I110" i="44"/>
  <c r="I207" i="44" s="1"/>
  <c r="J110" i="44"/>
  <c r="J207" i="44" s="1"/>
  <c r="K110" i="44"/>
  <c r="K207" i="44" s="1"/>
  <c r="L110" i="44"/>
  <c r="L207" i="44" s="1"/>
  <c r="M110" i="44"/>
  <c r="M207" i="44" s="1"/>
  <c r="N110" i="44"/>
  <c r="N207" i="44" s="1"/>
  <c r="O110" i="44"/>
  <c r="O207" i="44" s="1"/>
  <c r="P111" i="44"/>
  <c r="P112" i="44"/>
  <c r="D113" i="44"/>
  <c r="D208" i="44" s="1"/>
  <c r="E113" i="44"/>
  <c r="E208" i="44" s="1"/>
  <c r="F113" i="44"/>
  <c r="F208" i="44" s="1"/>
  <c r="G113" i="44"/>
  <c r="G208" i="44" s="1"/>
  <c r="H113" i="44"/>
  <c r="H208" i="44" s="1"/>
  <c r="I113" i="44"/>
  <c r="I208" i="44" s="1"/>
  <c r="J113" i="44"/>
  <c r="J208" i="44" s="1"/>
  <c r="K113" i="44"/>
  <c r="K208" i="44" s="1"/>
  <c r="L113" i="44"/>
  <c r="L208" i="44" s="1"/>
  <c r="M113" i="44"/>
  <c r="M208" i="44" s="1"/>
  <c r="N113" i="44"/>
  <c r="N208" i="44" s="1"/>
  <c r="O113" i="44"/>
  <c r="O208" i="44" s="1"/>
  <c r="I24" i="49"/>
  <c r="P113" i="44" l="1"/>
  <c r="P208" i="44" s="1"/>
  <c r="P107" i="44"/>
  <c r="P206" i="44" s="1"/>
  <c r="P153" i="44"/>
  <c r="P154" i="44"/>
  <c r="P152" i="44"/>
  <c r="D10" i="44"/>
  <c r="D9" i="44"/>
  <c r="O11" i="44" l="1"/>
  <c r="C205" i="44"/>
  <c r="C204" i="44"/>
  <c r="C203" i="44"/>
  <c r="C202" i="44"/>
  <c r="C201" i="44"/>
  <c r="B205" i="44"/>
  <c r="B204" i="44"/>
  <c r="B203" i="44"/>
  <c r="B202" i="44"/>
  <c r="B201" i="44"/>
  <c r="E147" i="44"/>
  <c r="F147" i="44"/>
  <c r="G147" i="44"/>
  <c r="H147" i="44"/>
  <c r="I147" i="44"/>
  <c r="J147" i="44"/>
  <c r="K147" i="44"/>
  <c r="L147" i="44"/>
  <c r="M147" i="44"/>
  <c r="N147" i="44"/>
  <c r="O147" i="44"/>
  <c r="E148" i="44"/>
  <c r="F148" i="44"/>
  <c r="G148" i="44"/>
  <c r="H148" i="44"/>
  <c r="I148" i="44"/>
  <c r="J148" i="44"/>
  <c r="K148" i="44"/>
  <c r="L148" i="44"/>
  <c r="M148" i="44"/>
  <c r="N148" i="44"/>
  <c r="O148" i="44"/>
  <c r="E149" i="44"/>
  <c r="F149" i="44"/>
  <c r="G149" i="44"/>
  <c r="H149" i="44"/>
  <c r="I149" i="44"/>
  <c r="J149" i="44"/>
  <c r="K149" i="44"/>
  <c r="L149" i="44"/>
  <c r="M149" i="44"/>
  <c r="N149" i="44"/>
  <c r="O149" i="44"/>
  <c r="E150" i="44"/>
  <c r="F150" i="44"/>
  <c r="G150" i="44"/>
  <c r="H150" i="44"/>
  <c r="I150" i="44"/>
  <c r="J150" i="44"/>
  <c r="K150" i="44"/>
  <c r="L150" i="44"/>
  <c r="M150" i="44"/>
  <c r="N150" i="44"/>
  <c r="O150" i="44"/>
  <c r="E151" i="44"/>
  <c r="F151" i="44"/>
  <c r="G151" i="44"/>
  <c r="H151" i="44"/>
  <c r="I151" i="44"/>
  <c r="J151" i="44"/>
  <c r="K151" i="44"/>
  <c r="L151" i="44"/>
  <c r="M151" i="44"/>
  <c r="N151" i="44"/>
  <c r="O151" i="44"/>
  <c r="D151" i="44"/>
  <c r="D150" i="44"/>
  <c r="D149" i="44"/>
  <c r="D148" i="44"/>
  <c r="D147" i="44"/>
  <c r="C151" i="44"/>
  <c r="C150" i="44"/>
  <c r="C149" i="44"/>
  <c r="C148" i="44"/>
  <c r="C147" i="44"/>
  <c r="B150" i="44"/>
  <c r="B149" i="44"/>
  <c r="B148" i="44"/>
  <c r="B147" i="44"/>
  <c r="P90" i="44"/>
  <c r="P91" i="44"/>
  <c r="D201" i="44"/>
  <c r="E201" i="44"/>
  <c r="F92" i="44"/>
  <c r="F201" i="44" s="1"/>
  <c r="G92" i="44"/>
  <c r="G201" i="44" s="1"/>
  <c r="H92" i="44"/>
  <c r="H201" i="44" s="1"/>
  <c r="I92" i="44"/>
  <c r="I201" i="44" s="1"/>
  <c r="J92" i="44"/>
  <c r="J201" i="44" s="1"/>
  <c r="K92" i="44"/>
  <c r="K201" i="44" s="1"/>
  <c r="L92" i="44"/>
  <c r="L201" i="44" s="1"/>
  <c r="M92" i="44"/>
  <c r="M201" i="44" s="1"/>
  <c r="N92" i="44"/>
  <c r="N201" i="44" s="1"/>
  <c r="O92" i="44"/>
  <c r="O201" i="44" s="1"/>
  <c r="P93" i="44"/>
  <c r="P94" i="44"/>
  <c r="P148" i="44" s="1"/>
  <c r="D202" i="44"/>
  <c r="E202" i="44"/>
  <c r="F95" i="44"/>
  <c r="F202" i="44" s="1"/>
  <c r="G95" i="44"/>
  <c r="G202" i="44" s="1"/>
  <c r="H95" i="44"/>
  <c r="H202" i="44" s="1"/>
  <c r="I95" i="44"/>
  <c r="I202" i="44" s="1"/>
  <c r="J95" i="44"/>
  <c r="J202" i="44" s="1"/>
  <c r="K95" i="44"/>
  <c r="K202" i="44" s="1"/>
  <c r="L95" i="44"/>
  <c r="L202" i="44" s="1"/>
  <c r="M95" i="44"/>
  <c r="M202" i="44" s="1"/>
  <c r="N95" i="44"/>
  <c r="N202" i="44" s="1"/>
  <c r="O95" i="44"/>
  <c r="O202" i="44" s="1"/>
  <c r="P96" i="44"/>
  <c r="P97" i="44"/>
  <c r="P149" i="44" s="1"/>
  <c r="D203" i="44"/>
  <c r="E203" i="44"/>
  <c r="F98" i="44"/>
  <c r="F203" i="44" s="1"/>
  <c r="G98" i="44"/>
  <c r="G203" i="44" s="1"/>
  <c r="H98" i="44"/>
  <c r="H203" i="44" s="1"/>
  <c r="I98" i="44"/>
  <c r="I203" i="44" s="1"/>
  <c r="J98" i="44"/>
  <c r="J203" i="44" s="1"/>
  <c r="K98" i="44"/>
  <c r="K203" i="44" s="1"/>
  <c r="L98" i="44"/>
  <c r="L203" i="44" s="1"/>
  <c r="M98" i="44"/>
  <c r="M203" i="44" s="1"/>
  <c r="N98" i="44"/>
  <c r="N203" i="44" s="1"/>
  <c r="O98" i="44"/>
  <c r="O203" i="44" s="1"/>
  <c r="P99" i="44"/>
  <c r="P100" i="44"/>
  <c r="P150" i="44" s="1"/>
  <c r="D101" i="44"/>
  <c r="D204" i="44" s="1"/>
  <c r="E101" i="44"/>
  <c r="E204" i="44" s="1"/>
  <c r="F101" i="44"/>
  <c r="F204" i="44" s="1"/>
  <c r="G101" i="44"/>
  <c r="G204" i="44" s="1"/>
  <c r="H101" i="44"/>
  <c r="H204" i="44" s="1"/>
  <c r="I101" i="44"/>
  <c r="I204" i="44" s="1"/>
  <c r="J101" i="44"/>
  <c r="J204" i="44" s="1"/>
  <c r="K101" i="44"/>
  <c r="K204" i="44" s="1"/>
  <c r="L101" i="44"/>
  <c r="L204" i="44" s="1"/>
  <c r="M101" i="44"/>
  <c r="M204" i="44" s="1"/>
  <c r="N101" i="44"/>
  <c r="N204" i="44" s="1"/>
  <c r="O101" i="44"/>
  <c r="O204" i="44" s="1"/>
  <c r="P102" i="44"/>
  <c r="P103" i="44"/>
  <c r="D104" i="44"/>
  <c r="D205" i="44" s="1"/>
  <c r="E104" i="44"/>
  <c r="E205" i="44" s="1"/>
  <c r="F104" i="44"/>
  <c r="F205" i="44" s="1"/>
  <c r="G104" i="44"/>
  <c r="G205" i="44" s="1"/>
  <c r="H104" i="44"/>
  <c r="H205" i="44" s="1"/>
  <c r="I104" i="44"/>
  <c r="I205" i="44" s="1"/>
  <c r="J104" i="44"/>
  <c r="J205" i="44" s="1"/>
  <c r="K104" i="44"/>
  <c r="K205" i="44" s="1"/>
  <c r="L104" i="44"/>
  <c r="L205" i="44" s="1"/>
  <c r="M104" i="44"/>
  <c r="M205" i="44" s="1"/>
  <c r="N104" i="44"/>
  <c r="N205" i="44" s="1"/>
  <c r="O104" i="44"/>
  <c r="O205" i="44" s="1"/>
  <c r="U12" i="32"/>
  <c r="V12" i="32" s="1"/>
  <c r="F36" i="32" s="1"/>
  <c r="T12" i="32"/>
  <c r="U13" i="32"/>
  <c r="P33" i="32"/>
  <c r="P161" i="32" s="1"/>
  <c r="G10" i="32"/>
  <c r="G33" i="32" s="1"/>
  <c r="G161" i="32" s="1"/>
  <c r="H10" i="32"/>
  <c r="H33" i="32" s="1"/>
  <c r="H161" i="32" s="1"/>
  <c r="I10" i="32"/>
  <c r="I33" i="32" s="1"/>
  <c r="I161" i="32" s="1"/>
  <c r="J10" i="32"/>
  <c r="J33" i="32" s="1"/>
  <c r="J161" i="32" s="1"/>
  <c r="K10" i="32"/>
  <c r="K33" i="32" s="1"/>
  <c r="K161" i="32" s="1"/>
  <c r="L10" i="32"/>
  <c r="L33" i="32" s="1"/>
  <c r="L161" i="32" s="1"/>
  <c r="M10" i="32"/>
  <c r="M33" i="32" s="1"/>
  <c r="M161" i="32" s="1"/>
  <c r="N10" i="32"/>
  <c r="N33" i="32" s="1"/>
  <c r="N161" i="32" s="1"/>
  <c r="O10" i="32"/>
  <c r="O33" i="32" s="1"/>
  <c r="O161" i="32" s="1"/>
  <c r="Q10" i="32"/>
  <c r="Q33" i="32" s="1"/>
  <c r="Q161" i="32" s="1"/>
  <c r="F10" i="32"/>
  <c r="F33" i="32" s="1"/>
  <c r="F161" i="32" s="1"/>
  <c r="G9" i="32"/>
  <c r="G32" i="32" s="1"/>
  <c r="G160" i="32" s="1"/>
  <c r="H9" i="32"/>
  <c r="H32" i="32" s="1"/>
  <c r="H160" i="32" s="1"/>
  <c r="I9" i="32"/>
  <c r="I32" i="32" s="1"/>
  <c r="I160" i="32" s="1"/>
  <c r="J9" i="32"/>
  <c r="J32" i="32" s="1"/>
  <c r="J160" i="32" s="1"/>
  <c r="K9" i="32"/>
  <c r="K32" i="32" s="1"/>
  <c r="K160" i="32" s="1"/>
  <c r="L9" i="32"/>
  <c r="L32" i="32" s="1"/>
  <c r="L160" i="32" s="1"/>
  <c r="M9" i="32"/>
  <c r="M32" i="32" s="1"/>
  <c r="M160" i="32" s="1"/>
  <c r="N9" i="32"/>
  <c r="N32" i="32" s="1"/>
  <c r="N160" i="32" s="1"/>
  <c r="O9" i="32"/>
  <c r="O32" i="32" s="1"/>
  <c r="O160" i="32" s="1"/>
  <c r="P9" i="32"/>
  <c r="P32" i="32" s="1"/>
  <c r="P160" i="32" s="1"/>
  <c r="Q9" i="32"/>
  <c r="Q32" i="32" s="1"/>
  <c r="Q160" i="32" s="1"/>
  <c r="F9" i="32"/>
  <c r="F32" i="32" s="1"/>
  <c r="F160" i="32" s="1"/>
  <c r="M58" i="38"/>
  <c r="N58" i="38"/>
  <c r="O58" i="38"/>
  <c r="P58" i="38"/>
  <c r="Q58" i="38"/>
  <c r="R58" i="38"/>
  <c r="S58" i="38"/>
  <c r="T58" i="38"/>
  <c r="U58" i="38"/>
  <c r="V58" i="38"/>
  <c r="W58" i="38"/>
  <c r="M107" i="38"/>
  <c r="M108" i="38" s="1"/>
  <c r="N107" i="38"/>
  <c r="N108" i="38" s="1"/>
  <c r="O107" i="38"/>
  <c r="O108" i="38" s="1"/>
  <c r="P107" i="38"/>
  <c r="P108" i="38" s="1"/>
  <c r="Q107" i="38"/>
  <c r="Q108" i="38" s="1"/>
  <c r="R107" i="38"/>
  <c r="R108" i="38" s="1"/>
  <c r="S107" i="38"/>
  <c r="S108" i="38" s="1"/>
  <c r="T107" i="38"/>
  <c r="T108" i="38" s="1"/>
  <c r="U107" i="38"/>
  <c r="U108" i="38" s="1"/>
  <c r="V107" i="38"/>
  <c r="V108" i="38" s="1"/>
  <c r="W107" i="38"/>
  <c r="W108" i="38" s="1"/>
  <c r="M93" i="38"/>
  <c r="N93" i="38"/>
  <c r="O93" i="38"/>
  <c r="P93" i="38"/>
  <c r="Q93" i="38"/>
  <c r="R93" i="38"/>
  <c r="S93" i="38"/>
  <c r="T93" i="38"/>
  <c r="U93" i="38"/>
  <c r="V93" i="38"/>
  <c r="W93" i="38"/>
  <c r="M88" i="38"/>
  <c r="N88" i="38"/>
  <c r="O88" i="38"/>
  <c r="P88" i="38"/>
  <c r="Q88" i="38"/>
  <c r="R88" i="38"/>
  <c r="S88" i="38"/>
  <c r="T88" i="38"/>
  <c r="U88" i="38"/>
  <c r="V88" i="38"/>
  <c r="W88" i="38"/>
  <c r="M82" i="38"/>
  <c r="N82" i="38"/>
  <c r="O82" i="38"/>
  <c r="P82" i="38"/>
  <c r="Q82" i="38"/>
  <c r="R82" i="38"/>
  <c r="S82" i="38"/>
  <c r="T82" i="38"/>
  <c r="U82" i="38"/>
  <c r="V82" i="38"/>
  <c r="W82" i="38"/>
  <c r="M77" i="38"/>
  <c r="N77" i="38"/>
  <c r="O77" i="38"/>
  <c r="P77" i="38"/>
  <c r="Q77" i="38"/>
  <c r="R77" i="38"/>
  <c r="S77" i="38"/>
  <c r="T77" i="38"/>
  <c r="U77" i="38"/>
  <c r="V77" i="38"/>
  <c r="W77" i="38"/>
  <c r="P92" i="44" l="1"/>
  <c r="P201" i="44" s="1"/>
  <c r="P104" i="44"/>
  <c r="P205" i="44" s="1"/>
  <c r="P10" i="44"/>
  <c r="P9" i="44"/>
  <c r="P151" i="44"/>
  <c r="P147" i="44"/>
  <c r="P98" i="44"/>
  <c r="P203" i="44" s="1"/>
  <c r="P101" i="44"/>
  <c r="P204" i="44" s="1"/>
  <c r="P95" i="44"/>
  <c r="P202" i="44" s="1"/>
  <c r="M72" i="38"/>
  <c r="N72" i="38"/>
  <c r="O72" i="38"/>
  <c r="P72" i="38"/>
  <c r="Q72" i="38"/>
  <c r="R72" i="38"/>
  <c r="S72" i="38"/>
  <c r="T72" i="38"/>
  <c r="U72" i="38"/>
  <c r="V72" i="38"/>
  <c r="W72" i="38"/>
  <c r="L72" i="38"/>
  <c r="M65" i="38"/>
  <c r="N65" i="38"/>
  <c r="O65" i="38"/>
  <c r="P65" i="38"/>
  <c r="Q65" i="38"/>
  <c r="R65" i="38"/>
  <c r="S65" i="38"/>
  <c r="T65" i="38"/>
  <c r="U65" i="38"/>
  <c r="V65" i="38"/>
  <c r="W65" i="38"/>
  <c r="L65" i="38"/>
  <c r="M54" i="38"/>
  <c r="N54" i="38"/>
  <c r="O54" i="38"/>
  <c r="P54" i="38"/>
  <c r="Q54" i="38"/>
  <c r="R54" i="38"/>
  <c r="S54" i="38"/>
  <c r="T54" i="38"/>
  <c r="U54" i="38"/>
  <c r="V54" i="38"/>
  <c r="W54" i="38"/>
  <c r="L54" i="38"/>
  <c r="M49" i="38"/>
  <c r="N49" i="38"/>
  <c r="O49" i="38"/>
  <c r="P49" i="38"/>
  <c r="Q49" i="38"/>
  <c r="R49" i="38"/>
  <c r="S49" i="38"/>
  <c r="T49" i="38"/>
  <c r="U49" i="38"/>
  <c r="V49" i="38"/>
  <c r="W49" i="38"/>
  <c r="M42" i="38"/>
  <c r="N42" i="38"/>
  <c r="O42" i="38"/>
  <c r="P42" i="38"/>
  <c r="Q42" i="38"/>
  <c r="R42" i="38"/>
  <c r="S42" i="38"/>
  <c r="T42" i="38"/>
  <c r="U42" i="38"/>
  <c r="V42" i="38"/>
  <c r="W42" i="38"/>
  <c r="L42" i="38"/>
  <c r="M37" i="38"/>
  <c r="N37" i="38"/>
  <c r="O37" i="38"/>
  <c r="P37" i="38"/>
  <c r="Q37" i="38"/>
  <c r="R37" i="38"/>
  <c r="S37" i="38"/>
  <c r="T37" i="38"/>
  <c r="U37" i="38"/>
  <c r="V37" i="38"/>
  <c r="W37" i="38"/>
  <c r="M31" i="38"/>
  <c r="N31" i="38"/>
  <c r="O31" i="38"/>
  <c r="P31" i="38"/>
  <c r="Q31" i="38"/>
  <c r="R31" i="38"/>
  <c r="S31" i="38"/>
  <c r="T31" i="38"/>
  <c r="U31" i="38"/>
  <c r="V31" i="38"/>
  <c r="W31" i="38"/>
  <c r="L31" i="38"/>
  <c r="M26" i="38"/>
  <c r="N26" i="38"/>
  <c r="O26" i="38"/>
  <c r="P26" i="38"/>
  <c r="Q26" i="38"/>
  <c r="S26" i="38"/>
  <c r="T26" i="38"/>
  <c r="U26" i="38"/>
  <c r="V26" i="38"/>
  <c r="W26" i="38"/>
  <c r="W17" i="38"/>
  <c r="M17" i="38"/>
  <c r="N17" i="38"/>
  <c r="O17" i="38"/>
  <c r="P17" i="38"/>
  <c r="Q17" i="38"/>
  <c r="R17" i="38"/>
  <c r="S17" i="38"/>
  <c r="T17" i="38"/>
  <c r="U17" i="38"/>
  <c r="V17" i="38"/>
  <c r="L17" i="38"/>
  <c r="C175" i="44" l="1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7" i="44"/>
  <c r="C198" i="44"/>
  <c r="C199" i="44"/>
  <c r="C20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E121" i="44"/>
  <c r="F121" i="44"/>
  <c r="G121" i="44"/>
  <c r="H121" i="44"/>
  <c r="I121" i="44"/>
  <c r="J121" i="44"/>
  <c r="K121" i="44"/>
  <c r="L121" i="44"/>
  <c r="M121" i="44"/>
  <c r="N121" i="44"/>
  <c r="O121" i="44"/>
  <c r="E122" i="44"/>
  <c r="F122" i="44"/>
  <c r="G122" i="44"/>
  <c r="H122" i="44"/>
  <c r="I122" i="44"/>
  <c r="J122" i="44"/>
  <c r="K122" i="44"/>
  <c r="L122" i="44"/>
  <c r="M122" i="44"/>
  <c r="N122" i="44"/>
  <c r="O122" i="44"/>
  <c r="E123" i="44"/>
  <c r="F123" i="44"/>
  <c r="G123" i="44"/>
  <c r="H123" i="44"/>
  <c r="I123" i="44"/>
  <c r="J123" i="44"/>
  <c r="K123" i="44"/>
  <c r="L123" i="44"/>
  <c r="M123" i="44"/>
  <c r="N123" i="44"/>
  <c r="O123" i="44"/>
  <c r="E124" i="44"/>
  <c r="F124" i="44"/>
  <c r="G124" i="44"/>
  <c r="H124" i="44"/>
  <c r="I124" i="44"/>
  <c r="J124" i="44"/>
  <c r="K124" i="44"/>
  <c r="L124" i="44"/>
  <c r="M124" i="44"/>
  <c r="N124" i="44"/>
  <c r="O124" i="44"/>
  <c r="E125" i="44"/>
  <c r="F125" i="44"/>
  <c r="G125" i="44"/>
  <c r="H125" i="44"/>
  <c r="I125" i="44"/>
  <c r="J125" i="44"/>
  <c r="K125" i="44"/>
  <c r="L125" i="44"/>
  <c r="M125" i="44"/>
  <c r="N125" i="44"/>
  <c r="O125" i="44"/>
  <c r="E126" i="44"/>
  <c r="F126" i="44"/>
  <c r="G126" i="44"/>
  <c r="H126" i="44"/>
  <c r="I126" i="44"/>
  <c r="J126" i="44"/>
  <c r="K126" i="44"/>
  <c r="L126" i="44"/>
  <c r="M126" i="44"/>
  <c r="N126" i="44"/>
  <c r="O126" i="44"/>
  <c r="E127" i="44"/>
  <c r="F127" i="44"/>
  <c r="G127" i="44"/>
  <c r="H127" i="44"/>
  <c r="I127" i="44"/>
  <c r="J127" i="44"/>
  <c r="K127" i="44"/>
  <c r="L127" i="44"/>
  <c r="M127" i="44"/>
  <c r="N127" i="44"/>
  <c r="O127" i="44"/>
  <c r="E128" i="44"/>
  <c r="F128" i="44"/>
  <c r="G128" i="44"/>
  <c r="H128" i="44"/>
  <c r="I128" i="44"/>
  <c r="J128" i="44"/>
  <c r="K128" i="44"/>
  <c r="L128" i="44"/>
  <c r="M128" i="44"/>
  <c r="N128" i="44"/>
  <c r="O128" i="44"/>
  <c r="E129" i="44"/>
  <c r="F129" i="44"/>
  <c r="G129" i="44"/>
  <c r="H129" i="44"/>
  <c r="I129" i="44"/>
  <c r="J129" i="44"/>
  <c r="K129" i="44"/>
  <c r="L129" i="44"/>
  <c r="M129" i="44"/>
  <c r="N129" i="44"/>
  <c r="O129" i="44"/>
  <c r="E130" i="44"/>
  <c r="F130" i="44"/>
  <c r="G130" i="44"/>
  <c r="H130" i="44"/>
  <c r="I130" i="44"/>
  <c r="J130" i="44"/>
  <c r="K130" i="44"/>
  <c r="L130" i="44"/>
  <c r="M130" i="44"/>
  <c r="N130" i="44"/>
  <c r="O130" i="44"/>
  <c r="E131" i="44"/>
  <c r="F131" i="44"/>
  <c r="G131" i="44"/>
  <c r="H131" i="44"/>
  <c r="I131" i="44"/>
  <c r="J131" i="44"/>
  <c r="K131" i="44"/>
  <c r="L131" i="44"/>
  <c r="M131" i="44"/>
  <c r="N131" i="44"/>
  <c r="O131" i="44"/>
  <c r="E132" i="44"/>
  <c r="F132" i="44"/>
  <c r="G132" i="44"/>
  <c r="H132" i="44"/>
  <c r="I132" i="44"/>
  <c r="J132" i="44"/>
  <c r="K132" i="44"/>
  <c r="L132" i="44"/>
  <c r="M132" i="44"/>
  <c r="N132" i="44"/>
  <c r="O132" i="44"/>
  <c r="E133" i="44"/>
  <c r="F133" i="44"/>
  <c r="G133" i="44"/>
  <c r="H133" i="44"/>
  <c r="I133" i="44"/>
  <c r="J133" i="44"/>
  <c r="K133" i="44"/>
  <c r="L133" i="44"/>
  <c r="M133" i="44"/>
  <c r="N133" i="44"/>
  <c r="O133" i="44"/>
  <c r="E134" i="44"/>
  <c r="F134" i="44"/>
  <c r="G134" i="44"/>
  <c r="H134" i="44"/>
  <c r="I134" i="44"/>
  <c r="J134" i="44"/>
  <c r="K134" i="44"/>
  <c r="L134" i="44"/>
  <c r="M134" i="44"/>
  <c r="N134" i="44"/>
  <c r="O134" i="44"/>
  <c r="E135" i="44"/>
  <c r="F135" i="44"/>
  <c r="G135" i="44"/>
  <c r="H135" i="44"/>
  <c r="I135" i="44"/>
  <c r="J135" i="44"/>
  <c r="K135" i="44"/>
  <c r="L135" i="44"/>
  <c r="M135" i="44"/>
  <c r="N135" i="44"/>
  <c r="O135" i="44"/>
  <c r="E136" i="44"/>
  <c r="F136" i="44"/>
  <c r="G136" i="44"/>
  <c r="H136" i="44"/>
  <c r="I136" i="44"/>
  <c r="J136" i="44"/>
  <c r="K136" i="44"/>
  <c r="L136" i="44"/>
  <c r="M136" i="44"/>
  <c r="N136" i="44"/>
  <c r="O136" i="44"/>
  <c r="E137" i="44"/>
  <c r="F137" i="44"/>
  <c r="G137" i="44"/>
  <c r="H137" i="44"/>
  <c r="I137" i="44"/>
  <c r="J137" i="44"/>
  <c r="K137" i="44"/>
  <c r="L137" i="44"/>
  <c r="M137" i="44"/>
  <c r="N137" i="44"/>
  <c r="O137" i="44"/>
  <c r="E138" i="44"/>
  <c r="F138" i="44"/>
  <c r="G138" i="44"/>
  <c r="H138" i="44"/>
  <c r="I138" i="44"/>
  <c r="J138" i="44"/>
  <c r="K138" i="44"/>
  <c r="L138" i="44"/>
  <c r="M138" i="44"/>
  <c r="N138" i="44"/>
  <c r="O138" i="44"/>
  <c r="E139" i="44"/>
  <c r="F139" i="44"/>
  <c r="G139" i="44"/>
  <c r="H139" i="44"/>
  <c r="I139" i="44"/>
  <c r="J139" i="44"/>
  <c r="K139" i="44"/>
  <c r="L139" i="44"/>
  <c r="M139" i="44"/>
  <c r="N139" i="44"/>
  <c r="O139" i="44"/>
  <c r="E140" i="44"/>
  <c r="F140" i="44"/>
  <c r="G140" i="44"/>
  <c r="H140" i="44"/>
  <c r="I140" i="44"/>
  <c r="J140" i="44"/>
  <c r="K140" i="44"/>
  <c r="L140" i="44"/>
  <c r="M140" i="44"/>
  <c r="N140" i="44"/>
  <c r="O140" i="44"/>
  <c r="E141" i="44"/>
  <c r="F141" i="44"/>
  <c r="G141" i="44"/>
  <c r="H141" i="44"/>
  <c r="I141" i="44"/>
  <c r="J141" i="44"/>
  <c r="K141" i="44"/>
  <c r="L141" i="44"/>
  <c r="M141" i="44"/>
  <c r="N141" i="44"/>
  <c r="O141" i="44"/>
  <c r="E142" i="44"/>
  <c r="F142" i="44"/>
  <c r="G142" i="44"/>
  <c r="H142" i="44"/>
  <c r="I142" i="44"/>
  <c r="J142" i="44"/>
  <c r="K142" i="44"/>
  <c r="L142" i="44"/>
  <c r="M142" i="44"/>
  <c r="N142" i="44"/>
  <c r="O142" i="44"/>
  <c r="E143" i="44"/>
  <c r="F143" i="44"/>
  <c r="G143" i="44"/>
  <c r="H143" i="44"/>
  <c r="I143" i="44"/>
  <c r="J143" i="44"/>
  <c r="K143" i="44"/>
  <c r="L143" i="44"/>
  <c r="M143" i="44"/>
  <c r="N143" i="44"/>
  <c r="O143" i="44"/>
  <c r="E144" i="44"/>
  <c r="F144" i="44"/>
  <c r="G144" i="44"/>
  <c r="H144" i="44"/>
  <c r="I144" i="44"/>
  <c r="J144" i="44"/>
  <c r="K144" i="44"/>
  <c r="L144" i="44"/>
  <c r="M144" i="44"/>
  <c r="N144" i="44"/>
  <c r="O144" i="44"/>
  <c r="E145" i="44"/>
  <c r="F145" i="44"/>
  <c r="G145" i="44"/>
  <c r="H145" i="44"/>
  <c r="I145" i="44"/>
  <c r="J145" i="44"/>
  <c r="K145" i="44"/>
  <c r="L145" i="44"/>
  <c r="M145" i="44"/>
  <c r="N145" i="44"/>
  <c r="O145" i="44"/>
  <c r="E146" i="44"/>
  <c r="F146" i="44"/>
  <c r="G146" i="44"/>
  <c r="H146" i="44"/>
  <c r="I146" i="44"/>
  <c r="J146" i="44"/>
  <c r="K146" i="44"/>
  <c r="L146" i="44"/>
  <c r="M146" i="44"/>
  <c r="N146" i="44"/>
  <c r="O146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B100" i="41"/>
  <c r="B101" i="41"/>
  <c r="B102" i="41"/>
  <c r="B103" i="41"/>
  <c r="B104" i="41"/>
  <c r="B105" i="41"/>
  <c r="B106" i="41"/>
  <c r="B107" i="41"/>
  <c r="B108" i="41"/>
  <c r="B109" i="41"/>
  <c r="B110" i="41"/>
  <c r="B111" i="41"/>
  <c r="B112" i="41"/>
  <c r="B113" i="41"/>
  <c r="B114" i="41"/>
  <c r="C79" i="41"/>
  <c r="C80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D65" i="41"/>
  <c r="E65" i="41"/>
  <c r="F65" i="41"/>
  <c r="G65" i="41"/>
  <c r="H65" i="41"/>
  <c r="I65" i="41"/>
  <c r="J65" i="41"/>
  <c r="K65" i="41"/>
  <c r="L65" i="41"/>
  <c r="M65" i="41"/>
  <c r="N65" i="41"/>
  <c r="D66" i="41"/>
  <c r="E66" i="41"/>
  <c r="F66" i="41"/>
  <c r="G66" i="41"/>
  <c r="H66" i="41"/>
  <c r="I66" i="41"/>
  <c r="J66" i="41"/>
  <c r="K66" i="41"/>
  <c r="L66" i="41"/>
  <c r="M66" i="41"/>
  <c r="N66" i="41"/>
  <c r="D67" i="41"/>
  <c r="E67" i="41"/>
  <c r="F67" i="41"/>
  <c r="G67" i="41"/>
  <c r="H67" i="41"/>
  <c r="I67" i="41"/>
  <c r="J67" i="41"/>
  <c r="K67" i="41"/>
  <c r="L67" i="41"/>
  <c r="M67" i="41"/>
  <c r="N67" i="41"/>
  <c r="D68" i="41"/>
  <c r="E68" i="41"/>
  <c r="F68" i="41"/>
  <c r="G68" i="41"/>
  <c r="H68" i="41"/>
  <c r="I68" i="41"/>
  <c r="J68" i="41"/>
  <c r="K68" i="41"/>
  <c r="L68" i="41"/>
  <c r="M68" i="41"/>
  <c r="N68" i="41"/>
  <c r="D69" i="41"/>
  <c r="E69" i="41"/>
  <c r="F69" i="41"/>
  <c r="G69" i="41"/>
  <c r="H69" i="41"/>
  <c r="I69" i="41"/>
  <c r="J69" i="41"/>
  <c r="K69" i="41"/>
  <c r="L69" i="41"/>
  <c r="M69" i="41"/>
  <c r="N69" i="41"/>
  <c r="D70" i="41"/>
  <c r="E70" i="41"/>
  <c r="F70" i="41"/>
  <c r="G70" i="41"/>
  <c r="H70" i="41"/>
  <c r="I70" i="41"/>
  <c r="J70" i="41"/>
  <c r="K70" i="41"/>
  <c r="L70" i="41"/>
  <c r="M70" i="41"/>
  <c r="N70" i="41"/>
  <c r="D71" i="41"/>
  <c r="E71" i="41"/>
  <c r="F71" i="41"/>
  <c r="G71" i="41"/>
  <c r="H71" i="41"/>
  <c r="I71" i="41"/>
  <c r="J71" i="41"/>
  <c r="K71" i="41"/>
  <c r="L71" i="41"/>
  <c r="M71" i="41"/>
  <c r="N71" i="41"/>
  <c r="D72" i="41"/>
  <c r="E72" i="41"/>
  <c r="F72" i="41"/>
  <c r="G72" i="41"/>
  <c r="H72" i="41"/>
  <c r="I72" i="41"/>
  <c r="J72" i="41"/>
  <c r="K72" i="41"/>
  <c r="L72" i="41"/>
  <c r="M72" i="41"/>
  <c r="N72" i="41"/>
  <c r="D73" i="41"/>
  <c r="E73" i="41"/>
  <c r="F73" i="41"/>
  <c r="G73" i="41"/>
  <c r="H73" i="41"/>
  <c r="I73" i="41"/>
  <c r="J73" i="41"/>
  <c r="K73" i="41"/>
  <c r="L73" i="41"/>
  <c r="M73" i="41"/>
  <c r="N73" i="41"/>
  <c r="D74" i="41"/>
  <c r="E74" i="41"/>
  <c r="F74" i="41"/>
  <c r="G74" i="41"/>
  <c r="H74" i="41"/>
  <c r="I74" i="41"/>
  <c r="J74" i="41"/>
  <c r="K74" i="41"/>
  <c r="L74" i="41"/>
  <c r="M74" i="41"/>
  <c r="N74" i="41"/>
  <c r="D75" i="41"/>
  <c r="E75" i="41"/>
  <c r="F75" i="41"/>
  <c r="G75" i="41"/>
  <c r="H75" i="41"/>
  <c r="I75" i="41"/>
  <c r="J75" i="41"/>
  <c r="K75" i="41"/>
  <c r="L75" i="41"/>
  <c r="M75" i="41"/>
  <c r="N75" i="41"/>
  <c r="D76" i="41"/>
  <c r="E76" i="41"/>
  <c r="F76" i="41"/>
  <c r="G76" i="41"/>
  <c r="H76" i="41"/>
  <c r="I76" i="41"/>
  <c r="J76" i="41"/>
  <c r="K76" i="41"/>
  <c r="L76" i="41"/>
  <c r="M76" i="41"/>
  <c r="N76" i="41"/>
  <c r="D77" i="41"/>
  <c r="E77" i="41"/>
  <c r="F77" i="41"/>
  <c r="G77" i="41"/>
  <c r="H77" i="41"/>
  <c r="I77" i="41"/>
  <c r="J77" i="41"/>
  <c r="K77" i="41"/>
  <c r="L77" i="41"/>
  <c r="M77" i="41"/>
  <c r="N77" i="41"/>
  <c r="D78" i="41"/>
  <c r="E78" i="41"/>
  <c r="F78" i="41"/>
  <c r="G78" i="41"/>
  <c r="H78" i="41"/>
  <c r="I78" i="41"/>
  <c r="J78" i="41"/>
  <c r="K78" i="41"/>
  <c r="L78" i="41"/>
  <c r="M78" i="41"/>
  <c r="N78" i="41"/>
  <c r="D79" i="41"/>
  <c r="E79" i="41"/>
  <c r="F79" i="41"/>
  <c r="G79" i="41"/>
  <c r="H79" i="41"/>
  <c r="I79" i="41"/>
  <c r="J79" i="41"/>
  <c r="K79" i="41"/>
  <c r="L79" i="41"/>
  <c r="M79" i="41"/>
  <c r="N79" i="41"/>
  <c r="C78" i="41"/>
  <c r="C77" i="41"/>
  <c r="C76" i="41"/>
  <c r="C75" i="41"/>
  <c r="C74" i="41"/>
  <c r="C73" i="41"/>
  <c r="C72" i="41"/>
  <c r="C71" i="41"/>
  <c r="C70" i="41"/>
  <c r="C69" i="41"/>
  <c r="C68" i="41"/>
  <c r="C67" i="41"/>
  <c r="C66" i="41"/>
  <c r="C65" i="41"/>
  <c r="H54" i="38" l="1"/>
  <c r="L26" i="38"/>
  <c r="H26" i="38"/>
  <c r="B146" i="44"/>
  <c r="R27" i="38" l="1"/>
  <c r="W27" i="38"/>
  <c r="V27" i="38"/>
  <c r="U27" i="38"/>
  <c r="T27" i="38"/>
  <c r="S27" i="38"/>
  <c r="Q27" i="38"/>
  <c r="P27" i="38"/>
  <c r="O27" i="38"/>
  <c r="N27" i="38"/>
  <c r="M27" i="38"/>
  <c r="L27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B200" i="44"/>
  <c r="B199" i="44"/>
  <c r="B198" i="44"/>
  <c r="B197" i="44"/>
  <c r="B196" i="44"/>
  <c r="B195" i="44"/>
  <c r="B194" i="44"/>
  <c r="B193" i="44"/>
  <c r="B192" i="44"/>
  <c r="B191" i="44"/>
  <c r="B190" i="44"/>
  <c r="B189" i="44"/>
  <c r="B188" i="44"/>
  <c r="B187" i="44"/>
  <c r="B186" i="44"/>
  <c r="B185" i="44"/>
  <c r="B184" i="44"/>
  <c r="B183" i="44"/>
  <c r="B182" i="44"/>
  <c r="B181" i="44"/>
  <c r="B180" i="44"/>
  <c r="B179" i="44"/>
  <c r="B178" i="44"/>
  <c r="B177" i="44"/>
  <c r="B176" i="44"/>
  <c r="B175" i="44"/>
  <c r="B145" i="44"/>
  <c r="B144" i="44"/>
  <c r="B143" i="44"/>
  <c r="B142" i="44"/>
  <c r="B141" i="44"/>
  <c r="B140" i="44"/>
  <c r="O89" i="44"/>
  <c r="O200" i="44" s="1"/>
  <c r="N89" i="44"/>
  <c r="N200" i="44" s="1"/>
  <c r="M89" i="44"/>
  <c r="M200" i="44" s="1"/>
  <c r="L89" i="44"/>
  <c r="L200" i="44" s="1"/>
  <c r="K89" i="44"/>
  <c r="K200" i="44" s="1"/>
  <c r="J89" i="44"/>
  <c r="J200" i="44" s="1"/>
  <c r="I89" i="44"/>
  <c r="I200" i="44" s="1"/>
  <c r="H89" i="44"/>
  <c r="H200" i="44" s="1"/>
  <c r="G89" i="44"/>
  <c r="G200" i="44" s="1"/>
  <c r="F89" i="44"/>
  <c r="F200" i="44" s="1"/>
  <c r="E200" i="44"/>
  <c r="D200" i="44"/>
  <c r="P88" i="44"/>
  <c r="P146" i="44" s="1"/>
  <c r="P87" i="44"/>
  <c r="O86" i="44"/>
  <c r="O199" i="44" s="1"/>
  <c r="N86" i="44"/>
  <c r="N199" i="44" s="1"/>
  <c r="M86" i="44"/>
  <c r="M199" i="44" s="1"/>
  <c r="L86" i="44"/>
  <c r="L199" i="44" s="1"/>
  <c r="K86" i="44"/>
  <c r="K199" i="44" s="1"/>
  <c r="J86" i="44"/>
  <c r="J199" i="44" s="1"/>
  <c r="I86" i="44"/>
  <c r="I199" i="44" s="1"/>
  <c r="H86" i="44"/>
  <c r="H199" i="44" s="1"/>
  <c r="G86" i="44"/>
  <c r="G199" i="44" s="1"/>
  <c r="F86" i="44"/>
  <c r="F199" i="44" s="1"/>
  <c r="E199" i="44"/>
  <c r="D199" i="44"/>
  <c r="P85" i="44"/>
  <c r="P145" i="44" s="1"/>
  <c r="P84" i="44"/>
  <c r="O83" i="44"/>
  <c r="O198" i="44" s="1"/>
  <c r="N83" i="44"/>
  <c r="N198" i="44" s="1"/>
  <c r="M83" i="44"/>
  <c r="M198" i="44" s="1"/>
  <c r="L83" i="44"/>
  <c r="L198" i="44" s="1"/>
  <c r="K83" i="44"/>
  <c r="K198" i="44" s="1"/>
  <c r="J83" i="44"/>
  <c r="J198" i="44" s="1"/>
  <c r="I83" i="44"/>
  <c r="I198" i="44" s="1"/>
  <c r="H83" i="44"/>
  <c r="H198" i="44" s="1"/>
  <c r="G83" i="44"/>
  <c r="G198" i="44" s="1"/>
  <c r="F83" i="44"/>
  <c r="F198" i="44" s="1"/>
  <c r="E198" i="44"/>
  <c r="D198" i="44"/>
  <c r="P82" i="44"/>
  <c r="P144" i="44" s="1"/>
  <c r="P81" i="44"/>
  <c r="O80" i="44"/>
  <c r="O197" i="44" s="1"/>
  <c r="N80" i="44"/>
  <c r="N197" i="44" s="1"/>
  <c r="M80" i="44"/>
  <c r="M197" i="44" s="1"/>
  <c r="L80" i="44"/>
  <c r="L197" i="44" s="1"/>
  <c r="K80" i="44"/>
  <c r="K197" i="44" s="1"/>
  <c r="J80" i="44"/>
  <c r="J197" i="44" s="1"/>
  <c r="I80" i="44"/>
  <c r="I197" i="44" s="1"/>
  <c r="H80" i="44"/>
  <c r="H197" i="44" s="1"/>
  <c r="G80" i="44"/>
  <c r="G197" i="44" s="1"/>
  <c r="F80" i="44"/>
  <c r="F197" i="44" s="1"/>
  <c r="E197" i="44"/>
  <c r="D197" i="44"/>
  <c r="P79" i="44"/>
  <c r="P143" i="44" s="1"/>
  <c r="P78" i="44"/>
  <c r="O77" i="44"/>
  <c r="O196" i="44" s="1"/>
  <c r="N77" i="44"/>
  <c r="N196" i="44" s="1"/>
  <c r="M77" i="44"/>
  <c r="M196" i="44" s="1"/>
  <c r="L77" i="44"/>
  <c r="L196" i="44" s="1"/>
  <c r="K77" i="44"/>
  <c r="K196" i="44" s="1"/>
  <c r="J77" i="44"/>
  <c r="J196" i="44" s="1"/>
  <c r="I77" i="44"/>
  <c r="I196" i="44" s="1"/>
  <c r="H77" i="44"/>
  <c r="H196" i="44" s="1"/>
  <c r="G77" i="44"/>
  <c r="G196" i="44" s="1"/>
  <c r="F77" i="44"/>
  <c r="F196" i="44" s="1"/>
  <c r="E196" i="44"/>
  <c r="D196" i="44"/>
  <c r="P76" i="44"/>
  <c r="P142" i="44" s="1"/>
  <c r="P75" i="44"/>
  <c r="O74" i="44"/>
  <c r="O195" i="44" s="1"/>
  <c r="N195" i="44"/>
  <c r="M195" i="44"/>
  <c r="L195" i="44"/>
  <c r="K74" i="44"/>
  <c r="K195" i="44" s="1"/>
  <c r="J74" i="44"/>
  <c r="J195" i="44" s="1"/>
  <c r="I74" i="44"/>
  <c r="I195" i="44" s="1"/>
  <c r="H74" i="44"/>
  <c r="H195" i="44" s="1"/>
  <c r="G74" i="44"/>
  <c r="G195" i="44" s="1"/>
  <c r="F74" i="44"/>
  <c r="F195" i="44" s="1"/>
  <c r="E195" i="44"/>
  <c r="D195" i="44"/>
  <c r="P73" i="44"/>
  <c r="P141" i="44" s="1"/>
  <c r="P72" i="44"/>
  <c r="O71" i="44"/>
  <c r="O194" i="44" s="1"/>
  <c r="N71" i="44"/>
  <c r="N194" i="44" s="1"/>
  <c r="M71" i="44"/>
  <c r="M194" i="44" s="1"/>
  <c r="L71" i="44"/>
  <c r="L194" i="44" s="1"/>
  <c r="K71" i="44"/>
  <c r="K194" i="44" s="1"/>
  <c r="J71" i="44"/>
  <c r="J194" i="44" s="1"/>
  <c r="I71" i="44"/>
  <c r="I194" i="44" s="1"/>
  <c r="H71" i="44"/>
  <c r="H194" i="44" s="1"/>
  <c r="G71" i="44"/>
  <c r="G194" i="44" s="1"/>
  <c r="F71" i="44"/>
  <c r="F194" i="44" s="1"/>
  <c r="E194" i="44"/>
  <c r="D194" i="44"/>
  <c r="P70" i="44"/>
  <c r="P140" i="44" s="1"/>
  <c r="P69" i="44"/>
  <c r="B121" i="44"/>
  <c r="B122" i="44"/>
  <c r="B123" i="44"/>
  <c r="B124" i="44"/>
  <c r="B125" i="44"/>
  <c r="B126" i="44"/>
  <c r="B127" i="44"/>
  <c r="B128" i="44"/>
  <c r="B129" i="44"/>
  <c r="B130" i="44"/>
  <c r="B131" i="44"/>
  <c r="H93" i="38"/>
  <c r="H82" i="38"/>
  <c r="H77" i="38"/>
  <c r="H72" i="38"/>
  <c r="H65" i="38"/>
  <c r="L49" i="38"/>
  <c r="H49" i="38"/>
  <c r="H42" i="38"/>
  <c r="L37" i="38"/>
  <c r="H37" i="38"/>
  <c r="H31" i="38"/>
  <c r="H17" i="38"/>
  <c r="V18" i="38" l="1"/>
  <c r="U18" i="38"/>
  <c r="T18" i="38"/>
  <c r="S18" i="38"/>
  <c r="R18" i="38"/>
  <c r="Q18" i="38"/>
  <c r="P18" i="38"/>
  <c r="O18" i="38"/>
  <c r="N18" i="38"/>
  <c r="M18" i="38"/>
  <c r="W18" i="38"/>
  <c r="W32" i="38"/>
  <c r="V32" i="38"/>
  <c r="U32" i="38"/>
  <c r="T32" i="38"/>
  <c r="S32" i="38"/>
  <c r="R32" i="38"/>
  <c r="Q32" i="38"/>
  <c r="P32" i="38"/>
  <c r="O32" i="38"/>
  <c r="N32" i="38"/>
  <c r="M32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L43" i="38"/>
  <c r="W43" i="38"/>
  <c r="V43" i="38"/>
  <c r="U43" i="38"/>
  <c r="T43" i="38"/>
  <c r="S43" i="38"/>
  <c r="R43" i="38"/>
  <c r="Q43" i="38"/>
  <c r="P43" i="38"/>
  <c r="O43" i="38"/>
  <c r="N43" i="38"/>
  <c r="M43" i="38"/>
  <c r="W50" i="38"/>
  <c r="V50" i="38"/>
  <c r="U50" i="38"/>
  <c r="T50" i="38"/>
  <c r="S50" i="38"/>
  <c r="R50" i="38"/>
  <c r="Q50" i="38"/>
  <c r="P50" i="38"/>
  <c r="O50" i="38"/>
  <c r="N50" i="38"/>
  <c r="M50" i="38"/>
  <c r="L66" i="38"/>
  <c r="W66" i="38"/>
  <c r="V66" i="38"/>
  <c r="U66" i="38"/>
  <c r="T66" i="38"/>
  <c r="S66" i="38"/>
  <c r="R66" i="38"/>
  <c r="Q66" i="38"/>
  <c r="P66" i="38"/>
  <c r="O66" i="38"/>
  <c r="N66" i="38"/>
  <c r="M66" i="38"/>
  <c r="W73" i="38"/>
  <c r="V73" i="38"/>
  <c r="U73" i="38"/>
  <c r="T73" i="38"/>
  <c r="S73" i="38"/>
  <c r="R73" i="38"/>
  <c r="Q73" i="38"/>
  <c r="P73" i="38"/>
  <c r="O73" i="38"/>
  <c r="N73" i="38"/>
  <c r="M73" i="38"/>
  <c r="W78" i="38"/>
  <c r="V78" i="38"/>
  <c r="U78" i="38"/>
  <c r="T78" i="38"/>
  <c r="S78" i="38"/>
  <c r="R78" i="38"/>
  <c r="Q78" i="38"/>
  <c r="P78" i="38"/>
  <c r="O78" i="38"/>
  <c r="N78" i="38"/>
  <c r="M78" i="38"/>
  <c r="W83" i="38"/>
  <c r="V83" i="38"/>
  <c r="U83" i="38"/>
  <c r="T83" i="38"/>
  <c r="S83" i="38"/>
  <c r="R83" i="38"/>
  <c r="Q83" i="38"/>
  <c r="P83" i="38"/>
  <c r="O83" i="38"/>
  <c r="N83" i="38"/>
  <c r="M83" i="38"/>
  <c r="W94" i="38"/>
  <c r="V94" i="38"/>
  <c r="U94" i="38"/>
  <c r="T94" i="38"/>
  <c r="S94" i="38"/>
  <c r="R94" i="38"/>
  <c r="Q94" i="38"/>
  <c r="P94" i="38"/>
  <c r="O94" i="38"/>
  <c r="N94" i="38"/>
  <c r="M94" i="38"/>
  <c r="L18" i="38"/>
  <c r="L73" i="38"/>
  <c r="L32" i="38"/>
  <c r="L50" i="38"/>
  <c r="P89" i="44"/>
  <c r="P200" i="44" s="1"/>
  <c r="P77" i="44"/>
  <c r="P196" i="44" s="1"/>
  <c r="P80" i="44"/>
  <c r="P197" i="44" s="1"/>
  <c r="P83" i="44"/>
  <c r="P198" i="44" s="1"/>
  <c r="P86" i="44"/>
  <c r="P199" i="44" s="1"/>
  <c r="P74" i="44"/>
  <c r="P195" i="44" s="1"/>
  <c r="P71" i="44"/>
  <c r="P194" i="44" s="1"/>
  <c r="E35" i="32" l="1"/>
  <c r="B139" i="44"/>
  <c r="B138" i="44"/>
  <c r="B137" i="44"/>
  <c r="B136" i="44"/>
  <c r="B135" i="44"/>
  <c r="B134" i="44"/>
  <c r="B133" i="44"/>
  <c r="B132" i="44"/>
  <c r="O68" i="44"/>
  <c r="O193" i="44" s="1"/>
  <c r="N68" i="44"/>
  <c r="N193" i="44" s="1"/>
  <c r="M68" i="44"/>
  <c r="M193" i="44" s="1"/>
  <c r="L68" i="44"/>
  <c r="L193" i="44" s="1"/>
  <c r="K68" i="44"/>
  <c r="K193" i="44" s="1"/>
  <c r="J68" i="44"/>
  <c r="J193" i="44" s="1"/>
  <c r="I68" i="44"/>
  <c r="I193" i="44" s="1"/>
  <c r="H68" i="44"/>
  <c r="H193" i="44" s="1"/>
  <c r="G68" i="44"/>
  <c r="G193" i="44" s="1"/>
  <c r="F68" i="44"/>
  <c r="F193" i="44" s="1"/>
  <c r="E193" i="44"/>
  <c r="D193" i="44"/>
  <c r="P67" i="44"/>
  <c r="P139" i="44" s="1"/>
  <c r="P66" i="44"/>
  <c r="O65" i="44"/>
  <c r="O192" i="44" s="1"/>
  <c r="N65" i="44"/>
  <c r="N192" i="44" s="1"/>
  <c r="M65" i="44"/>
  <c r="M192" i="44" s="1"/>
  <c r="L65" i="44"/>
  <c r="L192" i="44" s="1"/>
  <c r="K65" i="44"/>
  <c r="K192" i="44" s="1"/>
  <c r="J65" i="44"/>
  <c r="J192" i="44" s="1"/>
  <c r="I65" i="44"/>
  <c r="I192" i="44" s="1"/>
  <c r="H65" i="44"/>
  <c r="H192" i="44" s="1"/>
  <c r="G192" i="44"/>
  <c r="F65" i="44"/>
  <c r="F192" i="44" s="1"/>
  <c r="E192" i="44"/>
  <c r="D192" i="44"/>
  <c r="P64" i="44"/>
  <c r="P138" i="44" s="1"/>
  <c r="P63" i="44"/>
  <c r="O62" i="44"/>
  <c r="O191" i="44" s="1"/>
  <c r="N62" i="44"/>
  <c r="N191" i="44" s="1"/>
  <c r="M62" i="44"/>
  <c r="M191" i="44" s="1"/>
  <c r="L62" i="44"/>
  <c r="L191" i="44" s="1"/>
  <c r="K62" i="44"/>
  <c r="K191" i="44" s="1"/>
  <c r="J62" i="44"/>
  <c r="J191" i="44" s="1"/>
  <c r="I62" i="44"/>
  <c r="I191" i="44" s="1"/>
  <c r="H62" i="44"/>
  <c r="H191" i="44" s="1"/>
  <c r="G62" i="44"/>
  <c r="G191" i="44" s="1"/>
  <c r="F62" i="44"/>
  <c r="F191" i="44" s="1"/>
  <c r="E191" i="44"/>
  <c r="D191" i="44"/>
  <c r="P61" i="44"/>
  <c r="P137" i="44" s="1"/>
  <c r="P60" i="44"/>
  <c r="O59" i="44"/>
  <c r="O190" i="44" s="1"/>
  <c r="N59" i="44"/>
  <c r="N190" i="44" s="1"/>
  <c r="M59" i="44"/>
  <c r="M190" i="44" s="1"/>
  <c r="L59" i="44"/>
  <c r="L190" i="44" s="1"/>
  <c r="K59" i="44"/>
  <c r="K190" i="44" s="1"/>
  <c r="J59" i="44"/>
  <c r="J190" i="44" s="1"/>
  <c r="I59" i="44"/>
  <c r="I190" i="44" s="1"/>
  <c r="H59" i="44"/>
  <c r="H190" i="44" s="1"/>
  <c r="G59" i="44"/>
  <c r="G190" i="44" s="1"/>
  <c r="F59" i="44"/>
  <c r="F190" i="44" s="1"/>
  <c r="E190" i="44"/>
  <c r="D190" i="44"/>
  <c r="P58" i="44"/>
  <c r="P136" i="44" s="1"/>
  <c r="P57" i="44"/>
  <c r="O56" i="44"/>
  <c r="O189" i="44" s="1"/>
  <c r="N56" i="44"/>
  <c r="N189" i="44" s="1"/>
  <c r="M56" i="44"/>
  <c r="M189" i="44" s="1"/>
  <c r="L56" i="44"/>
  <c r="L189" i="44" s="1"/>
  <c r="K56" i="44"/>
  <c r="K189" i="44" s="1"/>
  <c r="J56" i="44"/>
  <c r="J189" i="44" s="1"/>
  <c r="I56" i="44"/>
  <c r="I189" i="44" s="1"/>
  <c r="H56" i="44"/>
  <c r="H189" i="44" s="1"/>
  <c r="G56" i="44"/>
  <c r="G189" i="44" s="1"/>
  <c r="F56" i="44"/>
  <c r="F189" i="44" s="1"/>
  <c r="E189" i="44"/>
  <c r="D189" i="44"/>
  <c r="P55" i="44"/>
  <c r="P135" i="44" s="1"/>
  <c r="P54" i="44"/>
  <c r="O53" i="44"/>
  <c r="O188" i="44" s="1"/>
  <c r="N53" i="44"/>
  <c r="N188" i="44" s="1"/>
  <c r="M53" i="44"/>
  <c r="M188" i="44" s="1"/>
  <c r="L53" i="44"/>
  <c r="L188" i="44" s="1"/>
  <c r="K53" i="44"/>
  <c r="K188" i="44" s="1"/>
  <c r="J53" i="44"/>
  <c r="J188" i="44" s="1"/>
  <c r="I53" i="44"/>
  <c r="I188" i="44" s="1"/>
  <c r="H53" i="44"/>
  <c r="H188" i="44" s="1"/>
  <c r="G53" i="44"/>
  <c r="G188" i="44" s="1"/>
  <c r="F53" i="44"/>
  <c r="F188" i="44" s="1"/>
  <c r="E188" i="44"/>
  <c r="D188" i="44"/>
  <c r="P52" i="44"/>
  <c r="P134" i="44" s="1"/>
  <c r="P51" i="44"/>
  <c r="O50" i="44"/>
  <c r="O187" i="44" s="1"/>
  <c r="N50" i="44"/>
  <c r="N187" i="44" s="1"/>
  <c r="M50" i="44"/>
  <c r="M187" i="44" s="1"/>
  <c r="L50" i="44"/>
  <c r="L187" i="44" s="1"/>
  <c r="K50" i="44"/>
  <c r="K187" i="44" s="1"/>
  <c r="J50" i="44"/>
  <c r="J187" i="44" s="1"/>
  <c r="I50" i="44"/>
  <c r="I187" i="44" s="1"/>
  <c r="H50" i="44"/>
  <c r="H187" i="44" s="1"/>
  <c r="G50" i="44"/>
  <c r="G187" i="44" s="1"/>
  <c r="F50" i="44"/>
  <c r="F187" i="44" s="1"/>
  <c r="E187" i="44"/>
  <c r="D187" i="44"/>
  <c r="P49" i="44"/>
  <c r="P133" i="44" s="1"/>
  <c r="P48" i="44"/>
  <c r="O47" i="44"/>
  <c r="O186" i="44" s="1"/>
  <c r="N47" i="44"/>
  <c r="N186" i="44" s="1"/>
  <c r="M47" i="44"/>
  <c r="M186" i="44" s="1"/>
  <c r="L47" i="44"/>
  <c r="L186" i="44" s="1"/>
  <c r="K47" i="44"/>
  <c r="K186" i="44" s="1"/>
  <c r="J47" i="44"/>
  <c r="J186" i="44" s="1"/>
  <c r="I47" i="44"/>
  <c r="I186" i="44" s="1"/>
  <c r="H47" i="44"/>
  <c r="H186" i="44" s="1"/>
  <c r="G47" i="44"/>
  <c r="G186" i="44" s="1"/>
  <c r="F47" i="44"/>
  <c r="F186" i="44" s="1"/>
  <c r="E186" i="44"/>
  <c r="D186" i="44"/>
  <c r="P46" i="44"/>
  <c r="P132" i="44" s="1"/>
  <c r="P45" i="44"/>
  <c r="O44" i="44"/>
  <c r="O185" i="44" s="1"/>
  <c r="N44" i="44"/>
  <c r="N185" i="44" s="1"/>
  <c r="M44" i="44"/>
  <c r="M185" i="44" s="1"/>
  <c r="L44" i="44"/>
  <c r="L185" i="44" s="1"/>
  <c r="K44" i="44"/>
  <c r="K185" i="44" s="1"/>
  <c r="J44" i="44"/>
  <c r="J185" i="44" s="1"/>
  <c r="I44" i="44"/>
  <c r="I185" i="44" s="1"/>
  <c r="H44" i="44"/>
  <c r="H185" i="44" s="1"/>
  <c r="G44" i="44"/>
  <c r="G185" i="44" s="1"/>
  <c r="F44" i="44"/>
  <c r="F185" i="44" s="1"/>
  <c r="E185" i="44"/>
  <c r="D185" i="44"/>
  <c r="P43" i="44"/>
  <c r="P131" i="44" s="1"/>
  <c r="P42" i="44"/>
  <c r="O41" i="44"/>
  <c r="O184" i="44" s="1"/>
  <c r="N41" i="44"/>
  <c r="N184" i="44" s="1"/>
  <c r="M41" i="44"/>
  <c r="M184" i="44" s="1"/>
  <c r="L41" i="44"/>
  <c r="L184" i="44" s="1"/>
  <c r="K41" i="44"/>
  <c r="K184" i="44" s="1"/>
  <c r="J41" i="44"/>
  <c r="J184" i="44" s="1"/>
  <c r="I41" i="44"/>
  <c r="I184" i="44" s="1"/>
  <c r="H41" i="44"/>
  <c r="H184" i="44" s="1"/>
  <c r="G41" i="44"/>
  <c r="G184" i="44" s="1"/>
  <c r="F41" i="44"/>
  <c r="F184" i="44" s="1"/>
  <c r="E184" i="44"/>
  <c r="D184" i="44"/>
  <c r="P40" i="44"/>
  <c r="P130" i="44" s="1"/>
  <c r="P39" i="44"/>
  <c r="O38" i="44"/>
  <c r="O183" i="44" s="1"/>
  <c r="N38" i="44"/>
  <c r="N183" i="44" s="1"/>
  <c r="M38" i="44"/>
  <c r="M183" i="44" s="1"/>
  <c r="L38" i="44"/>
  <c r="L183" i="44" s="1"/>
  <c r="K38" i="44"/>
  <c r="K183" i="44" s="1"/>
  <c r="J38" i="44"/>
  <c r="J183" i="44" s="1"/>
  <c r="I38" i="44"/>
  <c r="I183" i="44" s="1"/>
  <c r="H183" i="44"/>
  <c r="G183" i="44"/>
  <c r="F183" i="44"/>
  <c r="E183" i="44"/>
  <c r="D183" i="44"/>
  <c r="P37" i="44"/>
  <c r="P129" i="44" s="1"/>
  <c r="P36" i="44"/>
  <c r="O35" i="44"/>
  <c r="O182" i="44" s="1"/>
  <c r="N35" i="44"/>
  <c r="N182" i="44" s="1"/>
  <c r="M35" i="44"/>
  <c r="M182" i="44" s="1"/>
  <c r="L35" i="44"/>
  <c r="L182" i="44" s="1"/>
  <c r="K35" i="44"/>
  <c r="K182" i="44" s="1"/>
  <c r="J35" i="44"/>
  <c r="J182" i="44" s="1"/>
  <c r="I35" i="44"/>
  <c r="I182" i="44" s="1"/>
  <c r="H35" i="44"/>
  <c r="H182" i="44" s="1"/>
  <c r="G35" i="44"/>
  <c r="G182" i="44" s="1"/>
  <c r="F35" i="44"/>
  <c r="F182" i="44" s="1"/>
  <c r="E182" i="44"/>
  <c r="D182" i="44"/>
  <c r="P34" i="44"/>
  <c r="P128" i="44" s="1"/>
  <c r="P33" i="44"/>
  <c r="O32" i="44"/>
  <c r="O181" i="44" s="1"/>
  <c r="N32" i="44"/>
  <c r="N181" i="44" s="1"/>
  <c r="M32" i="44"/>
  <c r="M181" i="44" s="1"/>
  <c r="L32" i="44"/>
  <c r="L181" i="44" s="1"/>
  <c r="K32" i="44"/>
  <c r="K181" i="44" s="1"/>
  <c r="J32" i="44"/>
  <c r="J181" i="44" s="1"/>
  <c r="I32" i="44"/>
  <c r="I181" i="44" s="1"/>
  <c r="H32" i="44"/>
  <c r="H181" i="44" s="1"/>
  <c r="G32" i="44"/>
  <c r="G181" i="44" s="1"/>
  <c r="F32" i="44"/>
  <c r="F181" i="44" s="1"/>
  <c r="E181" i="44"/>
  <c r="D181" i="44"/>
  <c r="P31" i="44"/>
  <c r="P127" i="44" s="1"/>
  <c r="P30" i="44"/>
  <c r="O29" i="44"/>
  <c r="O180" i="44" s="1"/>
  <c r="N29" i="44"/>
  <c r="N180" i="44" s="1"/>
  <c r="M29" i="44"/>
  <c r="M180" i="44" s="1"/>
  <c r="L29" i="44"/>
  <c r="L180" i="44" s="1"/>
  <c r="K29" i="44"/>
  <c r="K180" i="44" s="1"/>
  <c r="J29" i="44"/>
  <c r="J180" i="44" s="1"/>
  <c r="I29" i="44"/>
  <c r="I180" i="44" s="1"/>
  <c r="H29" i="44"/>
  <c r="H180" i="44" s="1"/>
  <c r="G29" i="44"/>
  <c r="G180" i="44" s="1"/>
  <c r="F29" i="44"/>
  <c r="F180" i="44" s="1"/>
  <c r="E180" i="44"/>
  <c r="D180" i="44"/>
  <c r="P28" i="44"/>
  <c r="P126" i="44" s="1"/>
  <c r="P27" i="44"/>
  <c r="O26" i="44"/>
  <c r="O179" i="44" s="1"/>
  <c r="N26" i="44"/>
  <c r="N179" i="44" s="1"/>
  <c r="M26" i="44"/>
  <c r="M179" i="44" s="1"/>
  <c r="L26" i="44"/>
  <c r="L179" i="44" s="1"/>
  <c r="K26" i="44"/>
  <c r="K179" i="44" s="1"/>
  <c r="J26" i="44"/>
  <c r="J179" i="44" s="1"/>
  <c r="I26" i="44"/>
  <c r="I179" i="44" s="1"/>
  <c r="H26" i="44"/>
  <c r="H179" i="44" s="1"/>
  <c r="G26" i="44"/>
  <c r="G179" i="44" s="1"/>
  <c r="F26" i="44"/>
  <c r="F179" i="44" s="1"/>
  <c r="E179" i="44"/>
  <c r="D179" i="44"/>
  <c r="P25" i="44"/>
  <c r="P125" i="44" s="1"/>
  <c r="P24" i="44"/>
  <c r="O23" i="44"/>
  <c r="O178" i="44" s="1"/>
  <c r="N23" i="44"/>
  <c r="N178" i="44" s="1"/>
  <c r="M23" i="44"/>
  <c r="M178" i="44" s="1"/>
  <c r="L23" i="44"/>
  <c r="L178" i="44" s="1"/>
  <c r="K23" i="44"/>
  <c r="K178" i="44" s="1"/>
  <c r="J23" i="44"/>
  <c r="J178" i="44" s="1"/>
  <c r="I23" i="44"/>
  <c r="I178" i="44" s="1"/>
  <c r="H23" i="44"/>
  <c r="H178" i="44" s="1"/>
  <c r="G23" i="44"/>
  <c r="G178" i="44" s="1"/>
  <c r="F23" i="44"/>
  <c r="F178" i="44" s="1"/>
  <c r="E178" i="44"/>
  <c r="D178" i="44"/>
  <c r="P22" i="44"/>
  <c r="P124" i="44" s="1"/>
  <c r="P21" i="44"/>
  <c r="O20" i="44"/>
  <c r="O177" i="44" s="1"/>
  <c r="N20" i="44"/>
  <c r="N177" i="44" s="1"/>
  <c r="M20" i="44"/>
  <c r="M177" i="44" s="1"/>
  <c r="L20" i="44"/>
  <c r="L177" i="44" s="1"/>
  <c r="K20" i="44"/>
  <c r="K177" i="44" s="1"/>
  <c r="J20" i="44"/>
  <c r="J177" i="44" s="1"/>
  <c r="I20" i="44"/>
  <c r="I177" i="44" s="1"/>
  <c r="H20" i="44"/>
  <c r="H177" i="44" s="1"/>
  <c r="G20" i="44"/>
  <c r="G177" i="44" s="1"/>
  <c r="F177" i="44"/>
  <c r="E177" i="44"/>
  <c r="D177" i="44"/>
  <c r="P19" i="44"/>
  <c r="P123" i="44" s="1"/>
  <c r="P18" i="44"/>
  <c r="O17" i="44"/>
  <c r="O176" i="44" s="1"/>
  <c r="N17" i="44"/>
  <c r="N176" i="44" s="1"/>
  <c r="M17" i="44"/>
  <c r="M176" i="44" s="1"/>
  <c r="L17" i="44"/>
  <c r="L176" i="44" s="1"/>
  <c r="K17" i="44"/>
  <c r="K176" i="44" s="1"/>
  <c r="J17" i="44"/>
  <c r="J176" i="44" s="1"/>
  <c r="I17" i="44"/>
  <c r="I176" i="44" s="1"/>
  <c r="H17" i="44"/>
  <c r="H176" i="44" s="1"/>
  <c r="G17" i="44"/>
  <c r="G176" i="44" s="1"/>
  <c r="F17" i="44"/>
  <c r="F176" i="44" s="1"/>
  <c r="E176" i="44"/>
  <c r="D176" i="44"/>
  <c r="P16" i="44"/>
  <c r="P122" i="44" s="1"/>
  <c r="P15" i="44"/>
  <c r="O14" i="44"/>
  <c r="O175" i="44" s="1"/>
  <c r="N14" i="44"/>
  <c r="N175" i="44" s="1"/>
  <c r="M14" i="44"/>
  <c r="M175" i="44" s="1"/>
  <c r="L14" i="44"/>
  <c r="L175" i="44" s="1"/>
  <c r="K14" i="44"/>
  <c r="K175" i="44" s="1"/>
  <c r="J14" i="44"/>
  <c r="J175" i="44" s="1"/>
  <c r="I14" i="44"/>
  <c r="I175" i="44" s="1"/>
  <c r="H14" i="44"/>
  <c r="H175" i="44" s="1"/>
  <c r="G14" i="44"/>
  <c r="G175" i="44" s="1"/>
  <c r="F14" i="44"/>
  <c r="F175" i="44" s="1"/>
  <c r="E175" i="44"/>
  <c r="D175" i="44"/>
  <c r="P13" i="44"/>
  <c r="P121" i="44" s="1"/>
  <c r="P12" i="44"/>
  <c r="M11" i="44"/>
  <c r="K11" i="44"/>
  <c r="I11" i="44"/>
  <c r="G11" i="44"/>
  <c r="P35" i="32" l="1"/>
  <c r="G35" i="32"/>
  <c r="J35" i="32"/>
  <c r="Q35" i="32"/>
  <c r="F35" i="32"/>
  <c r="H35" i="32"/>
  <c r="E163" i="32"/>
  <c r="I35" i="32"/>
  <c r="K35" i="32"/>
  <c r="L35" i="32"/>
  <c r="O35" i="32"/>
  <c r="M35" i="32"/>
  <c r="N35" i="32"/>
  <c r="E11" i="44"/>
  <c r="P17" i="44"/>
  <c r="P176" i="44" s="1"/>
  <c r="P23" i="44"/>
  <c r="P178" i="44" s="1"/>
  <c r="P29" i="44"/>
  <c r="P180" i="44" s="1"/>
  <c r="P35" i="44"/>
  <c r="P182" i="44" s="1"/>
  <c r="P41" i="44"/>
  <c r="P184" i="44" s="1"/>
  <c r="P47" i="44"/>
  <c r="P186" i="44" s="1"/>
  <c r="P53" i="44"/>
  <c r="P188" i="44" s="1"/>
  <c r="D11" i="44"/>
  <c r="F11" i="44"/>
  <c r="H11" i="44"/>
  <c r="J11" i="44"/>
  <c r="L11" i="44"/>
  <c r="N11" i="44"/>
  <c r="P14" i="44"/>
  <c r="P175" i="44" s="1"/>
  <c r="P20" i="44"/>
  <c r="P177" i="44" s="1"/>
  <c r="P26" i="44"/>
  <c r="P179" i="44" s="1"/>
  <c r="P32" i="44"/>
  <c r="P181" i="44" s="1"/>
  <c r="P38" i="44"/>
  <c r="P183" i="44" s="1"/>
  <c r="P44" i="44"/>
  <c r="P185" i="44" s="1"/>
  <c r="P50" i="44"/>
  <c r="P187" i="44" s="1"/>
  <c r="P56" i="44"/>
  <c r="P189" i="44" s="1"/>
  <c r="P59" i="44"/>
  <c r="P190" i="44" s="1"/>
  <c r="P65" i="44"/>
  <c r="P192" i="44" s="1"/>
  <c r="P62" i="44"/>
  <c r="P191" i="44" s="1"/>
  <c r="P68" i="44"/>
  <c r="P193" i="44" s="1"/>
  <c r="H163" i="32" l="1"/>
  <c r="L163" i="32"/>
  <c r="G163" i="32"/>
  <c r="N163" i="32"/>
  <c r="O163" i="32"/>
  <c r="K163" i="32"/>
  <c r="P163" i="32"/>
  <c r="M163" i="32"/>
  <c r="J163" i="32"/>
  <c r="I163" i="32"/>
  <c r="F163" i="32"/>
  <c r="Q163" i="32"/>
  <c r="P11" i="44"/>
  <c r="O12" i="41" l="1"/>
  <c r="N56" i="41"/>
  <c r="N114" i="41" s="1"/>
  <c r="M56" i="41"/>
  <c r="M114" i="41" s="1"/>
  <c r="L56" i="41"/>
  <c r="L114" i="41" s="1"/>
  <c r="K56" i="41"/>
  <c r="K114" i="41" s="1"/>
  <c r="J56" i="41"/>
  <c r="J114" i="41" s="1"/>
  <c r="I56" i="41"/>
  <c r="I114" i="41" s="1"/>
  <c r="H56" i="41"/>
  <c r="H114" i="41" s="1"/>
  <c r="G56" i="41"/>
  <c r="G114" i="41" s="1"/>
  <c r="F56" i="41"/>
  <c r="F114" i="41" s="1"/>
  <c r="E56" i="41"/>
  <c r="E114" i="41" s="1"/>
  <c r="D114" i="41"/>
  <c r="C114" i="41"/>
  <c r="O55" i="41"/>
  <c r="O79" i="41" s="1"/>
  <c r="O54" i="41"/>
  <c r="N53" i="41"/>
  <c r="N113" i="41" s="1"/>
  <c r="M53" i="41"/>
  <c r="M113" i="41" s="1"/>
  <c r="L53" i="41"/>
  <c r="L113" i="41" s="1"/>
  <c r="K53" i="41"/>
  <c r="K113" i="41" s="1"/>
  <c r="J53" i="41"/>
  <c r="J113" i="41" s="1"/>
  <c r="I53" i="41"/>
  <c r="I113" i="41" s="1"/>
  <c r="H53" i="41"/>
  <c r="H113" i="41" s="1"/>
  <c r="G53" i="41"/>
  <c r="G113" i="41" s="1"/>
  <c r="F53" i="41"/>
  <c r="F113" i="41" s="1"/>
  <c r="E53" i="41"/>
  <c r="E113" i="41" s="1"/>
  <c r="D113" i="41"/>
  <c r="C113" i="41"/>
  <c r="O52" i="41"/>
  <c r="O78" i="41" s="1"/>
  <c r="O51" i="41"/>
  <c r="N50" i="41"/>
  <c r="N112" i="41" s="1"/>
  <c r="M50" i="41"/>
  <c r="M112" i="41" s="1"/>
  <c r="L50" i="41"/>
  <c r="L112" i="41" s="1"/>
  <c r="K50" i="41"/>
  <c r="K112" i="41" s="1"/>
  <c r="J50" i="41"/>
  <c r="J112" i="41" s="1"/>
  <c r="I50" i="41"/>
  <c r="I112" i="41" s="1"/>
  <c r="H50" i="41"/>
  <c r="H112" i="41" s="1"/>
  <c r="G50" i="41"/>
  <c r="G112" i="41" s="1"/>
  <c r="F50" i="41"/>
  <c r="F112" i="41" s="1"/>
  <c r="E50" i="41"/>
  <c r="E112" i="41" s="1"/>
  <c r="D112" i="41"/>
  <c r="C112" i="41"/>
  <c r="O49" i="41"/>
  <c r="O77" i="41" s="1"/>
  <c r="O48" i="41"/>
  <c r="N47" i="41"/>
  <c r="N111" i="41" s="1"/>
  <c r="M47" i="41"/>
  <c r="M111" i="41" s="1"/>
  <c r="L47" i="41"/>
  <c r="L111" i="41" s="1"/>
  <c r="K47" i="41"/>
  <c r="K111" i="41" s="1"/>
  <c r="J47" i="41"/>
  <c r="J111" i="41" s="1"/>
  <c r="I47" i="41"/>
  <c r="I111" i="41" s="1"/>
  <c r="H47" i="41"/>
  <c r="H111" i="41" s="1"/>
  <c r="G47" i="41"/>
  <c r="G111" i="41" s="1"/>
  <c r="F47" i="41"/>
  <c r="F111" i="41" s="1"/>
  <c r="E47" i="41"/>
  <c r="E111" i="41" s="1"/>
  <c r="D111" i="41"/>
  <c r="C111" i="41"/>
  <c r="O46" i="41"/>
  <c r="O76" i="41" s="1"/>
  <c r="O45" i="41"/>
  <c r="N44" i="41"/>
  <c r="N110" i="41" s="1"/>
  <c r="M44" i="41"/>
  <c r="M110" i="41" s="1"/>
  <c r="L44" i="41"/>
  <c r="L110" i="41" s="1"/>
  <c r="K44" i="41"/>
  <c r="K110" i="41" s="1"/>
  <c r="J44" i="41"/>
  <c r="J110" i="41" s="1"/>
  <c r="I44" i="41"/>
  <c r="I110" i="41" s="1"/>
  <c r="H44" i="41"/>
  <c r="H110" i="41" s="1"/>
  <c r="G44" i="41"/>
  <c r="G110" i="41" s="1"/>
  <c r="F44" i="41"/>
  <c r="F110" i="41" s="1"/>
  <c r="E44" i="41"/>
  <c r="E110" i="41" s="1"/>
  <c r="D110" i="41"/>
  <c r="C110" i="41"/>
  <c r="O43" i="41"/>
  <c r="O75" i="41" s="1"/>
  <c r="O42" i="41"/>
  <c r="N41" i="41"/>
  <c r="N109" i="41" s="1"/>
  <c r="M41" i="41"/>
  <c r="M109" i="41" s="1"/>
  <c r="L41" i="41"/>
  <c r="L109" i="41" s="1"/>
  <c r="K41" i="41"/>
  <c r="K109" i="41" s="1"/>
  <c r="J41" i="41"/>
  <c r="J109" i="41" s="1"/>
  <c r="I41" i="41"/>
  <c r="I109" i="41" s="1"/>
  <c r="H41" i="41"/>
  <c r="H109" i="41" s="1"/>
  <c r="G41" i="41"/>
  <c r="G109" i="41" s="1"/>
  <c r="F41" i="41"/>
  <c r="F109" i="41" s="1"/>
  <c r="E41" i="41"/>
  <c r="E109" i="41" s="1"/>
  <c r="D109" i="41"/>
  <c r="C109" i="41"/>
  <c r="O40" i="41"/>
  <c r="O74" i="41" s="1"/>
  <c r="O39" i="41"/>
  <c r="N38" i="41"/>
  <c r="N108" i="41" s="1"/>
  <c r="M38" i="41"/>
  <c r="M108" i="41" s="1"/>
  <c r="L38" i="41"/>
  <c r="L108" i="41" s="1"/>
  <c r="K38" i="41"/>
  <c r="K108" i="41" s="1"/>
  <c r="J38" i="41"/>
  <c r="J108" i="41" s="1"/>
  <c r="I38" i="41"/>
  <c r="I108" i="41" s="1"/>
  <c r="H38" i="41"/>
  <c r="H108" i="41" s="1"/>
  <c r="G38" i="41"/>
  <c r="G108" i="41" s="1"/>
  <c r="F38" i="41"/>
  <c r="F108" i="41" s="1"/>
  <c r="E38" i="41"/>
  <c r="E108" i="41" s="1"/>
  <c r="D108" i="41"/>
  <c r="C108" i="41"/>
  <c r="O37" i="41"/>
  <c r="O73" i="41" s="1"/>
  <c r="O36" i="41"/>
  <c r="N35" i="41"/>
  <c r="N107" i="41" s="1"/>
  <c r="M35" i="41"/>
  <c r="M107" i="41" s="1"/>
  <c r="L35" i="41"/>
  <c r="L107" i="41" s="1"/>
  <c r="K35" i="41"/>
  <c r="K107" i="41" s="1"/>
  <c r="J35" i="41"/>
  <c r="J107" i="41" s="1"/>
  <c r="I35" i="41"/>
  <c r="I107" i="41" s="1"/>
  <c r="H35" i="41"/>
  <c r="H107" i="41" s="1"/>
  <c r="G35" i="41"/>
  <c r="G107" i="41" s="1"/>
  <c r="F35" i="41"/>
  <c r="F107" i="41" s="1"/>
  <c r="E35" i="41"/>
  <c r="E107" i="41" s="1"/>
  <c r="D107" i="41"/>
  <c r="C107" i="41"/>
  <c r="O34" i="41"/>
  <c r="O72" i="41" s="1"/>
  <c r="O33" i="41"/>
  <c r="N32" i="41"/>
  <c r="N106" i="41" s="1"/>
  <c r="M32" i="41"/>
  <c r="M106" i="41" s="1"/>
  <c r="L32" i="41"/>
  <c r="L106" i="41" s="1"/>
  <c r="K32" i="41"/>
  <c r="K106" i="41" s="1"/>
  <c r="J32" i="41"/>
  <c r="J106" i="41" s="1"/>
  <c r="I32" i="41"/>
  <c r="I106" i="41" s="1"/>
  <c r="H32" i="41"/>
  <c r="H106" i="41" s="1"/>
  <c r="G32" i="41"/>
  <c r="G106" i="41" s="1"/>
  <c r="F32" i="41"/>
  <c r="F106" i="41" s="1"/>
  <c r="E32" i="41"/>
  <c r="E106" i="41" s="1"/>
  <c r="D106" i="41"/>
  <c r="C106" i="41"/>
  <c r="O31" i="41"/>
  <c r="O71" i="41" s="1"/>
  <c r="O30" i="41"/>
  <c r="N29" i="41"/>
  <c r="N105" i="41" s="1"/>
  <c r="M29" i="41"/>
  <c r="M105" i="41" s="1"/>
  <c r="L29" i="41"/>
  <c r="L105" i="41" s="1"/>
  <c r="K29" i="41"/>
  <c r="K105" i="41" s="1"/>
  <c r="J29" i="41"/>
  <c r="J105" i="41" s="1"/>
  <c r="I29" i="41"/>
  <c r="I105" i="41" s="1"/>
  <c r="H29" i="41"/>
  <c r="H105" i="41" s="1"/>
  <c r="G29" i="41"/>
  <c r="G105" i="41" s="1"/>
  <c r="F29" i="41"/>
  <c r="F105" i="41" s="1"/>
  <c r="E29" i="41"/>
  <c r="E105" i="41" s="1"/>
  <c r="D105" i="41"/>
  <c r="C105" i="41"/>
  <c r="O28" i="41"/>
  <c r="O70" i="41" s="1"/>
  <c r="O27" i="41"/>
  <c r="N26" i="41"/>
  <c r="N104" i="41" s="1"/>
  <c r="M26" i="41"/>
  <c r="M104" i="41" s="1"/>
  <c r="L26" i="41"/>
  <c r="L104" i="41" s="1"/>
  <c r="K26" i="41"/>
  <c r="K104" i="41" s="1"/>
  <c r="J26" i="41"/>
  <c r="J104" i="41" s="1"/>
  <c r="I26" i="41"/>
  <c r="I104" i="41" s="1"/>
  <c r="H26" i="41"/>
  <c r="H104" i="41" s="1"/>
  <c r="G26" i="41"/>
  <c r="G104" i="41" s="1"/>
  <c r="F26" i="41"/>
  <c r="F104" i="41" s="1"/>
  <c r="E26" i="41"/>
  <c r="E104" i="41" s="1"/>
  <c r="D104" i="41"/>
  <c r="C104" i="41"/>
  <c r="O25" i="41"/>
  <c r="O69" i="41" s="1"/>
  <c r="O24" i="41"/>
  <c r="N23" i="41"/>
  <c r="N103" i="41" s="1"/>
  <c r="M23" i="41"/>
  <c r="M103" i="41" s="1"/>
  <c r="L23" i="41"/>
  <c r="L103" i="41" s="1"/>
  <c r="K23" i="41"/>
  <c r="K103" i="41" s="1"/>
  <c r="J23" i="41"/>
  <c r="J103" i="41" s="1"/>
  <c r="I23" i="41"/>
  <c r="I103" i="41" s="1"/>
  <c r="H23" i="41"/>
  <c r="H103" i="41" s="1"/>
  <c r="G23" i="41"/>
  <c r="G103" i="41" s="1"/>
  <c r="F23" i="41"/>
  <c r="F103" i="41" s="1"/>
  <c r="E23" i="41"/>
  <c r="E103" i="41" s="1"/>
  <c r="D103" i="41"/>
  <c r="C103" i="41"/>
  <c r="O22" i="41"/>
  <c r="O68" i="41" s="1"/>
  <c r="O21" i="41"/>
  <c r="N20" i="41"/>
  <c r="N102" i="41" s="1"/>
  <c r="M20" i="41"/>
  <c r="M102" i="41" s="1"/>
  <c r="L20" i="41"/>
  <c r="L102" i="41" s="1"/>
  <c r="K20" i="41"/>
  <c r="K102" i="41" s="1"/>
  <c r="J20" i="41"/>
  <c r="J102" i="41" s="1"/>
  <c r="I20" i="41"/>
  <c r="I102" i="41" s="1"/>
  <c r="H20" i="41"/>
  <c r="H102" i="41" s="1"/>
  <c r="G20" i="41"/>
  <c r="G102" i="41" s="1"/>
  <c r="F20" i="41"/>
  <c r="F102" i="41" s="1"/>
  <c r="E20" i="41"/>
  <c r="E102" i="41" s="1"/>
  <c r="D102" i="41"/>
  <c r="C102" i="41"/>
  <c r="O19" i="41"/>
  <c r="O67" i="41" s="1"/>
  <c r="O18" i="41"/>
  <c r="N17" i="41"/>
  <c r="N101" i="41" s="1"/>
  <c r="M17" i="41"/>
  <c r="M101" i="41" s="1"/>
  <c r="L17" i="41"/>
  <c r="L101" i="41" s="1"/>
  <c r="K17" i="41"/>
  <c r="K101" i="41" s="1"/>
  <c r="J17" i="41"/>
  <c r="J101" i="41" s="1"/>
  <c r="I17" i="41"/>
  <c r="I101" i="41" s="1"/>
  <c r="H17" i="41"/>
  <c r="H101" i="41" s="1"/>
  <c r="G17" i="41"/>
  <c r="G101" i="41" s="1"/>
  <c r="F17" i="41"/>
  <c r="F101" i="41" s="1"/>
  <c r="E17" i="41"/>
  <c r="E101" i="41" s="1"/>
  <c r="D101" i="41"/>
  <c r="C101" i="41"/>
  <c r="O16" i="41"/>
  <c r="O66" i="41" s="1"/>
  <c r="O15" i="41"/>
  <c r="N14" i="41"/>
  <c r="N100" i="41" s="1"/>
  <c r="M14" i="41"/>
  <c r="M100" i="41" s="1"/>
  <c r="L14" i="41"/>
  <c r="L100" i="41" s="1"/>
  <c r="K14" i="41"/>
  <c r="K100" i="41" s="1"/>
  <c r="J14" i="41"/>
  <c r="J100" i="41" s="1"/>
  <c r="I14" i="41"/>
  <c r="I100" i="41" s="1"/>
  <c r="H14" i="41"/>
  <c r="H100" i="41" s="1"/>
  <c r="G14" i="41"/>
  <c r="G100" i="41" s="1"/>
  <c r="F14" i="41"/>
  <c r="F100" i="41" s="1"/>
  <c r="E14" i="41"/>
  <c r="E100" i="41" s="1"/>
  <c r="D100" i="41"/>
  <c r="C100" i="41"/>
  <c r="O13" i="41"/>
  <c r="O65" i="41" s="1"/>
  <c r="T24" i="49"/>
  <c r="S24" i="49"/>
  <c r="R24" i="49"/>
  <c r="Q24" i="49"/>
  <c r="P24" i="49"/>
  <c r="O24" i="49"/>
  <c r="N24" i="49"/>
  <c r="M24" i="49"/>
  <c r="L24" i="49"/>
  <c r="K24" i="49"/>
  <c r="J24" i="49"/>
  <c r="N34" i="39"/>
  <c r="X30" i="39" s="1"/>
  <c r="N29" i="39"/>
  <c r="X29" i="39" s="1"/>
  <c r="H58" i="38"/>
  <c r="L58" i="38"/>
  <c r="L59" i="38" s="1"/>
  <c r="L107" i="38"/>
  <c r="L108" i="38" s="1"/>
  <c r="W97" i="38"/>
  <c r="L97" i="38"/>
  <c r="H97" i="38"/>
  <c r="L93" i="38"/>
  <c r="L94" i="38" s="1"/>
  <c r="L88" i="38"/>
  <c r="H88" i="38"/>
  <c r="L82" i="38"/>
  <c r="L83" i="38" s="1"/>
  <c r="L77" i="38"/>
  <c r="L78" i="38" s="1"/>
  <c r="M10" i="38"/>
  <c r="M11" i="38" s="1"/>
  <c r="L10" i="38"/>
  <c r="L11" i="38" s="1"/>
  <c r="V97" i="38"/>
  <c r="V98" i="38" s="1"/>
  <c r="U97" i="38"/>
  <c r="U98" i="38" s="1"/>
  <c r="T97" i="38"/>
  <c r="T98" i="38" s="1"/>
  <c r="S97" i="38"/>
  <c r="S98" i="38" s="1"/>
  <c r="R97" i="38"/>
  <c r="R98" i="38" s="1"/>
  <c r="Q97" i="38"/>
  <c r="Q98" i="38" s="1"/>
  <c r="P97" i="38"/>
  <c r="P98" i="38" s="1"/>
  <c r="O97" i="38"/>
  <c r="O98" i="38" s="1"/>
  <c r="N97" i="38"/>
  <c r="N98" i="38" s="1"/>
  <c r="M97" i="38"/>
  <c r="M98" i="38" s="1"/>
  <c r="W10" i="38"/>
  <c r="W11" i="38" s="1"/>
  <c r="V10" i="38"/>
  <c r="V11" i="38" s="1"/>
  <c r="U10" i="38"/>
  <c r="U11" i="38" s="1"/>
  <c r="T10" i="38"/>
  <c r="T11" i="38" s="1"/>
  <c r="S10" i="38"/>
  <c r="S11" i="38" s="1"/>
  <c r="R10" i="38"/>
  <c r="R11" i="38" s="1"/>
  <c r="Q10" i="38"/>
  <c r="Q11" i="38" s="1"/>
  <c r="P10" i="38"/>
  <c r="P11" i="38" s="1"/>
  <c r="O10" i="38"/>
  <c r="O11" i="38" s="1"/>
  <c r="N10" i="38"/>
  <c r="N11" i="38" s="1"/>
  <c r="W89" i="38" l="1"/>
  <c r="V89" i="38"/>
  <c r="U89" i="38"/>
  <c r="T89" i="38"/>
  <c r="S89" i="38"/>
  <c r="R89" i="38"/>
  <c r="Q89" i="38"/>
  <c r="P89" i="38"/>
  <c r="O89" i="38"/>
  <c r="N89" i="38"/>
  <c r="M89" i="38"/>
  <c r="W59" i="38"/>
  <c r="V59" i="38"/>
  <c r="U59" i="38"/>
  <c r="T59" i="38"/>
  <c r="S59" i="38"/>
  <c r="R59" i="38"/>
  <c r="Q59" i="38"/>
  <c r="P59" i="38"/>
  <c r="O59" i="38"/>
  <c r="N59" i="38"/>
  <c r="M59" i="38"/>
  <c r="L98" i="38"/>
  <c r="W98" i="38"/>
  <c r="L89" i="38"/>
  <c r="M11" i="41"/>
  <c r="O9" i="41"/>
  <c r="E11" i="41"/>
  <c r="G11" i="41"/>
  <c r="I11" i="41"/>
  <c r="K11" i="41"/>
  <c r="C11" i="41"/>
  <c r="O17" i="41"/>
  <c r="O101" i="41" s="1"/>
  <c r="O23" i="41"/>
  <c r="O103" i="41" s="1"/>
  <c r="O29" i="41"/>
  <c r="O105" i="41" s="1"/>
  <c r="O35" i="41"/>
  <c r="O107" i="41" s="1"/>
  <c r="O41" i="41"/>
  <c r="O109" i="41" s="1"/>
  <c r="O47" i="41"/>
  <c r="O111" i="41" s="1"/>
  <c r="O53" i="41"/>
  <c r="O113" i="41" s="1"/>
  <c r="O10" i="41"/>
  <c r="D11" i="41"/>
  <c r="F11" i="41"/>
  <c r="H11" i="41"/>
  <c r="J11" i="41"/>
  <c r="L11" i="41"/>
  <c r="N11" i="41"/>
  <c r="O20" i="41"/>
  <c r="O102" i="41" s="1"/>
  <c r="O26" i="41"/>
  <c r="O104" i="41" s="1"/>
  <c r="O32" i="41"/>
  <c r="O106" i="41" s="1"/>
  <c r="O38" i="41"/>
  <c r="O108" i="41" s="1"/>
  <c r="O44" i="41"/>
  <c r="O110" i="41" s="1"/>
  <c r="O50" i="41"/>
  <c r="O112" i="41" s="1"/>
  <c r="O56" i="41"/>
  <c r="O114" i="41" s="1"/>
  <c r="O14" i="41"/>
  <c r="O100" i="41" s="1"/>
  <c r="O11" i="41" l="1"/>
  <c r="E63" i="32"/>
  <c r="E177" i="32" s="1"/>
  <c r="E61" i="32"/>
  <c r="E59" i="32"/>
  <c r="E57" i="32"/>
  <c r="E174" i="32" s="1"/>
  <c r="E55" i="32"/>
  <c r="E173" i="32" s="1"/>
  <c r="E53" i="32"/>
  <c r="E51" i="32"/>
  <c r="E49" i="32"/>
  <c r="E47" i="32"/>
  <c r="E45" i="32"/>
  <c r="F45" i="32" s="1"/>
  <c r="E43" i="32"/>
  <c r="E41" i="32"/>
  <c r="E39" i="32"/>
  <c r="E37" i="32"/>
  <c r="O37" i="32" s="1"/>
  <c r="P57" i="32"/>
  <c r="N63" i="32"/>
  <c r="U26" i="32"/>
  <c r="V26" i="32" s="1"/>
  <c r="P64" i="32" s="1"/>
  <c r="T26" i="32"/>
  <c r="U25" i="32"/>
  <c r="V25" i="32" s="1"/>
  <c r="T25" i="32"/>
  <c r="U24" i="32"/>
  <c r="V24" i="32" s="1"/>
  <c r="K60" i="32" s="1"/>
  <c r="T24" i="32"/>
  <c r="U23" i="32"/>
  <c r="V23" i="32" s="1"/>
  <c r="P58" i="32" s="1"/>
  <c r="T23" i="32"/>
  <c r="U22" i="32"/>
  <c r="V22" i="32" s="1"/>
  <c r="L56" i="32" s="1"/>
  <c r="T22" i="32"/>
  <c r="U21" i="32"/>
  <c r="V21" i="32" s="1"/>
  <c r="I54" i="32" s="1"/>
  <c r="T21" i="32"/>
  <c r="U20" i="32"/>
  <c r="V20" i="32" s="1"/>
  <c r="T20" i="32"/>
  <c r="U19" i="32"/>
  <c r="V19" i="32" s="1"/>
  <c r="O50" i="32" s="1"/>
  <c r="T19" i="32"/>
  <c r="U18" i="32"/>
  <c r="V18" i="32" s="1"/>
  <c r="P48" i="32" s="1"/>
  <c r="T18" i="32"/>
  <c r="U17" i="32"/>
  <c r="V17" i="32" s="1"/>
  <c r="T17" i="32"/>
  <c r="U16" i="32"/>
  <c r="V16" i="32" s="1"/>
  <c r="F44" i="32" s="1"/>
  <c r="T16" i="32"/>
  <c r="U15" i="32"/>
  <c r="V15" i="32" s="1"/>
  <c r="T15" i="32"/>
  <c r="U14" i="32"/>
  <c r="V14" i="32" s="1"/>
  <c r="T14" i="32"/>
  <c r="V13" i="32"/>
  <c r="K38" i="32" s="1"/>
  <c r="T13" i="32"/>
  <c r="N36" i="32"/>
  <c r="M43" i="32" l="1"/>
  <c r="N43" i="32"/>
  <c r="O43" i="32"/>
  <c r="P43" i="32"/>
  <c r="Q43" i="32"/>
  <c r="F43" i="32"/>
  <c r="G43" i="32"/>
  <c r="H43" i="32"/>
  <c r="L43" i="32"/>
  <c r="I43" i="32"/>
  <c r="J43" i="32"/>
  <c r="K43" i="32"/>
  <c r="E166" i="32"/>
  <c r="I41" i="32"/>
  <c r="K41" i="32"/>
  <c r="N41" i="32"/>
  <c r="J41" i="32"/>
  <c r="G41" i="32"/>
  <c r="H41" i="32"/>
  <c r="F41" i="32"/>
  <c r="L41" i="32"/>
  <c r="M41" i="32"/>
  <c r="O41" i="32"/>
  <c r="P41" i="32"/>
  <c r="Q41" i="32"/>
  <c r="J53" i="32"/>
  <c r="Q53" i="32"/>
  <c r="K53" i="32"/>
  <c r="L53" i="32"/>
  <c r="M53" i="32"/>
  <c r="F53" i="32"/>
  <c r="N53" i="32"/>
  <c r="O53" i="32"/>
  <c r="P53" i="32"/>
  <c r="G53" i="32"/>
  <c r="H53" i="32"/>
  <c r="I53" i="32"/>
  <c r="E38" i="32"/>
  <c r="F37" i="32"/>
  <c r="I39" i="32"/>
  <c r="P39" i="32"/>
  <c r="F39" i="32"/>
  <c r="J39" i="32"/>
  <c r="K39" i="32"/>
  <c r="L39" i="32"/>
  <c r="M39" i="32"/>
  <c r="N39" i="32"/>
  <c r="O39" i="32"/>
  <c r="Q39" i="32"/>
  <c r="G39" i="32"/>
  <c r="H39" i="32"/>
  <c r="E169" i="32"/>
  <c r="M47" i="32"/>
  <c r="G47" i="32"/>
  <c r="N47" i="32"/>
  <c r="H47" i="32"/>
  <c r="I47" i="32"/>
  <c r="J47" i="32"/>
  <c r="K47" i="32"/>
  <c r="L47" i="32"/>
  <c r="F47" i="32"/>
  <c r="O47" i="32"/>
  <c r="P47" i="32"/>
  <c r="Q47" i="32"/>
  <c r="E170" i="32"/>
  <c r="Q49" i="32"/>
  <c r="H49" i="32"/>
  <c r="G49" i="32"/>
  <c r="F49" i="32"/>
  <c r="I49" i="32"/>
  <c r="J49" i="32"/>
  <c r="K49" i="32"/>
  <c r="L49" i="32"/>
  <c r="M49" i="32"/>
  <c r="P49" i="32"/>
  <c r="N49" i="32"/>
  <c r="O49" i="32"/>
  <c r="E52" i="32"/>
  <c r="F51" i="32"/>
  <c r="H173" i="32"/>
  <c r="I173" i="32"/>
  <c r="G173" i="32"/>
  <c r="J173" i="32"/>
  <c r="M173" i="32"/>
  <c r="K173" i="32"/>
  <c r="F173" i="32"/>
  <c r="L173" i="32"/>
  <c r="N173" i="32"/>
  <c r="O173" i="32"/>
  <c r="P173" i="32"/>
  <c r="Q173" i="32"/>
  <c r="K177" i="32"/>
  <c r="L177" i="32"/>
  <c r="M177" i="32"/>
  <c r="N177" i="32"/>
  <c r="O177" i="32"/>
  <c r="P177" i="32"/>
  <c r="Q177" i="32"/>
  <c r="F177" i="32"/>
  <c r="H177" i="32"/>
  <c r="J177" i="32"/>
  <c r="G177" i="32"/>
  <c r="I177" i="32"/>
  <c r="H174" i="32"/>
  <c r="G174" i="32"/>
  <c r="I174" i="32"/>
  <c r="M174" i="32"/>
  <c r="O174" i="32"/>
  <c r="Q174" i="32"/>
  <c r="J174" i="32"/>
  <c r="K174" i="32"/>
  <c r="L174" i="32"/>
  <c r="P174" i="32"/>
  <c r="N174" i="32"/>
  <c r="F174" i="32"/>
  <c r="E176" i="32"/>
  <c r="F61" i="32"/>
  <c r="G63" i="32"/>
  <c r="I63" i="32"/>
  <c r="Q63" i="32"/>
  <c r="K57" i="32"/>
  <c r="M51" i="32"/>
  <c r="N46" i="32"/>
  <c r="J46" i="32"/>
  <c r="Q46" i="32"/>
  <c r="L46" i="32"/>
  <c r="M62" i="32"/>
  <c r="N62" i="32"/>
  <c r="J62" i="32"/>
  <c r="Q62" i="32"/>
  <c r="L62" i="32"/>
  <c r="H62" i="32"/>
  <c r="I40" i="32"/>
  <c r="O40" i="32"/>
  <c r="M40" i="32"/>
  <c r="K40" i="32"/>
  <c r="H40" i="32"/>
  <c r="Q40" i="32"/>
  <c r="N40" i="32"/>
  <c r="L40" i="32"/>
  <c r="J40" i="32"/>
  <c r="F40" i="32"/>
  <c r="E36" i="32"/>
  <c r="L36" i="32"/>
  <c r="P36" i="32"/>
  <c r="I38" i="32"/>
  <c r="P38" i="32"/>
  <c r="E42" i="32"/>
  <c r="E48" i="32"/>
  <c r="H50" i="32"/>
  <c r="M50" i="32"/>
  <c r="E58" i="32"/>
  <c r="H60" i="32"/>
  <c r="M60" i="32"/>
  <c r="E64" i="32"/>
  <c r="I64" i="32"/>
  <c r="J36" i="32"/>
  <c r="F38" i="32"/>
  <c r="F50" i="32"/>
  <c r="J50" i="32"/>
  <c r="F60" i="32"/>
  <c r="G64" i="32"/>
  <c r="N64" i="32"/>
  <c r="K37" i="32"/>
  <c r="Q37" i="32"/>
  <c r="I45" i="32"/>
  <c r="G51" i="32"/>
  <c r="K51" i="32"/>
  <c r="L57" i="32"/>
  <c r="I57" i="32"/>
  <c r="M57" i="32"/>
  <c r="O57" i="32"/>
  <c r="Q57" i="32"/>
  <c r="Q59" i="32"/>
  <c r="G61" i="32"/>
  <c r="L63" i="32"/>
  <c r="K63" i="32"/>
  <c r="P63" i="32"/>
  <c r="P37" i="32"/>
  <c r="L37" i="32"/>
  <c r="G45" i="32"/>
  <c r="L51" i="32"/>
  <c r="I51" i="32"/>
  <c r="P51" i="32"/>
  <c r="G57" i="32"/>
  <c r="N57" i="32"/>
  <c r="M63" i="32"/>
  <c r="E54" i="32"/>
  <c r="P54" i="32"/>
  <c r="E172" i="32"/>
  <c r="K54" i="32"/>
  <c r="O52" i="32"/>
  <c r="M52" i="32"/>
  <c r="K52" i="32"/>
  <c r="I52" i="32"/>
  <c r="H52" i="32"/>
  <c r="G52" i="32"/>
  <c r="F52" i="32"/>
  <c r="Q52" i="32"/>
  <c r="F57" i="32"/>
  <c r="E44" i="32"/>
  <c r="E167" i="32"/>
  <c r="E50" i="32"/>
  <c r="F63" i="32"/>
  <c r="H57" i="32"/>
  <c r="H63" i="32"/>
  <c r="J52" i="32"/>
  <c r="Q54" i="32"/>
  <c r="O54" i="32"/>
  <c r="N54" i="32"/>
  <c r="M54" i="32"/>
  <c r="L54" i="32"/>
  <c r="J54" i="32"/>
  <c r="H54" i="32"/>
  <c r="G54" i="32"/>
  <c r="L52" i="32"/>
  <c r="H55" i="32"/>
  <c r="F55" i="32"/>
  <c r="E56" i="32"/>
  <c r="Q55" i="32"/>
  <c r="P55" i="32"/>
  <c r="O55" i="32"/>
  <c r="M55" i="32"/>
  <c r="K55" i="32"/>
  <c r="J55" i="32"/>
  <c r="Q42" i="32"/>
  <c r="O42" i="32"/>
  <c r="M42" i="32"/>
  <c r="K42" i="32"/>
  <c r="J42" i="32"/>
  <c r="I42" i="32"/>
  <c r="H42" i="32"/>
  <c r="F42" i="32"/>
  <c r="J63" i="32"/>
  <c r="E40" i="32"/>
  <c r="E165" i="32"/>
  <c r="N52" i="32"/>
  <c r="G55" i="32"/>
  <c r="K56" i="32"/>
  <c r="I56" i="32"/>
  <c r="G56" i="32"/>
  <c r="P56" i="32"/>
  <c r="N56" i="32"/>
  <c r="M56" i="32"/>
  <c r="P52" i="32"/>
  <c r="I55" i="32"/>
  <c r="J61" i="32"/>
  <c r="H61" i="32"/>
  <c r="E62" i="32"/>
  <c r="Q61" i="32"/>
  <c r="O61" i="32"/>
  <c r="M61" i="32"/>
  <c r="L61" i="32"/>
  <c r="O63" i="32"/>
  <c r="G44" i="32"/>
  <c r="Q44" i="32"/>
  <c r="P44" i="32"/>
  <c r="O44" i="32"/>
  <c r="N44" i="32"/>
  <c r="L44" i="32"/>
  <c r="J44" i="32"/>
  <c r="I44" i="32"/>
  <c r="H44" i="32"/>
  <c r="L55" i="32"/>
  <c r="Q58" i="32"/>
  <c r="O58" i="32"/>
  <c r="M58" i="32"/>
  <c r="K58" i="32"/>
  <c r="J58" i="32"/>
  <c r="I58" i="32"/>
  <c r="H58" i="32"/>
  <c r="F58" i="32"/>
  <c r="K44" i="32"/>
  <c r="N55" i="32"/>
  <c r="I61" i="32"/>
  <c r="M44" i="32"/>
  <c r="F56" i="32"/>
  <c r="G58" i="32"/>
  <c r="K61" i="32"/>
  <c r="M46" i="32"/>
  <c r="K46" i="32"/>
  <c r="I46" i="32"/>
  <c r="G46" i="32"/>
  <c r="F46" i="32"/>
  <c r="P46" i="32"/>
  <c r="O46" i="32"/>
  <c r="H37" i="32"/>
  <c r="J45" i="32"/>
  <c r="H45" i="32"/>
  <c r="E168" i="32"/>
  <c r="E46" i="32"/>
  <c r="Q45" i="32"/>
  <c r="O45" i="32"/>
  <c r="M45" i="32"/>
  <c r="L45" i="32"/>
  <c r="H56" i="32"/>
  <c r="L58" i="32"/>
  <c r="N61" i="32"/>
  <c r="G60" i="32"/>
  <c r="Q60" i="32"/>
  <c r="P60" i="32"/>
  <c r="O60" i="32"/>
  <c r="N60" i="32"/>
  <c r="L60" i="32"/>
  <c r="J60" i="32"/>
  <c r="I60" i="32"/>
  <c r="J56" i="32"/>
  <c r="N58" i="32"/>
  <c r="P61" i="32"/>
  <c r="O36" i="32"/>
  <c r="M36" i="32"/>
  <c r="K36" i="32"/>
  <c r="I36" i="32"/>
  <c r="H36" i="32"/>
  <c r="G36" i="32"/>
  <c r="Q36" i="32"/>
  <c r="Q48" i="32"/>
  <c r="O48" i="32"/>
  <c r="M48" i="32"/>
  <c r="L48" i="32"/>
  <c r="K48" i="32"/>
  <c r="J48" i="32"/>
  <c r="H48" i="32"/>
  <c r="F48" i="32"/>
  <c r="M37" i="32"/>
  <c r="G42" i="32"/>
  <c r="K45" i="32"/>
  <c r="O56" i="32"/>
  <c r="E60" i="32"/>
  <c r="P59" i="32"/>
  <c r="N59" i="32"/>
  <c r="M59" i="32"/>
  <c r="L59" i="32"/>
  <c r="E175" i="32"/>
  <c r="K59" i="32"/>
  <c r="I59" i="32"/>
  <c r="G59" i="32"/>
  <c r="F59" i="32"/>
  <c r="L42" i="32"/>
  <c r="N45" i="32"/>
  <c r="G48" i="32"/>
  <c r="Q56" i="32"/>
  <c r="H59" i="32"/>
  <c r="Q38" i="32"/>
  <c r="O38" i="32"/>
  <c r="N38" i="32"/>
  <c r="M38" i="32"/>
  <c r="L38" i="32"/>
  <c r="J38" i="32"/>
  <c r="H38" i="32"/>
  <c r="G38" i="32"/>
  <c r="I50" i="32"/>
  <c r="G50" i="32"/>
  <c r="Q50" i="32"/>
  <c r="P50" i="32"/>
  <c r="N50" i="32"/>
  <c r="L50" i="32"/>
  <c r="K50" i="32"/>
  <c r="N42" i="32"/>
  <c r="P45" i="32"/>
  <c r="I48" i="32"/>
  <c r="J59" i="32"/>
  <c r="Q64" i="32"/>
  <c r="O64" i="32"/>
  <c r="M64" i="32"/>
  <c r="L64" i="32"/>
  <c r="K64" i="32"/>
  <c r="J64" i="32"/>
  <c r="H64" i="32"/>
  <c r="F64" i="32"/>
  <c r="P42" i="32"/>
  <c r="H46" i="32"/>
  <c r="N48" i="32"/>
  <c r="F54" i="32"/>
  <c r="O59" i="32"/>
  <c r="N51" i="32"/>
  <c r="O62" i="32"/>
  <c r="O51" i="32"/>
  <c r="P62" i="32"/>
  <c r="E171" i="32"/>
  <c r="G37" i="32"/>
  <c r="P40" i="32"/>
  <c r="Q51" i="32"/>
  <c r="I37" i="32"/>
  <c r="J37" i="32"/>
  <c r="E164" i="32"/>
  <c r="F62" i="32"/>
  <c r="G62" i="32"/>
  <c r="N37" i="32"/>
  <c r="G40" i="32"/>
  <c r="H51" i="32"/>
  <c r="J57" i="32"/>
  <c r="I62" i="32"/>
  <c r="J51" i="32"/>
  <c r="K62" i="32"/>
  <c r="F166" i="32" l="1"/>
  <c r="M166" i="32"/>
  <c r="G166" i="32"/>
  <c r="H166" i="32"/>
  <c r="I166" i="32"/>
  <c r="O166" i="32"/>
  <c r="J166" i="32"/>
  <c r="N166" i="32"/>
  <c r="K166" i="32"/>
  <c r="L166" i="32"/>
  <c r="P166" i="32"/>
  <c r="Q166" i="32"/>
  <c r="I169" i="32"/>
  <c r="J169" i="32"/>
  <c r="K169" i="32"/>
  <c r="L169" i="32"/>
  <c r="Q169" i="32"/>
  <c r="M169" i="32"/>
  <c r="N169" i="32"/>
  <c r="O169" i="32"/>
  <c r="P169" i="32"/>
  <c r="H169" i="32"/>
  <c r="F169" i="32"/>
  <c r="G169" i="32"/>
  <c r="P170" i="32"/>
  <c r="G170" i="32"/>
  <c r="Q170" i="32"/>
  <c r="H170" i="32"/>
  <c r="I170" i="32"/>
  <c r="J170" i="32"/>
  <c r="K170" i="32"/>
  <c r="F170" i="32"/>
  <c r="L170" i="32"/>
  <c r="O170" i="32"/>
  <c r="M170" i="32"/>
  <c r="N170" i="32"/>
  <c r="O175" i="32"/>
  <c r="F175" i="32"/>
  <c r="P175" i="32"/>
  <c r="Q175" i="32"/>
  <c r="I175" i="32"/>
  <c r="G175" i="32"/>
  <c r="H175" i="32"/>
  <c r="J175" i="32"/>
  <c r="K175" i="32"/>
  <c r="L175" i="32"/>
  <c r="N175" i="32"/>
  <c r="M175" i="32"/>
  <c r="J164" i="32"/>
  <c r="K164" i="32"/>
  <c r="L164" i="32"/>
  <c r="F164" i="32"/>
  <c r="M164" i="32"/>
  <c r="N164" i="32"/>
  <c r="Q164" i="32"/>
  <c r="O164" i="32"/>
  <c r="P164" i="32"/>
  <c r="I164" i="32"/>
  <c r="G164" i="32"/>
  <c r="H164" i="32"/>
  <c r="K176" i="32"/>
  <c r="L176" i="32"/>
  <c r="P176" i="32"/>
  <c r="G176" i="32"/>
  <c r="I176" i="32"/>
  <c r="M176" i="32"/>
  <c r="H176" i="32"/>
  <c r="F176" i="32"/>
  <c r="J176" i="32"/>
  <c r="N176" i="32"/>
  <c r="O176" i="32"/>
  <c r="Q176" i="32"/>
  <c r="L172" i="32"/>
  <c r="Q172" i="32"/>
  <c r="M172" i="32"/>
  <c r="N172" i="32"/>
  <c r="O172" i="32"/>
  <c r="F172" i="32"/>
  <c r="P172" i="32"/>
  <c r="G172" i="32"/>
  <c r="H172" i="32"/>
  <c r="I172" i="32"/>
  <c r="J172" i="32"/>
  <c r="K172" i="32"/>
  <c r="M167" i="32"/>
  <c r="N167" i="32"/>
  <c r="O167" i="32"/>
  <c r="G167" i="32"/>
  <c r="P167" i="32"/>
  <c r="Q167" i="32"/>
  <c r="H167" i="32"/>
  <c r="I167" i="32"/>
  <c r="F167" i="32"/>
  <c r="J167" i="32"/>
  <c r="K167" i="32"/>
  <c r="L167" i="32"/>
  <c r="Q171" i="32"/>
  <c r="G171" i="32"/>
  <c r="J171" i="32"/>
  <c r="L171" i="32"/>
  <c r="H171" i="32"/>
  <c r="I171" i="32"/>
  <c r="N171" i="32"/>
  <c r="K171" i="32"/>
  <c r="M171" i="32"/>
  <c r="O171" i="32"/>
  <c r="P171" i="32"/>
  <c r="F171" i="32"/>
  <c r="J168" i="32"/>
  <c r="K168" i="32"/>
  <c r="I168" i="32"/>
  <c r="N168" i="32"/>
  <c r="G168" i="32"/>
  <c r="H168" i="32"/>
  <c r="L168" i="32"/>
  <c r="M168" i="32"/>
  <c r="O168" i="32"/>
  <c r="P168" i="32"/>
  <c r="Q168" i="32"/>
  <c r="F168" i="32"/>
  <c r="Q165" i="32"/>
  <c r="F165" i="32"/>
  <c r="G165" i="32"/>
  <c r="K165" i="32"/>
  <c r="H165" i="32"/>
  <c r="I165" i="32"/>
  <c r="J165" i="32"/>
  <c r="L165" i="32"/>
  <c r="M165" i="32"/>
  <c r="P165" i="32"/>
  <c r="N165" i="32"/>
  <c r="O165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10064 Trung</author>
  </authors>
  <commentList>
    <comment ref="A3" authorId="0" shapeId="0" xr:uid="{AC189D85-BF08-43D1-842B-78C3BC551D8C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số pcs nhận</t>
        </r>
      </text>
    </comment>
    <comment ref="A8" authorId="0" shapeId="0" xr:uid="{643B9C00-9431-450F-819E-ACF9CF6AA358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số pcs tồn</t>
        </r>
      </text>
    </comment>
    <comment ref="A13" authorId="0" shapeId="0" xr:uid="{78E66FA1-0B5C-4016-9787-B04EFE72CEC8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số pcs hoàn thành</t>
        </r>
      </text>
    </comment>
    <comment ref="A18" authorId="0" shapeId="0" xr:uid="{E1681118-132D-449F-8583-290EDDD7F8F1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nhận</t>
        </r>
      </text>
    </comment>
    <comment ref="A23" authorId="0" shapeId="0" xr:uid="{366459E6-7B36-45F2-A482-71D628BB30B9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tồn</t>
        </r>
      </text>
    </comment>
    <comment ref="A28" authorId="0" shapeId="0" xr:uid="{4ED27C59-2944-4D48-AED6-70A1A1E19B72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hoàn thành</t>
        </r>
      </text>
    </comment>
    <comment ref="A33" authorId="0" shapeId="0" xr:uid="{0E79CB87-5667-4899-8448-57415F1757ED}">
      <text>
        <r>
          <rPr>
            <b/>
            <sz val="9"/>
            <color indexed="81"/>
            <rFont val="Segoe UI"/>
            <family val="2"/>
          </rPr>
          <t>10064 Trung:</t>
        </r>
        <r>
          <rPr>
            <sz val="9"/>
            <color indexed="81"/>
            <rFont val="Segoe UI"/>
            <family val="2"/>
          </rPr>
          <t xml:space="preserve">
bản vẽ GCN hoàn thành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10012 Ban</author>
    <author>hachisu takashi</author>
  </authors>
  <commentList>
    <comment ref="C4" authorId="0" shapeId="0" xr:uid="{F33E7A80-8ED8-4234-B855-FA824E43723E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GỞI KÈM BÁO CÁO PP CÔNG ĐOẠN( NN ĐỐI SÁCH)</t>
        </r>
      </text>
    </comment>
    <comment ref="A9" authorId="1" shapeId="0" xr:uid="{1EBF1A8A-D038-4914-AA30-AEB04520BEB0}">
      <text>
        <r>
          <rPr>
            <b/>
            <sz val="11"/>
            <rFont val="MS P ゴシック"/>
            <charset val="128"/>
          </rPr>
          <t>【自動計算】
※ALL　赤枠内</t>
        </r>
      </text>
    </comment>
    <comment ref="A57" authorId="1" shapeId="0" xr:uid="{989B1D73-F2A7-4AEB-B1DE-27C169BE5D8F}">
      <text>
        <r>
          <rPr>
            <b/>
            <sz val="9"/>
            <rFont val="MS P ゴシック"/>
            <charset val="128"/>
          </rPr>
          <t>【その他】
　・指示ミス
　・加工以外の不良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ckh10</author>
    <author>hachisu takashi</author>
    <author>20839 Son</author>
  </authors>
  <commentList>
    <comment ref="A9" authorId="0" shapeId="0" xr:uid="{4958DB05-0A6D-4F6C-ADFE-4CF40ECF1D0C}">
      <text>
        <r>
          <rPr>
            <sz val="9"/>
            <color indexed="81"/>
            <rFont val="ＭＳ Ｐゴシック"/>
            <family val="3"/>
            <charset val="128"/>
          </rPr>
          <t>-図面総数
-不良件数</t>
        </r>
      </text>
    </comment>
    <comment ref="B9" authorId="1" shapeId="0" xr:uid="{EC0ED2D4-073B-499F-9BFA-00AEFC6631BB}">
      <text>
        <r>
          <rPr>
            <b/>
            <sz val="11"/>
            <color indexed="81"/>
            <rFont val="MS P ゴシック"/>
            <family val="3"/>
            <charset val="128"/>
          </rPr>
          <t>【自動計算】
※ALL　赤枠内</t>
        </r>
      </text>
    </comment>
    <comment ref="A63" authorId="2" shapeId="0" xr:uid="{BEFE90E0-0E28-4CAC-B64F-0445B27F7D90}">
      <text>
        <r>
          <rPr>
            <b/>
            <sz val="9"/>
            <color indexed="81"/>
            <rFont val="Tahoma"/>
            <family val="2"/>
          </rPr>
          <t>20839 Son:</t>
        </r>
        <r>
          <rPr>
            <sz val="9"/>
            <color indexed="81"/>
            <rFont val="Tahoma"/>
            <family val="2"/>
          </rPr>
          <t xml:space="preserve">
2026年3月よりコードを変更 （旧：VD208）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hachisu takashi</author>
  </authors>
  <commentList>
    <comment ref="D11" authorId="0" shapeId="0" xr:uid="{13E66827-3F00-48F7-A24A-D74E935AA2DF}">
      <text>
        <r>
          <rPr>
            <b/>
            <sz val="9"/>
            <color indexed="81"/>
            <rFont val="MS P ゴシック"/>
            <family val="3"/>
            <charset val="128"/>
          </rPr>
          <t>hachisu takashi:</t>
        </r>
        <r>
          <rPr>
            <sz val="9"/>
            <color indexed="81"/>
            <rFont val="MS P ゴシック"/>
            <family val="3"/>
            <charset val="128"/>
          </rPr>
          <t xml:space="preserve">
Số ng</t>
        </r>
        <r>
          <rPr>
            <sz val="9"/>
            <color indexed="81"/>
            <rFont val="Arial"/>
            <family val="2"/>
          </rPr>
          <t>ư</t>
        </r>
        <r>
          <rPr>
            <sz val="9"/>
            <color indexed="81"/>
            <rFont val="MS P ゴシック"/>
            <family val="3"/>
            <charset val="128"/>
          </rPr>
          <t>ời phụ trách</t>
        </r>
      </text>
    </comment>
    <comment ref="E11" authorId="0" shapeId="0" xr:uid="{9172ADBB-3B7D-46D0-A428-610C295B539D}">
      <text>
        <r>
          <rPr>
            <b/>
            <sz val="9"/>
            <color indexed="81"/>
            <rFont val="MS P ゴシック"/>
            <family val="3"/>
            <charset val="128"/>
          </rPr>
          <t>hachisu takashi:</t>
        </r>
        <r>
          <rPr>
            <sz val="9"/>
            <color indexed="81"/>
            <rFont val="MS P ゴシック"/>
            <family val="3"/>
            <charset val="128"/>
          </rPr>
          <t xml:space="preserve">
Số l</t>
        </r>
        <r>
          <rPr>
            <sz val="9"/>
            <color indexed="81"/>
            <rFont val="Arial"/>
            <family val="2"/>
          </rPr>
          <t>ư</t>
        </r>
        <r>
          <rPr>
            <sz val="9"/>
            <color indexed="81"/>
            <rFont val="MS P ゴシック"/>
            <family val="3"/>
            <charset val="128"/>
          </rPr>
          <t>ợng máy</t>
        </r>
      </text>
    </comment>
    <comment ref="G159" authorId="0" shapeId="0" xr:uid="{00000000-0006-0000-0400-000001000000}">
      <text>
        <r>
          <rPr>
            <sz val="11"/>
            <rFont val="MS P ゴシック"/>
            <charset val="128"/>
          </rPr>
          <t>【標準稼働時間】で計算
※２交代制は右側</t>
        </r>
      </text>
    </comment>
    <comment ref="R162" authorId="0" shapeId="0" xr:uid="{00000000-0006-0000-0400-000002000000}">
      <text>
        <r>
          <rPr>
            <b/>
            <sz val="11"/>
            <rFont val="MS P ゴシック"/>
            <charset val="128"/>
          </rPr>
          <t>【目標値】
※工程負荷（仕掛かり）
　は１カ月（30日）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tc={55EC6334-0936-40EA-ACF2-F1DEC9C9576F}</author>
    <author>tc={96681300-5381-46A1-AD39-71EED9881804}</author>
    <author>tc={ABEC657A-A034-49F8-BE74-162196C6D020}</author>
    <author>tc={50208CE0-1549-42E7-B8AB-FD46FD13F445}</author>
    <author>hachisu takashi</author>
    <author>tc={A7C3A92F-8FE8-4310-97C1-E679EF19946A}</author>
    <author>tc={681EA4D2-B121-476C-8737-07245765DE66}</author>
    <author>tc={9CB1FC9C-9A89-49B8-A754-F31416A24CED}</author>
    <author>tc={53115084-6159-47C7-9B24-D2CD00366656}</author>
    <author>tc={0F7E9CE4-9090-45C0-AEF4-DE56F77A24A1}</author>
    <author>tc={7FC1001F-3880-4B18-BFC4-39579B89F351}</author>
    <author>tc={10D6956E-1610-4734-9FC6-EEF6AC14FF22}</author>
    <author>tc={CFFEFCC8-5662-4C52-AEFB-78FEF921BBCE}</author>
    <author>tc={08C93037-1582-43A1-85BE-F60968B5A54B}</author>
    <author>tc={2770FBA8-5E61-41D0-813A-59B3B3089349}</author>
    <author>tc={38726055-96F4-4585-BA1A-55EAD3C8AD88}</author>
    <author>tc={889E5F6D-27C2-44A5-8515-F6C3212D28CF}</author>
    <author>tc={BC33D54A-0A59-4865-AD87-6EF7E8B79F76}</author>
    <author>tc={2ED81D89-14F2-42CD-A951-58F8827720FF}</author>
    <author>tc={2D69196F-C959-4719-9E4A-6EAE03620B81}</author>
    <author>tc={EE11E89E-C586-45A2-8420-7AB9AE080373}</author>
    <author>tc={231BEF50-012E-403A-946F-05113A80FBD7}</author>
    <author>tc={62A747F3-06CC-4625-BDA7-10529DB6666C}</author>
    <author>tc={A99A6B1B-326C-46BB-AD79-95BE572D1BA0}</author>
    <author>tc={C68B0367-0ECB-44D7-89A4-CBBBB32A1ABB}</author>
    <author>tc={E21BFD90-98B5-482C-82F3-2BE74AD9FF97}</author>
    <author>tc={D5DBFD49-DA38-4E4F-99C4-A0956AE5F781}</author>
    <author>tc={9C90DE26-92E1-4046-8602-24B1C87A07B5}</author>
    <author>tc={882099D8-002B-4ECD-9BF7-2BEC87139635}</author>
    <author>tc={A98E8E49-5764-43F6-8FF5-ED10048D008E}</author>
    <author>tc={5C48C7A1-88ED-4B54-A775-264EC68E76F7}</author>
    <author>tc={99A53BF0-A919-42D1-9410-6D11836FF208}</author>
    <author>tc={5083DCF2-58CE-4E2B-A52F-9511336EDA30}</author>
    <author>tc={6DCC4FE8-CA38-40A6-85FA-B845A9626FED}</author>
    <author>tc={D4062742-207F-496E-8D84-52B54D6CFC7F}</author>
    <author>tc={6381A70D-1344-42C0-A715-78E9082321D2}</author>
    <author>tc={D91B8F99-97EE-47DD-85E8-5BFDC9AA04DD}</author>
    <author>tc={D0AEF842-6ABE-419B-A479-6DEE0CCBB18F}</author>
    <author>tc={C35136F4-53A4-4860-A278-2A780DD938DA}</author>
    <author>tc={119F5C3E-125B-4225-9A15-7343D144BC99}</author>
  </authors>
  <commentList>
    <comment ref="C9" authorId="0" shapeId="0" xr:uid="{55EC6334-0936-40EA-ACF2-F1DEC9C9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Tổng số  người</t>
      </text>
    </comment>
    <comment ref="C10" authorId="1" shapeId="0" xr:uid="{96681300-5381-46A1-AD39-71EED9881804}">
      <text>
        <t>[Threaded comment]
Your version of Excel allows you to read this threaded comment; however, any edits to it will get removed if the file is opened in a newer version of Excel. Learn more: https://go.microsoft.com/fwlink/?linkid=870924
Comment:
    NV gia công</t>
      </text>
    </comment>
    <comment ref="C11" authorId="2" shapeId="0" xr:uid="{ABEC657A-A034-49F8-BE74-162196C6D020}">
      <text>
        <t>[Threaded comment]
Your version of Excel allows you to read this threaded comment; however, any edits to it will get removed if the file is opened in a newer version of Excel. Learn more: https://go.microsoft.com/fwlink/?linkid=870924
Comment:
    NV khác</t>
      </text>
    </comment>
    <comment ref="C12" authorId="3" shapeId="0" xr:uid="{50208CE0-1549-42E7-B8AB-FD46FD13F445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ngày làm việc</t>
      </text>
    </comment>
    <comment ref="C13" authorId="4" shapeId="0" xr:uid="{5CFD68B4-8F25-4FC2-9C2D-3DAC9FC8FAE7}">
      <text>
        <r>
          <rPr>
            <b/>
            <sz val="9"/>
            <color indexed="81"/>
            <rFont val="MS P ゴシック"/>
            <family val="3"/>
            <charset val="128"/>
          </rPr>
          <t>標準稼働時間
※残業含む</t>
        </r>
      </text>
    </comment>
    <comment ref="H13" authorId="5" shapeId="0" xr:uid="{A7C3A92F-8FE8-4310-97C1-E679EF19946A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TGLV cua NVTT</t>
      </text>
    </comment>
    <comment ref="H14" authorId="6" shapeId="0" xr:uid="{681EA4D2-B121-476C-8737-07245765DE66}">
      <text>
        <t>[Threaded comment]
Your version of Excel allows you to read this threaded comment; however, any edits to it will get removed if the file is opened in a newer version of Excel. Learn more: https://go.microsoft.com/fwlink/?linkid=870924
Comment:
    luy ke</t>
      </text>
    </comment>
    <comment ref="C15" authorId="7" shapeId="0" xr:uid="{9CB1FC9C-9A89-49B8-A754-F31416A24C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thoi gian LV trung binh 1 nguoi/ ngay</t>
      </text>
    </comment>
    <comment ref="B16" authorId="8" shapeId="0" xr:uid="{53115084-6159-47C7-9B24-D2CD00366656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TGTD</t>
      </text>
    </comment>
    <comment ref="H16" authorId="4" shapeId="0" xr:uid="{47B2B4CC-51AD-45FD-A840-FA125A46FBC0}">
      <text>
        <r>
          <rPr>
            <b/>
            <sz val="9"/>
            <color indexed="81"/>
            <rFont val="MS P ゴシック"/>
            <family val="3"/>
            <charset val="128"/>
          </rPr>
          <t>標準時間</t>
        </r>
      </text>
    </comment>
    <comment ref="B17" authorId="9" shapeId="0" xr:uid="{0F7E9CE4-9090-45C0-AEF4-DE56F77A24A1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TGGC</t>
      </text>
    </comment>
    <comment ref="B18" authorId="10" shapeId="0" xr:uid="{7FC1001F-3880-4B18-BFC4-39579B89F351}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có nguoi</t>
      </text>
    </comment>
    <comment ref="B19" authorId="11" shapeId="0" xr:uid="{10D6956E-1610-4734-9FC6-EEF6AC14FF22}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ko nguoi</t>
      </text>
    </comment>
    <comment ref="B20" authorId="12" shapeId="0" xr:uid="{CFFEFCC8-5662-4C52-AEFB-78FEF921BBCE}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hoạt động ko nguoi</t>
      </text>
    </comment>
    <comment ref="B21" authorId="13" shapeId="0" xr:uid="{08C93037-1582-43A1-85BE-F60968B5A54B}">
      <text>
        <t>[Threaded comment]
Your version of Excel allows you to read this threaded comment; however, any edits to it will get removed if the file is opened in a newer version of Excel. Learn more: https://go.microsoft.com/fwlink/?linkid=870924
Comment:
    hieu suat gia cong</t>
      </text>
    </comment>
    <comment ref="C21" authorId="4" shapeId="0" xr:uid="{8BCE2BC2-9AB9-4847-B044-549242B59C07}">
      <text>
        <r>
          <rPr>
            <b/>
            <sz val="9"/>
            <color indexed="81"/>
            <rFont val="MS P ゴシック"/>
            <family val="3"/>
            <charset val="128"/>
          </rPr>
          <t>標準時間対実績時間比</t>
        </r>
      </text>
    </comment>
    <comment ref="B22" authorId="14" shapeId="0" xr:uid="{2770FBA8-5E61-41D0-813A-59B3B308934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công GC tương ứng với TGLV</t>
      </text>
    </comment>
    <comment ref="B23" authorId="15" shapeId="0" xr:uid="{38726055-96F4-4585-BA1A-55EAD3C8AD88}">
      <text>
        <t>[Threaded comment]
Your version of Excel allows you to read this threaded comment; however, any edits to it will get removed if the file is opened in a newer version of Excel. Learn more: https://go.microsoft.com/fwlink/?linkid=870924
Comment:
    mục tiêu sô công gia công tương ứng với TGLV</t>
      </text>
    </comment>
    <comment ref="C24" authorId="16" shapeId="0" xr:uid="{889E5F6D-27C2-44A5-8515-F6C3212D28C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kiện PP</t>
      </text>
    </comment>
    <comment ref="C25" authorId="17" shapeId="0" xr:uid="{BC33D54A-0A59-4865-AD87-6EF7E8B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sô công PP</t>
      </text>
    </comment>
    <comment ref="C26" authorId="18" shapeId="0" xr:uid="{2ED81D89-14F2-42CD-A951-58F8827720FF}">
      <text>
        <t>[Threaded comment]
Your version of Excel allows you to read this threaded comment; however, any edits to it will get removed if the file is opened in a newer version of Excel. Learn more: https://go.microsoft.com/fwlink/?linkid=870924
Comment:
    TTGGC</t>
      </text>
    </comment>
    <comment ref="C27" authorId="19" shapeId="0" xr:uid="{2D69196F-C959-4719-9E4A-6EAE03620B8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số công PP</t>
      </text>
    </comment>
    <comment ref="C28" authorId="20" shapeId="0" xr:uid="{EE11E89E-C586-45A2-8420-7AB9AE080373}">
      <text>
        <t>[Threaded comment]
Your version of Excel allows you to read this threaded comment; however, any edits to it will get removed if the file is opened in a newer version of Excel. Learn more: https://go.microsoft.com/fwlink/?linkid=870924
Comment:
    TGGC 1 nguoi</t>
      </text>
    </comment>
    <comment ref="C29" authorId="21" shapeId="0" xr:uid="{231BEF50-012E-403A-946F-05113A80FBD7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hoan thanh 1 nguoi</t>
      </text>
    </comment>
    <comment ref="C30" authorId="22" shapeId="0" xr:uid="{62A747F3-06CC-4625-BDA7-10529DB6666C}">
      <text>
        <t>[Threaded comment]
Your version of Excel allows you to read this threaded comment; however, any edits to it will get removed if the file is opened in a newer version of Excel. Learn more: https://go.microsoft.com/fwlink/?linkid=870924
Comment:
    tông bv hoan thanh</t>
      </text>
    </comment>
    <comment ref="C32" authorId="23" shapeId="0" xr:uid="{A99A6B1B-326C-46BB-AD79-95BE572D1B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pcs hoan thanh</t>
      </text>
    </comment>
    <comment ref="E34" authorId="24" shapeId="0" xr:uid="{C68B0367-0ECB-44D7-89A4-CBBBB32A1ABB}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bv/ M.H ( đơn tháng)</t>
      </text>
    </comment>
    <comment ref="E35" authorId="25" shapeId="0" xr:uid="{E21BFD90-98B5-482C-82F3-2BE74AD9FF97}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 / M.H ( lũy kế)</t>
      </text>
    </comment>
    <comment ref="E36" authorId="26" shapeId="0" xr:uid="{D5DBFD49-DA38-4E4F-99C4-A0956AE5F781}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sô pcs /M.H ( đơn tháng)</t>
      </text>
    </comment>
    <comment ref="E37" authorId="27" shapeId="0" xr:uid="{9C90DE26-92E1-4046-8602-24B1C87A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sô pcs/ M.H ( lũy kế)</t>
      </text>
    </comment>
    <comment ref="E38" authorId="28" shapeId="0" xr:uid="{882099D8-002B-4ECD-9BF7-2BEC87139635}">
      <text>
        <t>[Threaded comment]
Your version of Excel allows you to read this threaded comment; however, any edits to it will get removed if the file is opened in a newer version of Excel. Learn more: https://go.microsoft.com/fwlink/?linkid=870924
Comment:
    sô tiền GCHT ( đơn tháng)</t>
      </text>
    </comment>
    <comment ref="E39" authorId="29" shapeId="0" xr:uid="{A98E8E49-5764-43F6-8FF5-ED10048D008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HT ( lũy kế)</t>
      </text>
    </comment>
    <comment ref="E40" authorId="30" shapeId="0" xr:uid="{5C48C7A1-88ED-4B54-A775-264EC68E76F7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đơn tháng)</t>
      </text>
    </comment>
    <comment ref="E41" authorId="31" shapeId="0" xr:uid="{99A53BF0-A919-42D1-9410-6D11836FF208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lũy kế)</t>
      </text>
    </comment>
    <comment ref="C42" authorId="32" shapeId="0" xr:uid="{5083DCF2-58CE-4E2B-A52F-9511336EDA30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</t>
      </text>
    </comment>
    <comment ref="E42" authorId="33" shapeId="0" xr:uid="{6DCC4FE8-CA38-40A6-85FA-B845A962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đơn tháng</t>
      </text>
    </comment>
    <comment ref="C43" authorId="34" shapeId="0" xr:uid="{D4062742-207F-496E-8D84-52B54D6CFC7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</t>
      </text>
    </comment>
    <comment ref="C44" authorId="35" shapeId="0" xr:uid="{6381A70D-1344-42C0-A715-78E9082321D2}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</t>
      </text>
    </comment>
    <comment ref="C45" authorId="36" shapeId="0" xr:uid="{D91B8F99-97EE-47DD-85E8-5BFDC9AA04DD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 ( lũy kế)</t>
      </text>
    </comment>
    <comment ref="E45" authorId="37" shapeId="0" xr:uid="{D0AEF842-6ABE-419B-A479-6DEE0CCBB18F}">
      <text>
        <t>[Threaded comment]
Your version of Excel allows you to read this threaded comment; however, any edits to it will get removed if the file is opened in a newer version of Excel. Learn more: https://go.microsoft.com/fwlink/?linkid=870924
Comment:
    lũy kế</t>
      </text>
    </comment>
    <comment ref="C46" authorId="38" shapeId="0" xr:uid="{C35136F4-53A4-4860-A278-2A780DD938DA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HTlũy kế</t>
      </text>
    </comment>
    <comment ref="C47" authorId="39" shapeId="0" xr:uid="{119F5C3E-125B-4225-9A15-7343D144BC99}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 ( lũy kế)</t>
      </text>
    </comment>
  </commentList>
</comments>
</file>

<file path=xl/sharedStrings.xml><?xml version="1.0" encoding="utf-8"?>
<sst xmlns="http://schemas.openxmlformats.org/spreadsheetml/2006/main" count="1540" uniqueCount="669">
  <si>
    <t>工程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</si>
  <si>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</si>
  <si>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</si>
  <si>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</si>
  <si>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</si>
  <si>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</si>
  <si>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</si>
  <si>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</si>
  <si>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</si>
  <si>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</si>
  <si>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</si>
  <si>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</si>
  <si>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</si>
  <si>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LA</t>
  </si>
  <si>
    <t>汎用旋盤</t>
  </si>
  <si>
    <t>OKUMA</t>
  </si>
  <si>
    <t>C</t>
  </si>
  <si>
    <t>LA03</t>
  </si>
  <si>
    <t>TAKISAWA</t>
  </si>
  <si>
    <t>TAL-460</t>
  </si>
  <si>
    <t>合計</t>
  </si>
  <si>
    <t>稼働率</t>
  </si>
  <si>
    <t>MA</t>
  </si>
  <si>
    <t>MA02</t>
  </si>
  <si>
    <t>NIIGATA</t>
  </si>
  <si>
    <t>B</t>
  </si>
  <si>
    <t>MA01</t>
  </si>
  <si>
    <t>MA03</t>
  </si>
  <si>
    <t>HASEGAWA</t>
  </si>
  <si>
    <t>HPF-B</t>
  </si>
  <si>
    <t>BJ</t>
  </si>
  <si>
    <t>BJ04</t>
  </si>
  <si>
    <t>MAKINO</t>
  </si>
  <si>
    <t>KSJP-55</t>
  </si>
  <si>
    <t>BJ01</t>
  </si>
  <si>
    <t>DA</t>
  </si>
  <si>
    <t>DA01</t>
  </si>
  <si>
    <t>LN</t>
  </si>
  <si>
    <t>A</t>
  </si>
  <si>
    <t>MAZAK</t>
  </si>
  <si>
    <t>MC</t>
  </si>
  <si>
    <t>ED01</t>
  </si>
  <si>
    <t>Sodick</t>
  </si>
  <si>
    <t>EN</t>
  </si>
  <si>
    <t>EN02</t>
  </si>
  <si>
    <t>CNC放電加工機</t>
  </si>
  <si>
    <t>EN03</t>
  </si>
  <si>
    <t>EW</t>
  </si>
  <si>
    <t>EW02</t>
  </si>
  <si>
    <t>GC</t>
  </si>
  <si>
    <t>WASINO</t>
  </si>
  <si>
    <t>GJ</t>
  </si>
  <si>
    <t>GP</t>
  </si>
  <si>
    <t>CNCﾌﾟﾛﾌｧｲﾙ</t>
  </si>
  <si>
    <t>GP03</t>
  </si>
  <si>
    <t>GR</t>
  </si>
  <si>
    <t>TOYODA</t>
  </si>
  <si>
    <t>GUP32X50</t>
  </si>
  <si>
    <t>GS</t>
  </si>
  <si>
    <t>GS02</t>
  </si>
  <si>
    <t>成形研削盤</t>
  </si>
  <si>
    <t>GS03</t>
  </si>
  <si>
    <t>GS07</t>
  </si>
  <si>
    <t>平面研削盤</t>
  </si>
  <si>
    <t>KURODA</t>
  </si>
  <si>
    <t>GX</t>
  </si>
  <si>
    <t>顧客ｸﾚｰﾑ件数</t>
  </si>
  <si>
    <t>ALL</t>
  </si>
  <si>
    <t>その他</t>
  </si>
  <si>
    <r>
      <rPr>
        <b/>
        <sz val="14"/>
        <color rgb="FFFF0000"/>
        <rFont val="ＭＳ Ｐゴシック"/>
        <family val="2"/>
      </rPr>
      <t>※以下</t>
    </r>
    <r>
      <rPr>
        <b/>
        <sz val="14"/>
        <color rgb="FFFF0000"/>
        <rFont val="細明體"/>
        <family val="3"/>
        <charset val="136"/>
      </rPr>
      <t>为自动计算，所以不需要输入</t>
    </r>
  </si>
  <si>
    <t>☆月末時点の仕事の残工数を表しているものです。</t>
  </si>
  <si>
    <r>
      <rPr>
        <b/>
        <sz val="12"/>
        <rFont val="ＭＳ Ｐゴシック"/>
        <family val="2"/>
      </rPr>
      <t>①</t>
    </r>
    <r>
      <rPr>
        <b/>
        <sz val="12"/>
        <rFont val="細明體"/>
        <family val="3"/>
        <charset val="136"/>
      </rPr>
      <t>每天的负荷时间</t>
    </r>
    <r>
      <rPr>
        <b/>
        <sz val="12"/>
        <rFont val="ＭＳ Ｐゴシック"/>
        <family val="2"/>
      </rPr>
      <t>（分）</t>
    </r>
    <r>
      <rPr>
        <b/>
        <sz val="12"/>
        <rFont val="細明體"/>
        <family val="3"/>
        <charset val="136"/>
      </rPr>
      <t>图表的追加</t>
    </r>
    <r>
      <rPr>
        <b/>
        <sz val="12"/>
        <rFont val="ＭＳ Ｐゴシック"/>
        <family val="2"/>
      </rPr>
      <t>・・・可</t>
    </r>
    <r>
      <rPr>
        <b/>
        <sz val="12"/>
        <rFont val="細明體"/>
        <family val="3"/>
        <charset val="136"/>
      </rPr>
      <t>视</t>
    </r>
    <r>
      <rPr>
        <b/>
        <sz val="12"/>
        <rFont val="ＭＳ Ｐゴシック"/>
        <family val="2"/>
      </rPr>
      <t>化</t>
    </r>
  </si>
  <si>
    <r>
      <rPr>
        <b/>
        <sz val="12"/>
        <color theme="1"/>
        <rFont val="ＭＳ Ｐゴシック"/>
        <family val="2"/>
      </rPr>
      <t>相</t>
    </r>
    <r>
      <rPr>
        <b/>
        <sz val="12"/>
        <color theme="1"/>
        <rFont val="細明體"/>
        <family val="3"/>
        <charset val="136"/>
      </rPr>
      <t>对</t>
    </r>
    <r>
      <rPr>
        <b/>
        <sz val="12"/>
        <color theme="1"/>
        <rFont val="ＭＳ Ｐゴシック"/>
        <family val="2"/>
      </rPr>
      <t>工程能力的工程別負荷時間（日均）</t>
    </r>
    <r>
      <rPr>
        <b/>
        <sz val="12"/>
        <color theme="1"/>
        <rFont val="細明體"/>
        <family val="3"/>
        <charset val="136"/>
      </rPr>
      <t>图表</t>
    </r>
    <r>
      <rPr>
        <b/>
        <sz val="12"/>
        <color theme="1"/>
        <rFont val="ＭＳ Ｐゴシック"/>
        <family val="2"/>
      </rPr>
      <t>追加・・・可視化</t>
    </r>
  </si>
  <si>
    <r>
      <rPr>
        <b/>
        <sz val="12"/>
        <rFont val="ＭＳ Ｐゴシック"/>
        <family val="2"/>
      </rPr>
      <t>②負荷日数</t>
    </r>
    <r>
      <rPr>
        <b/>
        <sz val="12"/>
        <rFont val="細明體"/>
        <family val="3"/>
        <charset val="136"/>
      </rPr>
      <t>图表的</t>
    </r>
    <r>
      <rPr>
        <b/>
        <sz val="12"/>
        <rFont val="ＭＳ Ｐゴシック"/>
        <family val="2"/>
      </rPr>
      <t>追加・・・仕掛天数的可視化</t>
    </r>
  </si>
  <si>
    <t>※目標値的追加・・・L/T短縮的意識</t>
  </si>
  <si>
    <r>
      <rPr>
        <b/>
        <sz val="12"/>
        <rFont val="ＭＳ Ｐゴシック"/>
        <family val="2"/>
      </rPr>
      <t>③</t>
    </r>
    <r>
      <rPr>
        <b/>
        <sz val="12"/>
        <rFont val="細明體"/>
        <family val="3"/>
        <charset val="136"/>
      </rPr>
      <t>图表是以</t>
    </r>
    <r>
      <rPr>
        <b/>
        <sz val="12"/>
        <rFont val="ＭＳ Ｐゴシック"/>
        <family val="2"/>
      </rPr>
      <t>切削系、研削系、放電系、NC系来分類・・・可視化</t>
    </r>
  </si>
  <si>
    <t>別紙4</t>
  </si>
  <si>
    <t>工程毎負荷時間（単位=分）</t>
  </si>
  <si>
    <t>【自動入力】</t>
  </si>
  <si>
    <t>１日工数</t>
  </si>
  <si>
    <t>担当人数</t>
  </si>
  <si>
    <t>保有台数</t>
  </si>
  <si>
    <t>１日能力</t>
  </si>
  <si>
    <t>切削系</t>
  </si>
  <si>
    <t>研削系</t>
  </si>
  <si>
    <t>保有無し</t>
  </si>
  <si>
    <t>放電系</t>
  </si>
  <si>
    <t>ES</t>
  </si>
  <si>
    <t>※自動計算</t>
  </si>
  <si>
    <t>１日当りの負荷時間</t>
  </si>
  <si>
    <t>負荷</t>
  </si>
  <si>
    <t>能力</t>
  </si>
  <si>
    <t>工程負荷日数</t>
  </si>
  <si>
    <t>目標値</t>
  </si>
  <si>
    <t>実績</t>
  </si>
  <si>
    <t>総労働時間当たり加工工数</t>
  </si>
  <si>
    <t>目標値（生産拠点指数）</t>
  </si>
  <si>
    <t>工程</t>
    <rPh sb="0" eb="2">
      <t>コウテイ</t>
    </rPh>
    <phoneticPr fontId="37"/>
  </si>
  <si>
    <t>台数</t>
    <rPh sb="0" eb="2">
      <t>ダイスウ</t>
    </rPh>
    <phoneticPr fontId="37"/>
  </si>
  <si>
    <t>機械</t>
    <rPh sb="0" eb="2">
      <t>キカイ</t>
    </rPh>
    <phoneticPr fontId="37"/>
  </si>
  <si>
    <t>設備名</t>
    <rPh sb="0" eb="2">
      <t>セツビ</t>
    </rPh>
    <rPh sb="2" eb="3">
      <t>ナ</t>
    </rPh>
    <phoneticPr fontId="37"/>
  </si>
  <si>
    <t>ｼﾘｱﾙ№</t>
    <phoneticPr fontId="37"/>
  </si>
  <si>
    <t>ﾒｰｶｰ</t>
    <phoneticPr fontId="38"/>
  </si>
  <si>
    <t>機種</t>
    <rPh sb="0" eb="2">
      <t>キシュ</t>
    </rPh>
    <phoneticPr fontId="38"/>
  </si>
  <si>
    <t>標準稼働時間</t>
    <rPh sb="0" eb="2">
      <t>ヒョウジュン</t>
    </rPh>
    <rPh sb="2" eb="4">
      <t>カドウ</t>
    </rPh>
    <rPh sb="4" eb="6">
      <t>ジカン</t>
    </rPh>
    <phoneticPr fontId="37"/>
  </si>
  <si>
    <t>状態</t>
    <rPh sb="0" eb="2">
      <t>ジョウタイ</t>
    </rPh>
    <phoneticPr fontId="37"/>
  </si>
  <si>
    <t>LA</t>
    <phoneticPr fontId="38"/>
  </si>
  <si>
    <t>合計</t>
    <rPh sb="0" eb="2">
      <t>ゴウケイ</t>
    </rPh>
    <phoneticPr fontId="38"/>
  </si>
  <si>
    <t>稼働率</t>
    <rPh sb="0" eb="2">
      <t>カドウ</t>
    </rPh>
    <rPh sb="2" eb="3">
      <t>リツ</t>
    </rPh>
    <phoneticPr fontId="38"/>
  </si>
  <si>
    <t>MA</t>
    <phoneticPr fontId="38"/>
  </si>
  <si>
    <t>BJ</t>
    <phoneticPr fontId="37"/>
  </si>
  <si>
    <t>BJ</t>
    <phoneticPr fontId="38"/>
  </si>
  <si>
    <t>DA</t>
    <phoneticPr fontId="37"/>
  </si>
  <si>
    <t>DA</t>
    <phoneticPr fontId="38"/>
  </si>
  <si>
    <t>HT</t>
    <phoneticPr fontId="37"/>
  </si>
  <si>
    <t>HT</t>
    <phoneticPr fontId="38"/>
  </si>
  <si>
    <t>ES</t>
    <phoneticPr fontId="37"/>
  </si>
  <si>
    <t>ES</t>
    <phoneticPr fontId="38"/>
  </si>
  <si>
    <t>GR</t>
    <phoneticPr fontId="37"/>
  </si>
  <si>
    <t>GR</t>
    <phoneticPr fontId="38"/>
  </si>
  <si>
    <t>GS</t>
    <phoneticPr fontId="38"/>
  </si>
  <si>
    <t>LN</t>
    <phoneticPr fontId="42"/>
  </si>
  <si>
    <t>LN</t>
    <phoneticPr fontId="38"/>
  </si>
  <si>
    <t>MC</t>
    <phoneticPr fontId="42"/>
  </si>
  <si>
    <t>MC</t>
    <phoneticPr fontId="38"/>
  </si>
  <si>
    <t>ED</t>
    <phoneticPr fontId="42"/>
  </si>
  <si>
    <t>ED</t>
    <phoneticPr fontId="38"/>
  </si>
  <si>
    <t>EN</t>
    <phoneticPr fontId="42"/>
  </si>
  <si>
    <t>EN</t>
    <phoneticPr fontId="38"/>
  </si>
  <si>
    <t>EW</t>
    <phoneticPr fontId="38"/>
  </si>
  <si>
    <t>GC</t>
    <phoneticPr fontId="42"/>
  </si>
  <si>
    <t>GC</t>
    <phoneticPr fontId="38"/>
  </si>
  <si>
    <t>GJ</t>
    <phoneticPr fontId="42"/>
  </si>
  <si>
    <t>GJ</t>
    <phoneticPr fontId="38"/>
  </si>
  <si>
    <t>GP</t>
    <phoneticPr fontId="42"/>
  </si>
  <si>
    <t>GP</t>
    <phoneticPr fontId="38"/>
  </si>
  <si>
    <t>内作受注数量</t>
    <rPh sb="0" eb="2">
      <t>ナイサク</t>
    </rPh>
    <rPh sb="2" eb="4">
      <t>ジュチュウ</t>
    </rPh>
    <rPh sb="4" eb="6">
      <t>スウリョウ</t>
    </rPh>
    <phoneticPr fontId="42"/>
  </si>
  <si>
    <t>1月</t>
    <rPh sb="1" eb="2">
      <t>ツキ</t>
    </rPh>
    <phoneticPr fontId="42"/>
  </si>
  <si>
    <t>※1ヶ月の受注総数量（図面1枚で製作数量が10個の場合は10と報告の事）</t>
    <rPh sb="3" eb="4">
      <t>ゲツ</t>
    </rPh>
    <rPh sb="5" eb="7">
      <t>ジュチュウ</t>
    </rPh>
    <rPh sb="7" eb="8">
      <t>ソウ</t>
    </rPh>
    <rPh sb="8" eb="10">
      <t>スウリョウ</t>
    </rPh>
    <rPh sb="11" eb="13">
      <t>ズメン</t>
    </rPh>
    <rPh sb="14" eb="15">
      <t>マイ</t>
    </rPh>
    <rPh sb="16" eb="18">
      <t>セイサク</t>
    </rPh>
    <rPh sb="18" eb="20">
      <t>スウリョウ</t>
    </rPh>
    <rPh sb="23" eb="24">
      <t>コ</t>
    </rPh>
    <rPh sb="25" eb="27">
      <t>バアイ</t>
    </rPh>
    <rPh sb="31" eb="33">
      <t>ホウコク</t>
    </rPh>
    <rPh sb="34" eb="35">
      <t>コト</t>
    </rPh>
    <phoneticPr fontId="42"/>
  </si>
  <si>
    <t>内作仕掛数量</t>
    <rPh sb="0" eb="2">
      <t>ナイサク</t>
    </rPh>
    <rPh sb="2" eb="4">
      <t>シカカ</t>
    </rPh>
    <rPh sb="4" eb="6">
      <t>スウリョウ</t>
    </rPh>
    <phoneticPr fontId="42"/>
  </si>
  <si>
    <t>※月末時の仕掛り件数（図面1枚仕掛りで製作数量が10個の場合は10と報告の事）</t>
    <rPh sb="1" eb="3">
      <t>ゲツマツ</t>
    </rPh>
    <rPh sb="3" eb="4">
      <t>ジ</t>
    </rPh>
    <rPh sb="5" eb="7">
      <t>シカカ</t>
    </rPh>
    <rPh sb="8" eb="10">
      <t>ケンスウ</t>
    </rPh>
    <rPh sb="15" eb="17">
      <t>シカカ</t>
    </rPh>
    <rPh sb="19" eb="21">
      <t>セイサク</t>
    </rPh>
    <rPh sb="21" eb="23">
      <t>スウリョウ</t>
    </rPh>
    <rPh sb="37" eb="38">
      <t>コト</t>
    </rPh>
    <phoneticPr fontId="42"/>
  </si>
  <si>
    <t>内作完了数量</t>
    <rPh sb="0" eb="2">
      <t>ナイサク</t>
    </rPh>
    <rPh sb="2" eb="4">
      <t>カンリョウ</t>
    </rPh>
    <rPh sb="4" eb="6">
      <t>スウリョウ</t>
    </rPh>
    <phoneticPr fontId="42"/>
  </si>
  <si>
    <t>※1ヶ月の完了総数量（図面1枚で製作数量が10個の場合は10と報告の事）</t>
    <rPh sb="3" eb="4">
      <t>ゲツ</t>
    </rPh>
    <rPh sb="5" eb="7">
      <t>カンリョウ</t>
    </rPh>
    <rPh sb="7" eb="8">
      <t>ソウ</t>
    </rPh>
    <rPh sb="8" eb="10">
      <t>スウリョウ</t>
    </rPh>
    <rPh sb="11" eb="13">
      <t>ズメン</t>
    </rPh>
    <rPh sb="14" eb="15">
      <t>マイ</t>
    </rPh>
    <rPh sb="16" eb="18">
      <t>セイサク</t>
    </rPh>
    <rPh sb="18" eb="20">
      <t>スウリョウ</t>
    </rPh>
    <rPh sb="23" eb="24">
      <t>コ</t>
    </rPh>
    <rPh sb="25" eb="27">
      <t>バアイ</t>
    </rPh>
    <rPh sb="31" eb="33">
      <t>ホウコク</t>
    </rPh>
    <rPh sb="34" eb="35">
      <t>コト</t>
    </rPh>
    <phoneticPr fontId="42"/>
  </si>
  <si>
    <t>内作受注図面枚数</t>
    <rPh sb="0" eb="2">
      <t>ナイサク</t>
    </rPh>
    <rPh sb="2" eb="4">
      <t>ジュチュウ</t>
    </rPh>
    <rPh sb="4" eb="6">
      <t>ズメン</t>
    </rPh>
    <rPh sb="6" eb="8">
      <t>マイスウ</t>
    </rPh>
    <phoneticPr fontId="42"/>
  </si>
  <si>
    <t>※1ヶ月の受注図面総数</t>
    <rPh sb="3" eb="4">
      <t>ゲツ</t>
    </rPh>
    <rPh sb="5" eb="7">
      <t>ジュチュウ</t>
    </rPh>
    <rPh sb="7" eb="9">
      <t>ズメン</t>
    </rPh>
    <rPh sb="9" eb="11">
      <t>ソウスウ</t>
    </rPh>
    <phoneticPr fontId="42"/>
  </si>
  <si>
    <t>内作仕掛図面枚数</t>
    <rPh sb="0" eb="2">
      <t>ナイサク</t>
    </rPh>
    <rPh sb="2" eb="4">
      <t>シカカ</t>
    </rPh>
    <rPh sb="4" eb="6">
      <t>ズメン</t>
    </rPh>
    <rPh sb="6" eb="8">
      <t>マイスウ</t>
    </rPh>
    <phoneticPr fontId="42"/>
  </si>
  <si>
    <t>※月末時の仕掛り図面枚数</t>
    <rPh sb="1" eb="3">
      <t>ゲツマツ</t>
    </rPh>
    <rPh sb="3" eb="4">
      <t>ジ</t>
    </rPh>
    <rPh sb="5" eb="7">
      <t>シカカ</t>
    </rPh>
    <rPh sb="8" eb="10">
      <t>ズメン</t>
    </rPh>
    <rPh sb="10" eb="12">
      <t>マイスウ</t>
    </rPh>
    <phoneticPr fontId="42"/>
  </si>
  <si>
    <t>内作完了図面枚数</t>
    <phoneticPr fontId="42"/>
  </si>
  <si>
    <t>内作完了図面枚数</t>
    <rPh sb="0" eb="2">
      <t>ナイサク</t>
    </rPh>
    <rPh sb="2" eb="4">
      <t>カンリョウ</t>
    </rPh>
    <rPh sb="4" eb="6">
      <t>ズメン</t>
    </rPh>
    <rPh sb="6" eb="8">
      <t>マイスウ</t>
    </rPh>
    <phoneticPr fontId="42"/>
  </si>
  <si>
    <t>※1ヶ月の完了図面総数</t>
    <rPh sb="3" eb="4">
      <t>ゲツ</t>
    </rPh>
    <rPh sb="5" eb="7">
      <t>カンリョウ</t>
    </rPh>
    <rPh sb="7" eb="9">
      <t>ズメン</t>
    </rPh>
    <rPh sb="9" eb="11">
      <t>ソウスウ</t>
    </rPh>
    <phoneticPr fontId="42"/>
  </si>
  <si>
    <t>外作完了図面枚数</t>
    <phoneticPr fontId="42"/>
  </si>
  <si>
    <t>外作完了図面枚数</t>
    <rPh sb="0" eb="2">
      <t>ガイサク</t>
    </rPh>
    <rPh sb="2" eb="4">
      <t>カンリョウ</t>
    </rPh>
    <rPh sb="4" eb="6">
      <t>ズメン</t>
    </rPh>
    <rPh sb="6" eb="8">
      <t>マイスウ</t>
    </rPh>
    <phoneticPr fontId="42"/>
  </si>
  <si>
    <t>※1ヶ月の依頼図面総数</t>
    <rPh sb="3" eb="4">
      <t>ゲツ</t>
    </rPh>
    <rPh sb="5" eb="7">
      <t>イライ</t>
    </rPh>
    <rPh sb="7" eb="9">
      <t>ズメン</t>
    </rPh>
    <rPh sb="9" eb="11">
      <t>ソウスウ</t>
    </rPh>
    <phoneticPr fontId="42"/>
  </si>
  <si>
    <t>納期遵守率（初回納期回答に対する納期遵守率）</t>
    <rPh sb="0" eb="2">
      <t>ノウキ</t>
    </rPh>
    <rPh sb="2" eb="4">
      <t>ジュンシュ</t>
    </rPh>
    <rPh sb="4" eb="5">
      <t>リツ</t>
    </rPh>
    <rPh sb="6" eb="8">
      <t>ショカイ</t>
    </rPh>
    <rPh sb="8" eb="10">
      <t>ノウキ</t>
    </rPh>
    <rPh sb="10" eb="12">
      <t>カイトウ</t>
    </rPh>
    <rPh sb="13" eb="14">
      <t>タイ</t>
    </rPh>
    <rPh sb="16" eb="18">
      <t>ノウキ</t>
    </rPh>
    <rPh sb="18" eb="20">
      <t>ジュンシュ</t>
    </rPh>
    <rPh sb="20" eb="21">
      <t>リツ</t>
    </rPh>
    <phoneticPr fontId="42"/>
  </si>
  <si>
    <t>納期遵守率</t>
    <rPh sb="0" eb="2">
      <t>ノウキ</t>
    </rPh>
    <rPh sb="2" eb="4">
      <t>ジュンシュ</t>
    </rPh>
    <rPh sb="4" eb="5">
      <t>リツ</t>
    </rPh>
    <phoneticPr fontId="38"/>
  </si>
  <si>
    <t>※納期遵守件数÷完了件数×100（小数点第一位まで報告の事）</t>
    <rPh sb="1" eb="3">
      <t>ノウキ</t>
    </rPh>
    <rPh sb="3" eb="5">
      <t>ジュンシュ</t>
    </rPh>
    <rPh sb="5" eb="7">
      <t>ケンスウ</t>
    </rPh>
    <rPh sb="8" eb="10">
      <t>カンリョウ</t>
    </rPh>
    <rPh sb="10" eb="12">
      <t>ケンスウ</t>
    </rPh>
    <rPh sb="17" eb="20">
      <t>ショウスウテン</t>
    </rPh>
    <rPh sb="20" eb="21">
      <t>ダイ</t>
    </rPh>
    <rPh sb="21" eb="23">
      <t>イチイ</t>
    </rPh>
    <rPh sb="25" eb="27">
      <t>ホウコク</t>
    </rPh>
    <rPh sb="28" eb="29">
      <t>コト</t>
    </rPh>
    <phoneticPr fontId="42"/>
  </si>
  <si>
    <t>9-1</t>
    <phoneticPr fontId="38"/>
  </si>
  <si>
    <t>L/T（平均）</t>
    <rPh sb="4" eb="6">
      <t>ヘイキン</t>
    </rPh>
    <phoneticPr fontId="38"/>
  </si>
  <si>
    <t>L/T</t>
    <phoneticPr fontId="38"/>
  </si>
  <si>
    <t>※受付～完了までの平均日数（小数点第一位まで報告の事）</t>
    <rPh sb="1" eb="3">
      <t>ウケツケ</t>
    </rPh>
    <rPh sb="4" eb="6">
      <t>カンリョウ</t>
    </rPh>
    <rPh sb="9" eb="11">
      <t>ヘイキン</t>
    </rPh>
    <rPh sb="11" eb="13">
      <t>ニッスウ</t>
    </rPh>
    <phoneticPr fontId="42"/>
  </si>
  <si>
    <t>L/T（金型）</t>
    <rPh sb="4" eb="6">
      <t>カナガタ</t>
    </rPh>
    <phoneticPr fontId="38"/>
  </si>
  <si>
    <t>L/T（自動機）</t>
    <rPh sb="4" eb="7">
      <t>ジドウキ</t>
    </rPh>
    <phoneticPr fontId="38"/>
  </si>
  <si>
    <t>L/T（その他）</t>
    <rPh sb="6" eb="7">
      <t>タ</t>
    </rPh>
    <phoneticPr fontId="38"/>
  </si>
  <si>
    <t>9-2</t>
    <phoneticPr fontId="38"/>
  </si>
  <si>
    <r>
      <t>※加工開始～完了までの平均日数</t>
    </r>
    <r>
      <rPr>
        <b/>
        <sz val="11"/>
        <color rgb="FFFF0000"/>
        <rFont val="ＭＳ Ｐゴシック"/>
        <family val="3"/>
        <charset val="128"/>
      </rPr>
      <t>（小数点第一位まで報告の事）</t>
    </r>
    <rPh sb="1" eb="3">
      <t>カコウ</t>
    </rPh>
    <rPh sb="3" eb="5">
      <t>カイシ</t>
    </rPh>
    <rPh sb="6" eb="8">
      <t>カンリョウ</t>
    </rPh>
    <rPh sb="11" eb="13">
      <t>ヘイキン</t>
    </rPh>
    <rPh sb="13" eb="15">
      <t>ニッスウ</t>
    </rPh>
    <phoneticPr fontId="42"/>
  </si>
  <si>
    <t>最終検査合格率（ﾚﾝｼﾞ0.02mm以内：高精度）</t>
    <rPh sb="0" eb="2">
      <t>サイシュウ</t>
    </rPh>
    <rPh sb="2" eb="4">
      <t>ケンサ</t>
    </rPh>
    <rPh sb="4" eb="6">
      <t>ゴウカク</t>
    </rPh>
    <rPh sb="6" eb="7">
      <t>リツ</t>
    </rPh>
    <rPh sb="18" eb="20">
      <t>イナイ</t>
    </rPh>
    <rPh sb="21" eb="24">
      <t>コウセイド</t>
    </rPh>
    <phoneticPr fontId="42"/>
  </si>
  <si>
    <t>※検査合格図面枚数÷検査図面枚数×100（小数点第一位まで報告の事）</t>
    <rPh sb="1" eb="3">
      <t>ケンサ</t>
    </rPh>
    <rPh sb="3" eb="5">
      <t>ゴウカク</t>
    </rPh>
    <rPh sb="5" eb="7">
      <t>ズメン</t>
    </rPh>
    <rPh sb="7" eb="9">
      <t>マイスウ</t>
    </rPh>
    <rPh sb="10" eb="12">
      <t>ケンサ</t>
    </rPh>
    <rPh sb="12" eb="14">
      <t>ズメン</t>
    </rPh>
    <rPh sb="14" eb="16">
      <t>マイスウ</t>
    </rPh>
    <phoneticPr fontId="42"/>
  </si>
  <si>
    <t>顧客ｸﾚｰﾑ件数（ｸﾚｰﾑ図面枚数）</t>
    <rPh sb="0" eb="2">
      <t>コキャク</t>
    </rPh>
    <rPh sb="6" eb="8">
      <t>ケンスウ</t>
    </rPh>
    <rPh sb="13" eb="15">
      <t>ズメン</t>
    </rPh>
    <rPh sb="15" eb="17">
      <t>マイスウ</t>
    </rPh>
    <phoneticPr fontId="42"/>
  </si>
  <si>
    <t>※ｸﾚｰﾑ件数（同拠点内のメールや口頭で受けたものも計上する事）</t>
    <rPh sb="5" eb="7">
      <t>ケンスウ</t>
    </rPh>
    <rPh sb="8" eb="9">
      <t>ドウ</t>
    </rPh>
    <rPh sb="9" eb="11">
      <t>キョテン</t>
    </rPh>
    <rPh sb="11" eb="12">
      <t>ナイ</t>
    </rPh>
    <rPh sb="17" eb="19">
      <t>コウトウ</t>
    </rPh>
    <rPh sb="20" eb="21">
      <t>ウ</t>
    </rPh>
    <rPh sb="26" eb="28">
      <t>ケイジョウ</t>
    </rPh>
    <rPh sb="30" eb="31">
      <t>コト</t>
    </rPh>
    <phoneticPr fontId="42"/>
  </si>
  <si>
    <t>【内作】</t>
    <rPh sb="1" eb="3">
      <t>ナイサク</t>
    </rPh>
    <phoneticPr fontId="38"/>
  </si>
  <si>
    <t>自動計算</t>
    <rPh sb="0" eb="2">
      <t>ジドウ</t>
    </rPh>
    <rPh sb="2" eb="4">
      <t>ケイサン</t>
    </rPh>
    <phoneticPr fontId="38"/>
  </si>
  <si>
    <t>自動</t>
    <rPh sb="0" eb="2">
      <t>ジドウ</t>
    </rPh>
    <phoneticPr fontId="38"/>
  </si>
  <si>
    <t>工程不良件数、工程不良率</t>
    <rPh sb="0" eb="2">
      <t>コウテイ</t>
    </rPh>
    <rPh sb="2" eb="4">
      <t>フリョウ</t>
    </rPh>
    <rPh sb="4" eb="6">
      <t>ケンスウ</t>
    </rPh>
    <rPh sb="7" eb="9">
      <t>コウテイ</t>
    </rPh>
    <rPh sb="9" eb="11">
      <t>フリョウ</t>
    </rPh>
    <rPh sb="11" eb="12">
      <t>リツ</t>
    </rPh>
    <phoneticPr fontId="42"/>
  </si>
  <si>
    <t>累計</t>
    <rPh sb="0" eb="2">
      <t>ルイケイ</t>
    </rPh>
    <phoneticPr fontId="38"/>
  </si>
  <si>
    <t>図面総数</t>
    <rPh sb="0" eb="2">
      <t>ズメン</t>
    </rPh>
    <rPh sb="2" eb="4">
      <t>ソウスウ</t>
    </rPh>
    <phoneticPr fontId="42"/>
  </si>
  <si>
    <t>不良件数</t>
    <rPh sb="0" eb="2">
      <t>フリョウ</t>
    </rPh>
    <rPh sb="2" eb="4">
      <t>ケンスウ</t>
    </rPh>
    <phoneticPr fontId="42"/>
  </si>
  <si>
    <t>不良率</t>
    <rPh sb="0" eb="2">
      <t>フリョウ</t>
    </rPh>
    <rPh sb="2" eb="3">
      <t>リツ</t>
    </rPh>
    <phoneticPr fontId="42"/>
  </si>
  <si>
    <t>LA（旋盤）</t>
    <rPh sb="3" eb="5">
      <t>センバン</t>
    </rPh>
    <phoneticPr fontId="42"/>
  </si>
  <si>
    <t>LN（NC旋盤）</t>
    <rPh sb="5" eb="7">
      <t>センバン</t>
    </rPh>
    <phoneticPr fontId="42"/>
  </si>
  <si>
    <t>MA（ﾌﾗｲｽ盤）</t>
    <rPh sb="7" eb="8">
      <t>バン</t>
    </rPh>
    <phoneticPr fontId="42"/>
  </si>
  <si>
    <t>DA（ﾎﾞｰﾙ盤）</t>
    <rPh sb="7" eb="8">
      <t>バン</t>
    </rPh>
    <phoneticPr fontId="42"/>
  </si>
  <si>
    <t>BJ（精密ﾌﾗｲｽ盤）</t>
    <rPh sb="3" eb="5">
      <t>セイミツ</t>
    </rPh>
    <rPh sb="9" eb="10">
      <t>バン</t>
    </rPh>
    <phoneticPr fontId="42"/>
  </si>
  <si>
    <t>MC（ﾏｼﾆﾝｸﾞｾﾝﾀ）</t>
    <phoneticPr fontId="42"/>
  </si>
  <si>
    <t>GS（成形研削盤）</t>
    <rPh sb="3" eb="5">
      <t>セイケイ</t>
    </rPh>
    <rPh sb="5" eb="7">
      <t>ケンサク</t>
    </rPh>
    <rPh sb="7" eb="8">
      <t>バン</t>
    </rPh>
    <phoneticPr fontId="42"/>
  </si>
  <si>
    <t>GR（円筒研削盤）</t>
    <rPh sb="3" eb="5">
      <t>エントウ</t>
    </rPh>
    <rPh sb="5" eb="8">
      <t>ケンサクバン</t>
    </rPh>
    <phoneticPr fontId="42"/>
  </si>
  <si>
    <t>GX（内径研削盤）</t>
    <rPh sb="3" eb="5">
      <t>ナイケイ</t>
    </rPh>
    <rPh sb="5" eb="8">
      <t>ケンサクバン</t>
    </rPh>
    <phoneticPr fontId="42"/>
  </si>
  <si>
    <t>GC（ｾﾝﾀｰﾚｽ）</t>
    <phoneticPr fontId="42"/>
  </si>
  <si>
    <t>GJ（ｼﾞｸﾞ研削盤）</t>
    <rPh sb="7" eb="10">
      <t>ケンサクバン</t>
    </rPh>
    <phoneticPr fontId="42"/>
  </si>
  <si>
    <t>GP（ﾌﾟﾛﾌｧｲﾙ）</t>
    <phoneticPr fontId="42"/>
  </si>
  <si>
    <t>EN（NC放電）</t>
    <rPh sb="5" eb="7">
      <t>ホウデン</t>
    </rPh>
    <phoneticPr fontId="42"/>
  </si>
  <si>
    <t>ES（汎用放電）</t>
    <rPh sb="3" eb="5">
      <t>ハンヨウ</t>
    </rPh>
    <rPh sb="5" eb="7">
      <t>ホウデン</t>
    </rPh>
    <phoneticPr fontId="42"/>
  </si>
  <si>
    <t>EW（ﾜｲﾔｰｶｯﾄ）</t>
    <phoneticPr fontId="42"/>
  </si>
  <si>
    <t>その他</t>
    <rPh sb="2" eb="3">
      <t>タ</t>
    </rPh>
    <phoneticPr fontId="42"/>
  </si>
  <si>
    <t>※不良件数=工程不良図面枚数</t>
    <rPh sb="1" eb="3">
      <t>フリョウ</t>
    </rPh>
    <rPh sb="3" eb="5">
      <t>ケンスウ</t>
    </rPh>
    <rPh sb="6" eb="8">
      <t>コウテイ</t>
    </rPh>
    <rPh sb="8" eb="10">
      <t>フリョウ</t>
    </rPh>
    <rPh sb="10" eb="12">
      <t>ズメン</t>
    </rPh>
    <rPh sb="12" eb="14">
      <t>マイスウ</t>
    </rPh>
    <phoneticPr fontId="42"/>
  </si>
  <si>
    <t>※不良率=工程不良図面枚数÷工程完了図面枚数×100</t>
    <rPh sb="1" eb="3">
      <t>フリョウ</t>
    </rPh>
    <rPh sb="3" eb="4">
      <t>リツ</t>
    </rPh>
    <rPh sb="5" eb="7">
      <t>コウテイ</t>
    </rPh>
    <rPh sb="7" eb="9">
      <t>フリョウ</t>
    </rPh>
    <rPh sb="9" eb="11">
      <t>ズメン</t>
    </rPh>
    <rPh sb="11" eb="13">
      <t>マイスウ</t>
    </rPh>
    <rPh sb="14" eb="16">
      <t>コウテイ</t>
    </rPh>
    <rPh sb="16" eb="18">
      <t>カンリョウ</t>
    </rPh>
    <rPh sb="18" eb="20">
      <t>ズメン</t>
    </rPh>
    <rPh sb="20" eb="22">
      <t>マイスウ</t>
    </rPh>
    <phoneticPr fontId="42"/>
  </si>
  <si>
    <t>※自動入力</t>
    <rPh sb="1" eb="3">
      <t>ジドウ</t>
    </rPh>
    <rPh sb="3" eb="5">
      <t>ニュウリョク</t>
    </rPh>
    <phoneticPr fontId="38"/>
  </si>
  <si>
    <t>【外作】</t>
    <rPh sb="1" eb="3">
      <t>ガイサク</t>
    </rPh>
    <phoneticPr fontId="38"/>
  </si>
  <si>
    <t>業者No</t>
    <rPh sb="0" eb="2">
      <t>ギョウシャ</t>
    </rPh>
    <phoneticPr fontId="38"/>
  </si>
  <si>
    <t>業者名</t>
    <rPh sb="0" eb="2">
      <t>ギョウシャ</t>
    </rPh>
    <rPh sb="2" eb="3">
      <t>メイ</t>
    </rPh>
    <phoneticPr fontId="38"/>
  </si>
  <si>
    <t>9月</t>
    <phoneticPr fontId="38"/>
  </si>
  <si>
    <t>ALL</t>
    <phoneticPr fontId="42"/>
  </si>
  <si>
    <t>項目</t>
    <rPh sb="0" eb="2">
      <t>コウモク</t>
    </rPh>
    <phoneticPr fontId="42"/>
  </si>
  <si>
    <t>計算式</t>
    <rPh sb="0" eb="2">
      <t>ケイサン</t>
    </rPh>
    <rPh sb="2" eb="3">
      <t>シキ</t>
    </rPh>
    <phoneticPr fontId="38"/>
  </si>
  <si>
    <t>１．人</t>
    <phoneticPr fontId="38"/>
  </si>
  <si>
    <t>a</t>
    <phoneticPr fontId="38"/>
  </si>
  <si>
    <t>総人数 （合計）</t>
    <rPh sb="1" eb="2">
      <t>ニン</t>
    </rPh>
    <rPh sb="2" eb="3">
      <t>スウ</t>
    </rPh>
    <rPh sb="5" eb="7">
      <t>ゴウケイ</t>
    </rPh>
    <phoneticPr fontId="42"/>
  </si>
  <si>
    <t>単月</t>
    <rPh sb="0" eb="1">
      <t>タン</t>
    </rPh>
    <rPh sb="1" eb="2">
      <t>ゲツ</t>
    </rPh>
    <phoneticPr fontId="38"/>
  </si>
  <si>
    <t>b</t>
    <phoneticPr fontId="38"/>
  </si>
  <si>
    <t>加工者人数</t>
    <rPh sb="0" eb="2">
      <t>カコウ</t>
    </rPh>
    <rPh sb="2" eb="3">
      <t>シャ</t>
    </rPh>
    <phoneticPr fontId="42"/>
  </si>
  <si>
    <t>c</t>
    <phoneticPr fontId="38"/>
  </si>
  <si>
    <t>その他の人数</t>
    <rPh sb="2" eb="3">
      <t>タ</t>
    </rPh>
    <phoneticPr fontId="42"/>
  </si>
  <si>
    <t>c=a-b</t>
    <phoneticPr fontId="38"/>
  </si>
  <si>
    <t>２．時間</t>
    <phoneticPr fontId="38"/>
  </si>
  <si>
    <t>d</t>
    <phoneticPr fontId="38"/>
  </si>
  <si>
    <t>稼働日数</t>
    <rPh sb="2" eb="3">
      <t>ヒ</t>
    </rPh>
    <rPh sb="3" eb="4">
      <t>スウ</t>
    </rPh>
    <phoneticPr fontId="42"/>
  </si>
  <si>
    <t>e</t>
    <phoneticPr fontId="38"/>
  </si>
  <si>
    <t>f</t>
    <phoneticPr fontId="38"/>
  </si>
  <si>
    <t>g</t>
    <phoneticPr fontId="38"/>
  </si>
  <si>
    <t>１人/日　平均稼働時間</t>
    <rPh sb="1" eb="2">
      <t>ヒト</t>
    </rPh>
    <rPh sb="3" eb="4">
      <t>ヒ</t>
    </rPh>
    <rPh sb="5" eb="7">
      <t>ヘイキン</t>
    </rPh>
    <rPh sb="7" eb="9">
      <t>カドウ</t>
    </rPh>
    <rPh sb="9" eb="11">
      <t>ジカン</t>
    </rPh>
    <phoneticPr fontId="38"/>
  </si>
  <si>
    <t>g=e/d/b</t>
    <phoneticPr fontId="38"/>
  </si>
  <si>
    <t>実績</t>
    <phoneticPr fontId="38"/>
  </si>
  <si>
    <t>h</t>
    <phoneticPr fontId="38"/>
  </si>
  <si>
    <t>実加工時間 （h）</t>
    <rPh sb="0" eb="1">
      <t>ジツ</t>
    </rPh>
    <rPh sb="1" eb="3">
      <t>カコウ</t>
    </rPh>
    <rPh sb="3" eb="5">
      <t>ジカン</t>
    </rPh>
    <phoneticPr fontId="42"/>
  </si>
  <si>
    <t>予定</t>
    <rPh sb="0" eb="2">
      <t>ヨテイ</t>
    </rPh>
    <phoneticPr fontId="38"/>
  </si>
  <si>
    <t>i</t>
    <phoneticPr fontId="38"/>
  </si>
  <si>
    <t>j</t>
    <phoneticPr fontId="38"/>
  </si>
  <si>
    <t>有人稼働時間</t>
    <rPh sb="0" eb="1">
      <t>ユウ</t>
    </rPh>
    <rPh sb="1" eb="2">
      <t>ヒト</t>
    </rPh>
    <rPh sb="2" eb="4">
      <t>カドウ</t>
    </rPh>
    <rPh sb="4" eb="6">
      <t>ジカン</t>
    </rPh>
    <phoneticPr fontId="38"/>
  </si>
  <si>
    <t>k</t>
    <phoneticPr fontId="38"/>
  </si>
  <si>
    <t>無人稼働時間</t>
    <rPh sb="0" eb="2">
      <t>ムジン</t>
    </rPh>
    <rPh sb="2" eb="4">
      <t>カドウ</t>
    </rPh>
    <rPh sb="4" eb="6">
      <t>ジカン</t>
    </rPh>
    <phoneticPr fontId="38"/>
  </si>
  <si>
    <t>k=i-j</t>
    <phoneticPr fontId="42"/>
  </si>
  <si>
    <t>◎</t>
    <phoneticPr fontId="38"/>
  </si>
  <si>
    <t>無人稼働率(%)</t>
    <rPh sb="0" eb="2">
      <t>ムジン</t>
    </rPh>
    <rPh sb="2" eb="4">
      <t>カドウ</t>
    </rPh>
    <rPh sb="4" eb="5">
      <t>リツ</t>
    </rPh>
    <phoneticPr fontId="38"/>
  </si>
  <si>
    <t>◎=k/i*100</t>
    <phoneticPr fontId="38"/>
  </si>
  <si>
    <t>l</t>
    <phoneticPr fontId="38"/>
  </si>
  <si>
    <t>加工効率</t>
    <phoneticPr fontId="42"/>
  </si>
  <si>
    <t>l=i/h</t>
    <phoneticPr fontId="38"/>
  </si>
  <si>
    <t>m</t>
    <phoneticPr fontId="38"/>
  </si>
  <si>
    <t>m=i/e</t>
    <phoneticPr fontId="42"/>
  </si>
  <si>
    <t>n</t>
    <phoneticPr fontId="38"/>
  </si>
  <si>
    <t>３．品質</t>
    <rPh sb="2" eb="4">
      <t>ヒンシツ</t>
    </rPh>
    <phoneticPr fontId="38"/>
  </si>
  <si>
    <t>o</t>
    <phoneticPr fontId="38"/>
  </si>
  <si>
    <t>不良件数（枚）</t>
    <rPh sb="0" eb="2">
      <t>フリョウ</t>
    </rPh>
    <rPh sb="2" eb="4">
      <t>ケンスウ</t>
    </rPh>
    <rPh sb="5" eb="6">
      <t>マイ</t>
    </rPh>
    <phoneticPr fontId="38"/>
  </si>
  <si>
    <t>単月</t>
    <rPh sb="0" eb="2">
      <t>タンゲツ</t>
    </rPh>
    <phoneticPr fontId="38"/>
  </si>
  <si>
    <t>p</t>
    <phoneticPr fontId="38"/>
  </si>
  <si>
    <t>不良工数（ｈ）</t>
    <rPh sb="0" eb="2">
      <t>フリョウ</t>
    </rPh>
    <rPh sb="2" eb="4">
      <t>コウスウ</t>
    </rPh>
    <phoneticPr fontId="38"/>
  </si>
  <si>
    <t>q</t>
    <phoneticPr fontId="38"/>
  </si>
  <si>
    <t>総加工時間 （h）</t>
    <rPh sb="1" eb="3">
      <t>カコウ</t>
    </rPh>
    <rPh sb="3" eb="5">
      <t>ジカン</t>
    </rPh>
    <phoneticPr fontId="42"/>
  </si>
  <si>
    <t>q=i</t>
    <phoneticPr fontId="38"/>
  </si>
  <si>
    <t>r</t>
    <phoneticPr fontId="38"/>
  </si>
  <si>
    <t>不良工数率（％）</t>
    <rPh sb="0" eb="2">
      <t>フリョウ</t>
    </rPh>
    <rPh sb="2" eb="4">
      <t>コウスウ</t>
    </rPh>
    <rPh sb="4" eb="5">
      <t>リツ</t>
    </rPh>
    <phoneticPr fontId="38"/>
  </si>
  <si>
    <t>r=p/q</t>
    <phoneticPr fontId="38"/>
  </si>
  <si>
    <t>４．コスト</t>
    <phoneticPr fontId="38"/>
  </si>
  <si>
    <t>s</t>
    <phoneticPr fontId="38"/>
  </si>
  <si>
    <t>1人当たりの加工工数（h）</t>
    <rPh sb="0" eb="2">
      <t>ヒトリ</t>
    </rPh>
    <rPh sb="2" eb="3">
      <t>ア</t>
    </rPh>
    <rPh sb="6" eb="8">
      <t>カコウ</t>
    </rPh>
    <rPh sb="8" eb="10">
      <t>コウスウ</t>
    </rPh>
    <phoneticPr fontId="38"/>
  </si>
  <si>
    <t>s=q/b</t>
    <phoneticPr fontId="38"/>
  </si>
  <si>
    <t>t</t>
    <phoneticPr fontId="38"/>
  </si>
  <si>
    <t>１人当たりの加工個数（Pcs）</t>
    <rPh sb="2" eb="3">
      <t>ア</t>
    </rPh>
    <rPh sb="6" eb="8">
      <t>カコウ</t>
    </rPh>
    <rPh sb="8" eb="10">
      <t>コスウ</t>
    </rPh>
    <phoneticPr fontId="38"/>
  </si>
  <si>
    <t>t=w/b</t>
    <phoneticPr fontId="38"/>
  </si>
  <si>
    <t>５．生産性
(内作)</t>
    <phoneticPr fontId="38"/>
  </si>
  <si>
    <t>u</t>
    <phoneticPr fontId="38"/>
  </si>
  <si>
    <t>完成総図面数量 (枚)</t>
    <rPh sb="0" eb="2">
      <t>カンセイ</t>
    </rPh>
    <rPh sb="3" eb="5">
      <t>ズメン</t>
    </rPh>
    <rPh sb="9" eb="10">
      <t>マイ</t>
    </rPh>
    <phoneticPr fontId="42"/>
  </si>
  <si>
    <t>v</t>
    <phoneticPr fontId="38"/>
  </si>
  <si>
    <t>w</t>
    <phoneticPr fontId="38"/>
  </si>
  <si>
    <t>完成総数量 (Pcs)</t>
    <rPh sb="0" eb="2">
      <t>カンセイ</t>
    </rPh>
    <rPh sb="3" eb="5">
      <t>スウリョウ</t>
    </rPh>
    <phoneticPr fontId="42"/>
  </si>
  <si>
    <t>x</t>
    <phoneticPr fontId="38"/>
  </si>
  <si>
    <t>y</t>
    <phoneticPr fontId="38"/>
  </si>
  <si>
    <t>P/M.H 値 (図面）</t>
    <phoneticPr fontId="42"/>
  </si>
  <si>
    <t>y=u/e</t>
    <phoneticPr fontId="42"/>
  </si>
  <si>
    <t>z</t>
    <phoneticPr fontId="38"/>
  </si>
  <si>
    <t>z=v/f</t>
    <phoneticPr fontId="42"/>
  </si>
  <si>
    <t>A</t>
    <phoneticPr fontId="38"/>
  </si>
  <si>
    <t>P/M.H 値 (Ｐｃｓ)</t>
    <phoneticPr fontId="42"/>
  </si>
  <si>
    <t>A=w/e</t>
    <phoneticPr fontId="42"/>
  </si>
  <si>
    <t>B</t>
    <phoneticPr fontId="38"/>
  </si>
  <si>
    <t>B=x/f</t>
    <phoneticPr fontId="42"/>
  </si>
  <si>
    <t>C</t>
    <phoneticPr fontId="38"/>
  </si>
  <si>
    <t>加工完了金額 (単位)</t>
    <rPh sb="0" eb="2">
      <t>カコウ</t>
    </rPh>
    <rPh sb="4" eb="6">
      <t>キンガク</t>
    </rPh>
    <rPh sb="8" eb="10">
      <t>タンイ</t>
    </rPh>
    <phoneticPr fontId="42"/>
  </si>
  <si>
    <t>D</t>
    <phoneticPr fontId="38"/>
  </si>
  <si>
    <t>E</t>
    <phoneticPr fontId="38"/>
  </si>
  <si>
    <t>加工費/M.H  (単位)</t>
    <rPh sb="10" eb="12">
      <t>タンイ</t>
    </rPh>
    <phoneticPr fontId="42"/>
  </si>
  <si>
    <t>E=C/e</t>
    <phoneticPr fontId="42"/>
  </si>
  <si>
    <t>F</t>
    <phoneticPr fontId="38"/>
  </si>
  <si>
    <t>F=D/f</t>
    <phoneticPr fontId="42"/>
  </si>
  <si>
    <t>６．生産性
(外作)</t>
    <rPh sb="2" eb="5">
      <t>セイサンセイ</t>
    </rPh>
    <rPh sb="7" eb="9">
      <t>ガイサク</t>
    </rPh>
    <phoneticPr fontId="38"/>
  </si>
  <si>
    <t>G</t>
    <phoneticPr fontId="38"/>
  </si>
  <si>
    <t>完成総図面枚数 (枚)</t>
    <rPh sb="0" eb="2">
      <t>カンセイ</t>
    </rPh>
    <rPh sb="3" eb="5">
      <t>ズメン</t>
    </rPh>
    <rPh sb="5" eb="7">
      <t>マイスウ</t>
    </rPh>
    <rPh sb="9" eb="10">
      <t>マイ</t>
    </rPh>
    <phoneticPr fontId="42"/>
  </si>
  <si>
    <t>H</t>
    <phoneticPr fontId="38"/>
  </si>
  <si>
    <t>T</t>
    <phoneticPr fontId="42"/>
  </si>
  <si>
    <t>I</t>
    <phoneticPr fontId="38"/>
  </si>
  <si>
    <t>加工金額 (単位)</t>
    <rPh sb="0" eb="2">
      <t>カコウ</t>
    </rPh>
    <rPh sb="2" eb="4">
      <t>キンガク</t>
    </rPh>
    <rPh sb="6" eb="8">
      <t>タンイ</t>
    </rPh>
    <phoneticPr fontId="42"/>
  </si>
  <si>
    <t>U</t>
    <phoneticPr fontId="42"/>
  </si>
  <si>
    <t>J</t>
    <phoneticPr fontId="38"/>
  </si>
  <si>
    <t>完成総図面枚数 (枚)</t>
    <rPh sb="0" eb="2">
      <t>カンセイ</t>
    </rPh>
    <rPh sb="2" eb="3">
      <t>ソウ</t>
    </rPh>
    <rPh sb="3" eb="5">
      <t>ズメン</t>
    </rPh>
    <rPh sb="5" eb="7">
      <t>マイスウ</t>
    </rPh>
    <rPh sb="9" eb="10">
      <t>マイ</t>
    </rPh>
    <phoneticPr fontId="42"/>
  </si>
  <si>
    <t>s</t>
    <phoneticPr fontId="42"/>
  </si>
  <si>
    <t>K</t>
    <phoneticPr fontId="38"/>
  </si>
  <si>
    <t>完成総数量 (Pcs)</t>
    <phoneticPr fontId="42"/>
  </si>
  <si>
    <t>t</t>
    <phoneticPr fontId="42"/>
  </si>
  <si>
    <t>L</t>
    <phoneticPr fontId="38"/>
  </si>
  <si>
    <t>加工金額 (単位)</t>
    <rPh sb="6" eb="8">
      <t>タンイ</t>
    </rPh>
    <phoneticPr fontId="38"/>
  </si>
  <si>
    <t>u</t>
    <phoneticPr fontId="42"/>
  </si>
  <si>
    <t>内作完了図面</t>
    <rPh sb="0" eb="2">
      <t>ナイサク</t>
    </rPh>
    <rPh sb="2" eb="4">
      <t>カンリョウ</t>
    </rPh>
    <rPh sb="4" eb="6">
      <t>ズメン</t>
    </rPh>
    <phoneticPr fontId="38"/>
  </si>
  <si>
    <t>外作完了図面</t>
    <rPh sb="0" eb="2">
      <t>ガイサク</t>
    </rPh>
    <rPh sb="2" eb="4">
      <t>カンリョウ</t>
    </rPh>
    <rPh sb="4" eb="6">
      <t>ズメン</t>
    </rPh>
    <phoneticPr fontId="38"/>
  </si>
  <si>
    <t>内作完了金額</t>
    <rPh sb="0" eb="2">
      <t>ナイサク</t>
    </rPh>
    <rPh sb="2" eb="4">
      <t>カンリョウ</t>
    </rPh>
    <rPh sb="4" eb="6">
      <t>キンガク</t>
    </rPh>
    <phoneticPr fontId="38"/>
  </si>
  <si>
    <t>外作完了金額</t>
    <rPh sb="0" eb="2">
      <t>ガイサク</t>
    </rPh>
    <rPh sb="2" eb="4">
      <t>カンリョウ</t>
    </rPh>
    <rPh sb="4" eb="6">
      <t>キンガク</t>
    </rPh>
    <phoneticPr fontId="38"/>
  </si>
  <si>
    <r>
      <t>※以下</t>
    </r>
    <r>
      <rPr>
        <b/>
        <sz val="14"/>
        <color rgb="FFFF0000"/>
        <rFont val="細明體"/>
        <family val="3"/>
        <charset val="136"/>
      </rPr>
      <t>为</t>
    </r>
    <r>
      <rPr>
        <b/>
        <sz val="14"/>
        <color rgb="FFFF0000"/>
        <rFont val="ＭＳ Ｐゴシック"/>
        <family val="3"/>
        <charset val="128"/>
      </rPr>
      <t>自</t>
    </r>
    <r>
      <rPr>
        <b/>
        <sz val="14"/>
        <color rgb="FFFF0000"/>
        <rFont val="細明體"/>
        <family val="3"/>
        <charset val="136"/>
      </rPr>
      <t>动</t>
    </r>
    <r>
      <rPr>
        <b/>
        <sz val="14"/>
        <color rgb="FFFF0000"/>
        <rFont val="ＭＳ Ｐゴシック"/>
        <family val="3"/>
        <charset val="128"/>
      </rPr>
      <t>机算，不需要</t>
    </r>
    <r>
      <rPr>
        <b/>
        <sz val="14"/>
        <color rgb="FFFF0000"/>
        <rFont val="細明體"/>
        <family val="3"/>
        <charset val="136"/>
      </rPr>
      <t>输</t>
    </r>
    <r>
      <rPr>
        <b/>
        <sz val="14"/>
        <color rgb="FFFF0000"/>
        <rFont val="ＭＳ Ｐゴシック"/>
        <family val="3"/>
        <charset val="128"/>
      </rPr>
      <t>入。</t>
    </r>
  </si>
  <si>
    <t>VDM</t>
    <phoneticPr fontId="36"/>
  </si>
  <si>
    <t>LS450*800</t>
  </si>
  <si>
    <t>仕事無し/少ない</t>
  </si>
  <si>
    <t>0168-AA</t>
  </si>
  <si>
    <t>LA04</t>
  </si>
  <si>
    <t>0167-AA</t>
  </si>
  <si>
    <t>ﾌﾗｲｽ盤</t>
  </si>
  <si>
    <t>0690-AA</t>
  </si>
  <si>
    <t>SHIZUOKA</t>
  </si>
  <si>
    <t>SV-CH</t>
  </si>
  <si>
    <t>0691-AA</t>
  </si>
  <si>
    <t>0174-AA</t>
  </si>
  <si>
    <t>2UMB</t>
  </si>
  <si>
    <t>MA04</t>
  </si>
  <si>
    <t>0606-AA</t>
  </si>
  <si>
    <t>IWASHITA</t>
  </si>
  <si>
    <t>NK-1/2</t>
  </si>
  <si>
    <t>精密ﾌﾗｲｽ盤</t>
  </si>
  <si>
    <t>0706-AA</t>
  </si>
  <si>
    <t>0179-AA</t>
  </si>
  <si>
    <t>BJ06</t>
  </si>
  <si>
    <t>0180-AA</t>
  </si>
  <si>
    <t>M-K2</t>
  </si>
  <si>
    <t>BJ07</t>
  </si>
  <si>
    <t>0707-AA</t>
  </si>
  <si>
    <t>卓上ボール盤</t>
  </si>
  <si>
    <t>0181-AA</t>
  </si>
  <si>
    <t>YOSHIDA(ＶＮＭ改造)</t>
  </si>
  <si>
    <t>XY座標付</t>
  </si>
  <si>
    <t>多量品穴加工用</t>
  </si>
  <si>
    <t>DA04</t>
  </si>
  <si>
    <t>ﾗｼﾞｱﾙﾎﾞｰﾙ盤</t>
  </si>
  <si>
    <t>0184-AA</t>
  </si>
  <si>
    <t>DMB-YH152R</t>
  </si>
  <si>
    <t>ネジ加工専用</t>
  </si>
  <si>
    <t>HT01</t>
  </si>
  <si>
    <t>電気炉(焼入れ)</t>
  </si>
  <si>
    <t>0200-AA</t>
  </si>
  <si>
    <t>THERMAL</t>
  </si>
  <si>
    <t>RBM4/K</t>
  </si>
  <si>
    <t>対象外</t>
  </si>
  <si>
    <t>HT02</t>
  </si>
  <si>
    <t>電気炉（焼戻し）</t>
  </si>
  <si>
    <t>0201-AA</t>
  </si>
  <si>
    <t>TL-4</t>
  </si>
  <si>
    <t>CNC旋盤</t>
  </si>
  <si>
    <t>0649-AA</t>
  </si>
  <si>
    <t>QT Smart 200M</t>
  </si>
  <si>
    <t>0708-AA</t>
  </si>
  <si>
    <t>QUICK TURN 200MY(500U)</t>
  </si>
  <si>
    <t>MC1</t>
  </si>
  <si>
    <t>一般ﾏｼﾆﾝｸﾞｾﾝﾀ</t>
  </si>
  <si>
    <t>0645-AA</t>
  </si>
  <si>
    <t>SMART430A</t>
  </si>
  <si>
    <t>MC2</t>
  </si>
  <si>
    <t>0669-AA</t>
  </si>
  <si>
    <t>MC3</t>
  </si>
  <si>
    <t>高精度ﾏｼﾆﾝｸﾞｾﾝﾀ</t>
    <phoneticPr fontId="38"/>
  </si>
  <si>
    <t>0769-AA</t>
  </si>
  <si>
    <r>
      <t xml:space="preserve">V33i </t>
    </r>
    <r>
      <rPr>
        <sz val="8"/>
        <color rgb="FF000000"/>
        <rFont val="Arial"/>
        <family val="2"/>
      </rPr>
      <t xml:space="preserve">(3R </t>
    </r>
    <r>
      <rPr>
        <sz val="8"/>
        <color rgb="FF000000"/>
        <rFont val="ＭＳ Ｐゴシック"/>
        <family val="3"/>
        <charset val="128"/>
      </rPr>
      <t>システム)</t>
    </r>
  </si>
  <si>
    <t>0196-AA</t>
  </si>
  <si>
    <t>K1C</t>
  </si>
  <si>
    <t>EN0１</t>
  </si>
  <si>
    <t>0194-AA</t>
  </si>
  <si>
    <t>0630-AA</t>
  </si>
  <si>
    <t>AG40L</t>
  </si>
  <si>
    <t>0668-AA</t>
  </si>
  <si>
    <t>EW0１</t>
  </si>
  <si>
    <t>ﾜｲﾔ放電加工機</t>
  </si>
  <si>
    <t>0195-AA</t>
  </si>
  <si>
    <t>AQ327L</t>
  </si>
  <si>
    <t>0629-AA</t>
  </si>
  <si>
    <t>SL400Q</t>
  </si>
  <si>
    <t>EW03</t>
  </si>
  <si>
    <t>0667-AA</t>
  </si>
  <si>
    <t>ALN400G</t>
  </si>
  <si>
    <t>GC01</t>
    <phoneticPr fontId="42"/>
  </si>
  <si>
    <t>ｾﾝﾀﾚｽ研削盤</t>
    <rPh sb="5" eb="7">
      <t>ケンサク</t>
    </rPh>
    <rPh sb="7" eb="8">
      <t>バン</t>
    </rPh>
    <phoneticPr fontId="42"/>
  </si>
  <si>
    <t>0189-AA</t>
    <phoneticPr fontId="42"/>
  </si>
  <si>
    <t>TFG-M1</t>
  </si>
  <si>
    <t>GC02</t>
  </si>
  <si>
    <t>ｾﾝﾀﾚｽ研削盤</t>
  </si>
  <si>
    <t>0761-AA</t>
  </si>
  <si>
    <t>AMADA</t>
  </si>
  <si>
    <t>TF-M1</t>
  </si>
  <si>
    <t>GJ02</t>
  </si>
  <si>
    <t>NC治具研削盤</t>
  </si>
  <si>
    <t>0648-AA</t>
  </si>
  <si>
    <t>FURUKAWA</t>
  </si>
  <si>
    <t>FKS-4500</t>
  </si>
  <si>
    <t>一人2台作業</t>
  </si>
  <si>
    <t>GJ03</t>
  </si>
  <si>
    <t>0763-AA</t>
  </si>
  <si>
    <t>FKS-4500</t>
    <phoneticPr fontId="38"/>
  </si>
  <si>
    <t>GP02</t>
  </si>
  <si>
    <t>0646-AA</t>
  </si>
  <si>
    <t>GLS-150G LED</t>
  </si>
  <si>
    <t>CNCﾌﾟﾛﾌｧｲﾙ研削盤</t>
  </si>
  <si>
    <t>0752-AA</t>
  </si>
  <si>
    <t>GSL-150GL</t>
  </si>
  <si>
    <t>GR02</t>
  </si>
  <si>
    <t>万能円筒研削盤</t>
  </si>
  <si>
    <t>0671-AA</t>
  </si>
  <si>
    <t>SHIGIYA</t>
  </si>
  <si>
    <t>GP-20-50A</t>
  </si>
  <si>
    <t>GR04</t>
  </si>
  <si>
    <t>0656-AA</t>
    <phoneticPr fontId="42"/>
  </si>
  <si>
    <t>0636-AA</t>
  </si>
  <si>
    <t>GS-45HL</t>
  </si>
  <si>
    <t>0750-AA</t>
  </si>
  <si>
    <t>0688-AA</t>
    <phoneticPr fontId="38"/>
  </si>
  <si>
    <t>GS04</t>
  </si>
  <si>
    <t>0751-AA</t>
  </si>
  <si>
    <t>GS05</t>
  </si>
  <si>
    <t>0663-AA</t>
  </si>
  <si>
    <t>0662-AA</t>
  </si>
  <si>
    <t>GS65-PFⅡ</t>
  </si>
  <si>
    <t>0637-AA</t>
  </si>
  <si>
    <t>A0001</t>
    <phoneticPr fontId="31"/>
  </si>
  <si>
    <t>MMK</t>
    <phoneticPr fontId="38"/>
  </si>
  <si>
    <t>A0002</t>
    <phoneticPr fontId="31"/>
  </si>
  <si>
    <t>TWM</t>
    <phoneticPr fontId="38"/>
  </si>
  <si>
    <t>A0004</t>
    <phoneticPr fontId="31"/>
  </si>
  <si>
    <t>A0005</t>
    <phoneticPr fontId="31"/>
  </si>
  <si>
    <t>TKM</t>
    <phoneticPr fontId="38"/>
  </si>
  <si>
    <t>VNM</t>
    <phoneticPr fontId="31"/>
  </si>
  <si>
    <t>PUNCH</t>
    <phoneticPr fontId="31"/>
  </si>
  <si>
    <t>VD069</t>
  </si>
  <si>
    <t>VD065</t>
  </si>
  <si>
    <t>ISHISEI</t>
  </si>
  <si>
    <t>A&amp;D</t>
  </si>
  <si>
    <t>VD230</t>
  </si>
  <si>
    <t>SAKURA</t>
  </si>
  <si>
    <t>VD203</t>
  </si>
  <si>
    <t>FINECS</t>
  </si>
  <si>
    <t>VD220</t>
  </si>
  <si>
    <t>AMERIX</t>
  </si>
  <si>
    <t>VD221</t>
  </si>
  <si>
    <t>HITECH</t>
  </si>
  <si>
    <t>VD269</t>
  </si>
  <si>
    <t xml:space="preserve">CENTRAL TECH </t>
  </si>
  <si>
    <t>①工程別不良件数グラフの追加・・・可視化</t>
    <rPh sb="1" eb="3">
      <t>コウテイ</t>
    </rPh>
    <rPh sb="3" eb="4">
      <t>ベツ</t>
    </rPh>
    <rPh sb="4" eb="6">
      <t>フリョウ</t>
    </rPh>
    <rPh sb="6" eb="8">
      <t>ケンスウ</t>
    </rPh>
    <rPh sb="12" eb="14">
      <t>ツイカ</t>
    </rPh>
    <rPh sb="17" eb="20">
      <t>カシカ</t>
    </rPh>
    <phoneticPr fontId="38"/>
  </si>
  <si>
    <t>②工程別不良率グラフの追加・・・可視化</t>
    <rPh sb="1" eb="3">
      <t>コウテイ</t>
    </rPh>
    <rPh sb="3" eb="4">
      <t>ベツ</t>
    </rPh>
    <rPh sb="4" eb="6">
      <t>フリョウ</t>
    </rPh>
    <rPh sb="6" eb="7">
      <t>リツ</t>
    </rPh>
    <rPh sb="11" eb="13">
      <t>ツイカ</t>
    </rPh>
    <rPh sb="16" eb="19">
      <t>カシカ</t>
    </rPh>
    <phoneticPr fontId="38"/>
  </si>
  <si>
    <t>③不良件数が１以上だと、赤色（自動）になります・・・見やすくする為</t>
    <rPh sb="1" eb="3">
      <t>フリョウ</t>
    </rPh>
    <rPh sb="3" eb="5">
      <t>ケンスウ</t>
    </rPh>
    <rPh sb="7" eb="9">
      <t>イジョウ</t>
    </rPh>
    <rPh sb="12" eb="14">
      <t>アカイロ</t>
    </rPh>
    <rPh sb="26" eb="27">
      <t>ミ</t>
    </rPh>
    <rPh sb="32" eb="33">
      <t>タメ</t>
    </rPh>
    <phoneticPr fontId="38"/>
  </si>
  <si>
    <t>④工程不良報告書の提出（日文）</t>
    <rPh sb="1" eb="3">
      <t>コウテイ</t>
    </rPh>
    <rPh sb="3" eb="5">
      <t>フリョウ</t>
    </rPh>
    <rPh sb="5" eb="7">
      <t>ホウコク</t>
    </rPh>
    <rPh sb="7" eb="8">
      <t>ショ</t>
    </rPh>
    <rPh sb="9" eb="11">
      <t>テイシュツ</t>
    </rPh>
    <rPh sb="12" eb="14">
      <t>ニチブン</t>
    </rPh>
    <phoneticPr fontId="38"/>
  </si>
  <si>
    <t>①工程別不良件数グラフの追加・・・可視化</t>
    <rPh sb="1" eb="3">
      <t>コウテイ</t>
    </rPh>
    <rPh sb="3" eb="4">
      <t>ベツ</t>
    </rPh>
    <rPh sb="4" eb="6">
      <t>フリョウ</t>
    </rPh>
    <rPh sb="6" eb="8">
      <t>ケンスウ</t>
    </rPh>
    <rPh sb="12" eb="14">
      <t>ツイカ</t>
    </rPh>
    <rPh sb="17" eb="20">
      <t>カシカ</t>
    </rPh>
    <phoneticPr fontId="31"/>
  </si>
  <si>
    <t>②工程別不良率グラフの追加・・・可視化</t>
    <rPh sb="1" eb="3">
      <t>コウテイ</t>
    </rPh>
    <rPh sb="3" eb="4">
      <t>ベツ</t>
    </rPh>
    <rPh sb="4" eb="6">
      <t>フリョウ</t>
    </rPh>
    <rPh sb="6" eb="7">
      <t>リツ</t>
    </rPh>
    <rPh sb="11" eb="13">
      <t>ツイカ</t>
    </rPh>
    <rPh sb="16" eb="19">
      <t>カシカ</t>
    </rPh>
    <phoneticPr fontId="31"/>
  </si>
  <si>
    <t>③不良件数が１以上だと、赤色（自動）になります・・・見やすくする為</t>
    <rPh sb="1" eb="3">
      <t>フリョウ</t>
    </rPh>
    <rPh sb="3" eb="5">
      <t>ケンスウ</t>
    </rPh>
    <rPh sb="7" eb="9">
      <t>イジョウ</t>
    </rPh>
    <rPh sb="12" eb="14">
      <t>アカイロ</t>
    </rPh>
    <rPh sb="26" eb="27">
      <t>ミ</t>
    </rPh>
    <rPh sb="32" eb="33">
      <t>タメ</t>
    </rPh>
    <phoneticPr fontId="31"/>
  </si>
  <si>
    <t>目標値【1.1】</t>
    <rPh sb="0" eb="3">
      <t>モクヒョウチ</t>
    </rPh>
    <phoneticPr fontId="38"/>
  </si>
  <si>
    <t>精度</t>
    <rPh sb="0" eb="2">
      <t>セイド</t>
    </rPh>
    <phoneticPr fontId="38"/>
  </si>
  <si>
    <t>※これより下側は【自動計算】なので入力不要</t>
    <rPh sb="5" eb="7">
      <t>シタガワ</t>
    </rPh>
    <rPh sb="9" eb="11">
      <t>ジドウ</t>
    </rPh>
    <rPh sb="11" eb="13">
      <t>ケイサン</t>
    </rPh>
    <rPh sb="17" eb="21">
      <t>ニュウリョクフヨウ</t>
    </rPh>
    <phoneticPr fontId="38"/>
  </si>
  <si>
    <t>LN01</t>
    <phoneticPr fontId="36"/>
  </si>
  <si>
    <t>LN02</t>
    <phoneticPr fontId="36"/>
  </si>
  <si>
    <t>AD3L</t>
    <phoneticPr fontId="36"/>
  </si>
  <si>
    <t>※加工開始～完了までの平均日数（小数点第一位まで報告の事）</t>
    <rPh sb="1" eb="3">
      <t>カコウ</t>
    </rPh>
    <rPh sb="3" eb="5">
      <t>カイシ</t>
    </rPh>
    <rPh sb="6" eb="8">
      <t>カンリョウ</t>
    </rPh>
    <rPh sb="11" eb="13">
      <t>ヘイキン</t>
    </rPh>
    <rPh sb="13" eb="15">
      <t>ニッスウ</t>
    </rPh>
    <phoneticPr fontId="42"/>
  </si>
  <si>
    <t>最終検査合格率（ﾚﾝｼﾞ0.02mm以上）</t>
    <rPh sb="0" eb="2">
      <t>サイシュウ</t>
    </rPh>
    <rPh sb="2" eb="4">
      <t>ケンサ</t>
    </rPh>
    <rPh sb="4" eb="6">
      <t>ゴウカク</t>
    </rPh>
    <rPh sb="6" eb="7">
      <t>リツ</t>
    </rPh>
    <rPh sb="18" eb="20">
      <t>イジョウ</t>
    </rPh>
    <phoneticPr fontId="42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</si>
  <si>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pcs nh</t>
    </r>
    <r>
      <rPr>
        <b/>
        <sz val="11"/>
        <rFont val="Calibri"/>
        <family val="3"/>
        <charset val="163"/>
      </rPr>
      <t>ậ</t>
    </r>
    <r>
      <rPr>
        <b/>
        <sz val="11"/>
        <rFont val="ＭＳ Ｐゴシック"/>
        <family val="3"/>
        <charset val="128"/>
      </rPr>
      <t>n</t>
    </r>
    <phoneticPr fontId="36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</si>
  <si>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pcs t</t>
    </r>
    <r>
      <rPr>
        <b/>
        <sz val="11"/>
        <rFont val="Calibri"/>
        <family val="3"/>
        <charset val="163"/>
      </rPr>
      <t>ồ</t>
    </r>
    <r>
      <rPr>
        <b/>
        <sz val="11"/>
        <rFont val="ＭＳ Ｐゴシック"/>
        <family val="3"/>
        <charset val="128"/>
      </rPr>
      <t>n</t>
    </r>
    <phoneticPr fontId="36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</si>
  <si>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pcs hoàn thành</t>
    </r>
    <phoneticPr fontId="36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</si>
  <si>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nh</t>
    </r>
    <r>
      <rPr>
        <b/>
        <sz val="11"/>
        <rFont val="Calibri"/>
        <family val="3"/>
        <charset val="163"/>
      </rPr>
      <t>ậ</t>
    </r>
    <r>
      <rPr>
        <b/>
        <sz val="11"/>
        <rFont val="ＭＳ Ｐゴシック"/>
        <family val="3"/>
        <charset val="128"/>
      </rPr>
      <t>n</t>
    </r>
    <phoneticPr fontId="36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</si>
  <si>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t</t>
    </r>
    <r>
      <rPr>
        <b/>
        <sz val="11"/>
        <rFont val="Calibri"/>
        <family val="3"/>
        <charset val="163"/>
      </rPr>
      <t>ồ</t>
    </r>
    <r>
      <rPr>
        <b/>
        <sz val="11"/>
        <rFont val="ＭＳ Ｐゴシック"/>
        <family val="3"/>
        <charset val="128"/>
      </rPr>
      <t>n</t>
    </r>
    <phoneticPr fontId="36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</si>
  <si>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hoàn thành</t>
    </r>
    <phoneticPr fontId="36"/>
  </si>
  <si>
    <r>
      <t>b</t>
    </r>
    <r>
      <rPr>
        <b/>
        <sz val="11"/>
        <rFont val="Calibri"/>
        <family val="3"/>
        <charset val="163"/>
      </rPr>
      <t>ả</t>
    </r>
    <r>
      <rPr>
        <b/>
        <sz val="11"/>
        <rFont val="ＭＳ Ｐゴシック"/>
        <family val="3"/>
        <charset val="128"/>
      </rPr>
      <t>n v</t>
    </r>
    <r>
      <rPr>
        <b/>
        <sz val="11"/>
        <rFont val="Calibri"/>
        <family val="3"/>
        <charset val="163"/>
      </rPr>
      <t>ẽ</t>
    </r>
    <r>
      <rPr>
        <b/>
        <sz val="11"/>
        <rFont val="ＭＳ Ｐゴシック"/>
        <family val="3"/>
        <charset val="128"/>
      </rPr>
      <t xml:space="preserve"> GCN hoàn thành</t>
    </r>
    <phoneticPr fontId="36"/>
  </si>
  <si>
    <t>NV gia công</t>
    <phoneticPr fontId="36"/>
  </si>
  <si>
    <t>NV khác</t>
    <phoneticPr fontId="36"/>
  </si>
  <si>
    <t>thoi gian LV trung binh 1 nguoi/ ngay</t>
    <phoneticPr fontId="36"/>
  </si>
  <si>
    <t>Tong TGTD</t>
    <phoneticPr fontId="36"/>
  </si>
  <si>
    <t>TGLV có nguoi</t>
    <phoneticPr fontId="36"/>
  </si>
  <si>
    <t>TGLV ko nguoi</t>
    <phoneticPr fontId="36"/>
  </si>
  <si>
    <t>hieu suat gia cong</t>
    <phoneticPr fontId="36"/>
  </si>
  <si>
    <t>sô công PP</t>
    <phoneticPr fontId="36"/>
  </si>
  <si>
    <t>TTGGC</t>
    <phoneticPr fontId="36"/>
  </si>
  <si>
    <t>TGGC 1 nguoi</t>
    <phoneticPr fontId="36"/>
  </si>
  <si>
    <t>tông bv hoan thanh</t>
    <phoneticPr fontId="36"/>
  </si>
  <si>
    <t>tong pcs hoan thanh</t>
    <phoneticPr fontId="36"/>
  </si>
  <si>
    <r>
      <t>lũy k</t>
    </r>
    <r>
      <rPr>
        <sz val="11"/>
        <rFont val="Calibri"/>
        <family val="3"/>
        <charset val="163"/>
      </rPr>
      <t>ế</t>
    </r>
    <phoneticPr fontId="36"/>
  </si>
  <si>
    <t>đơn tháng</t>
    <phoneticPr fontId="36"/>
  </si>
  <si>
    <r>
      <t>đ</t>
    </r>
    <r>
      <rPr>
        <sz val="11"/>
        <rFont val="Calibri"/>
        <family val="2"/>
      </rPr>
      <t>ơ</t>
    </r>
    <r>
      <rPr>
        <sz val="11"/>
        <rFont val="ＭＳ Ｐゴシック"/>
        <family val="3"/>
        <charset val="128"/>
      </rPr>
      <t>n tháng</t>
    </r>
    <phoneticPr fontId="36"/>
  </si>
  <si>
    <r>
      <t>đ</t>
    </r>
    <r>
      <rPr>
        <sz val="11"/>
        <rFont val="Arial"/>
        <family val="2"/>
      </rPr>
      <t>ơ</t>
    </r>
    <r>
      <rPr>
        <sz val="11"/>
        <rFont val="ＭＳ Ｐゴシック"/>
        <family val="3"/>
        <charset val="128"/>
      </rPr>
      <t>n tháng</t>
    </r>
  </si>
  <si>
    <t>tong TGLV cua NVTT</t>
    <phoneticPr fontId="36"/>
  </si>
  <si>
    <r>
      <t>T</t>
    </r>
    <r>
      <rPr>
        <sz val="10"/>
        <rFont val="Calibri"/>
        <family val="3"/>
        <charset val="163"/>
      </rPr>
      <t>ổ</t>
    </r>
    <r>
      <rPr>
        <sz val="10"/>
        <rFont val="ＭＳ Ｐゴシック"/>
        <family val="3"/>
        <charset val="128"/>
      </rPr>
      <t>ng 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 ng</t>
    </r>
    <r>
      <rPr>
        <sz val="10"/>
        <rFont val="Segoe UI"/>
        <family val="3"/>
        <charset val="238"/>
      </rPr>
      <t>ư</t>
    </r>
    <r>
      <rPr>
        <sz val="10"/>
        <rFont val="Calibri"/>
        <family val="3"/>
        <charset val="163"/>
      </rPr>
      <t>ờ</t>
    </r>
    <r>
      <rPr>
        <sz val="10"/>
        <rFont val="ＭＳ Ｐゴシック"/>
        <family val="3"/>
        <charset val="128"/>
      </rPr>
      <t>i</t>
    </r>
    <phoneticPr fontId="36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</si>
  <si>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ngày làm vi</t>
    </r>
    <r>
      <rPr>
        <sz val="10"/>
        <rFont val="Calibri"/>
        <family val="3"/>
        <charset val="163"/>
      </rPr>
      <t>ệ</t>
    </r>
    <r>
      <rPr>
        <sz val="10"/>
        <rFont val="ＭＳ Ｐゴシック"/>
        <family val="3"/>
        <charset val="128"/>
      </rPr>
      <t>c</t>
    </r>
    <phoneticPr fontId="36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</si>
  <si>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ki</t>
    </r>
    <r>
      <rPr>
        <sz val="10"/>
        <rFont val="Calibri"/>
        <family val="3"/>
        <charset val="163"/>
      </rPr>
      <t>ệ</t>
    </r>
    <r>
      <rPr>
        <sz val="10"/>
        <rFont val="ＭＳ Ｐゴシック"/>
        <family val="3"/>
        <charset val="128"/>
      </rPr>
      <t>n PP</t>
    </r>
    <phoneticPr fontId="36"/>
  </si>
  <si>
    <r>
      <t>t</t>
    </r>
    <r>
      <rPr>
        <sz val="10"/>
        <rFont val="Calibri"/>
        <family val="3"/>
        <charset val="163"/>
      </rPr>
      <t>ỉ</t>
    </r>
    <r>
      <rPr>
        <sz val="10"/>
        <rFont val="ＭＳ Ｐゴシック"/>
        <family val="3"/>
        <charset val="128"/>
      </rPr>
      <t xml:space="preserve"> l</t>
    </r>
    <r>
      <rPr>
        <sz val="10"/>
        <rFont val="Calibri"/>
        <family val="3"/>
        <charset val="163"/>
      </rPr>
      <t>ệ</t>
    </r>
    <r>
      <rPr>
        <sz val="10"/>
        <rFont val="ＭＳ Ｐゴシック"/>
        <family val="3"/>
        <charset val="128"/>
      </rPr>
      <t xml:space="preserve"> 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công PP</t>
    </r>
    <phoneticPr fontId="36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</si>
  <si>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pcs hoan thanh 1 nguoi</t>
    </r>
    <phoneticPr fontId="36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</si>
  <si>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bv HT</t>
    </r>
    <phoneticPr fontId="36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</si>
  <si>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pcs HT</t>
    </r>
    <phoneticPr fontId="36"/>
  </si>
  <si>
    <r>
      <t>kim ng</t>
    </r>
    <r>
      <rPr>
        <sz val="10"/>
        <rFont val="Calibri"/>
        <family val="3"/>
        <charset val="163"/>
      </rPr>
      <t>ạ</t>
    </r>
    <r>
      <rPr>
        <sz val="10"/>
        <rFont val="ＭＳ Ｐゴシック"/>
        <family val="3"/>
        <charset val="128"/>
      </rPr>
      <t>ch gia công</t>
    </r>
    <phoneticPr fontId="36"/>
  </si>
  <si>
    <r>
      <t>chi 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bv/ M.H</t>
    </r>
    <phoneticPr fontId="36"/>
  </si>
  <si>
    <t>chi sô pcs /M.H</t>
    <phoneticPr fontId="36"/>
  </si>
  <si>
    <r>
      <t>sô ti</t>
    </r>
    <r>
      <rPr>
        <sz val="10"/>
        <rFont val="Calibri"/>
        <family val="3"/>
        <charset val="163"/>
      </rPr>
      <t>ề</t>
    </r>
    <r>
      <rPr>
        <sz val="10"/>
        <rFont val="ＭＳ Ｐゴシック"/>
        <family val="3"/>
        <charset val="128"/>
      </rPr>
      <t>n GCHT</t>
    </r>
    <phoneticPr fontId="36"/>
  </si>
  <si>
    <r>
      <t>s</t>
    </r>
    <r>
      <rPr>
        <sz val="10"/>
        <rFont val="Calibri"/>
        <family val="3"/>
        <charset val="163"/>
      </rPr>
      <t>ố</t>
    </r>
    <r>
      <rPr>
        <sz val="10"/>
        <rFont val="ＭＳ Ｐゴシック"/>
        <family val="3"/>
        <charset val="128"/>
      </rPr>
      <t xml:space="preserve"> ti</t>
    </r>
    <r>
      <rPr>
        <sz val="10"/>
        <rFont val="Calibri"/>
        <family val="3"/>
        <charset val="163"/>
      </rPr>
      <t>ề</t>
    </r>
    <r>
      <rPr>
        <sz val="10"/>
        <rFont val="ＭＳ Ｐゴシック"/>
        <family val="3"/>
        <charset val="128"/>
      </rPr>
      <t>n GC / M.H</t>
    </r>
    <phoneticPr fontId="36"/>
  </si>
  <si>
    <t>Tháng 1</t>
    <phoneticPr fontId="42"/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</si>
  <si>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</si>
  <si>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</si>
  <si>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</si>
  <si>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</si>
  <si>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</si>
  <si>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</si>
  <si>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</si>
  <si>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</si>
  <si>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</si>
  <si>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</si>
  <si>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</si>
  <si>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1月</t>
    <rPh sb="1" eb="2">
      <t>ツキ</t>
    </rPh>
    <phoneticPr fontId="36"/>
  </si>
  <si>
    <t>12月</t>
    <rPh sb="2" eb="3">
      <t>ツキ</t>
    </rPh>
    <phoneticPr fontId="36"/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</si>
  <si>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ＭＳ Ｐゴシック"/>
        <family val="2"/>
      </rPr>
      <t xml:space="preserve">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ＭＳ Ｐゴシック"/>
        <family val="2"/>
      </rPr>
      <t>i ph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ＭＳ Ｐゴシック"/>
        <family val="2"/>
      </rPr>
      <t xml:space="preserve"> trách</t>
    </r>
    <phoneticPr fontId="30" type="noConversion"/>
  </si>
  <si>
    <t>Khuôn</t>
    <phoneticPr fontId="36"/>
  </si>
  <si>
    <r>
      <t>Máy t</t>
    </r>
    <r>
      <rPr>
        <b/>
        <sz val="11"/>
        <rFont val="Calibri"/>
        <family val="3"/>
        <charset val="163"/>
      </rPr>
      <t>ự</t>
    </r>
    <r>
      <rPr>
        <b/>
        <sz val="11"/>
        <rFont val="ＭＳ Ｐゴシック"/>
        <family val="3"/>
        <charset val="128"/>
      </rPr>
      <t xml:space="preserve"> đ</t>
    </r>
    <r>
      <rPr>
        <b/>
        <sz val="11"/>
        <rFont val="Calibri"/>
        <family val="3"/>
        <charset val="163"/>
      </rPr>
      <t>ộ</t>
    </r>
    <r>
      <rPr>
        <b/>
        <sz val="11"/>
        <rFont val="ＭＳ Ｐゴシック"/>
        <family val="3"/>
        <charset val="128"/>
      </rPr>
      <t>ng</t>
    </r>
    <phoneticPr fontId="36"/>
  </si>
  <si>
    <t>Bình quân</t>
    <phoneticPr fontId="36"/>
  </si>
  <si>
    <t>Khác</t>
    <phoneticPr fontId="36"/>
  </si>
  <si>
    <r>
      <t>Đ</t>
    </r>
    <r>
      <rPr>
        <b/>
        <sz val="11"/>
        <rFont val="Calibri"/>
        <family val="3"/>
        <charset val="163"/>
      </rPr>
      <t>ộ</t>
    </r>
    <r>
      <rPr>
        <b/>
        <sz val="11"/>
        <rFont val="ＭＳ Ｐゴシック"/>
        <family val="3"/>
        <charset val="128"/>
      </rPr>
      <t xml:space="preserve"> chính xác cao</t>
    </r>
    <phoneticPr fontId="36"/>
  </si>
  <si>
    <r>
      <t>S</t>
    </r>
    <r>
      <rPr>
        <b/>
        <sz val="11"/>
        <rFont val="Calibri"/>
        <family val="3"/>
        <charset val="163"/>
      </rPr>
      <t>ố</t>
    </r>
    <r>
      <rPr>
        <b/>
        <sz val="11"/>
        <rFont val="ＭＳ Ｐゴシック"/>
        <family val="3"/>
        <charset val="128"/>
      </rPr>
      <t xml:space="preserve"> Khi</t>
    </r>
    <r>
      <rPr>
        <b/>
        <sz val="11"/>
        <rFont val="Calibri"/>
        <family val="3"/>
        <charset val="163"/>
      </rPr>
      <t>ế</t>
    </r>
    <r>
      <rPr>
        <b/>
        <sz val="11"/>
        <rFont val="ＭＳ Ｐゴシック"/>
        <family val="3"/>
        <charset val="128"/>
      </rPr>
      <t>u n</t>
    </r>
    <r>
      <rPr>
        <b/>
        <sz val="11"/>
        <rFont val="Calibri"/>
        <family val="3"/>
        <charset val="163"/>
      </rPr>
      <t>ạ</t>
    </r>
    <r>
      <rPr>
        <b/>
        <sz val="11"/>
        <rFont val="ＭＳ Ｐゴシック"/>
        <family val="3"/>
        <charset val="128"/>
      </rPr>
      <t>i</t>
    </r>
    <phoneticPr fontId="36"/>
  </si>
  <si>
    <t>0.02㎜～</t>
    <phoneticPr fontId="38"/>
  </si>
  <si>
    <t>高精度（0～0.02）</t>
    <rPh sb="0" eb="3">
      <t>コウセイド</t>
    </rPh>
    <phoneticPr fontId="38"/>
  </si>
  <si>
    <r>
      <t>T</t>
    </r>
    <r>
      <rPr>
        <b/>
        <sz val="11"/>
        <rFont val="Calibri"/>
        <family val="3"/>
        <charset val="163"/>
      </rPr>
      <t>ỷ</t>
    </r>
    <r>
      <rPr>
        <b/>
        <sz val="11"/>
        <rFont val="ＭＳ Ｐゴシック"/>
        <family val="3"/>
        <charset val="128"/>
      </rPr>
      <t xml:space="preserve"> l</t>
    </r>
    <r>
      <rPr>
        <b/>
        <sz val="11"/>
        <rFont val="Calibri"/>
        <family val="3"/>
        <charset val="163"/>
      </rPr>
      <t>ệ</t>
    </r>
    <r>
      <rPr>
        <b/>
        <sz val="11"/>
        <rFont val="ＭＳ Ｐゴシック"/>
        <family val="3"/>
        <charset val="128"/>
      </rPr>
      <t xml:space="preserve"> giao hàng đúng h</t>
    </r>
    <r>
      <rPr>
        <b/>
        <sz val="11"/>
        <rFont val="Calibri"/>
        <family val="3"/>
        <charset val="163"/>
      </rPr>
      <t>ạ</t>
    </r>
    <r>
      <rPr>
        <b/>
        <sz val="11"/>
        <rFont val="ＭＳ Ｐゴシック"/>
        <family val="3"/>
        <charset val="128"/>
      </rPr>
      <t>n</t>
    </r>
    <phoneticPr fontId="36"/>
  </si>
  <si>
    <t>VDM</t>
    <phoneticPr fontId="38"/>
  </si>
  <si>
    <t>GCN</t>
    <phoneticPr fontId="38"/>
  </si>
  <si>
    <r>
      <t xml:space="preserve">直接人実労働時間 (h)
</t>
    </r>
    <r>
      <rPr>
        <sz val="11"/>
        <color rgb="FF0070C0"/>
        <rFont val="ＭＳ Ｐゴシック"/>
        <family val="3"/>
        <charset val="128"/>
      </rPr>
      <t>※残業時間含む</t>
    </r>
    <rPh sb="3" eb="4">
      <t>ジツ</t>
    </rPh>
    <rPh sb="4" eb="6">
      <t>ロウドウ</t>
    </rPh>
    <rPh sb="6" eb="8">
      <t>ジカン</t>
    </rPh>
    <rPh sb="14" eb="16">
      <t>ザンギョウ</t>
    </rPh>
    <rPh sb="16" eb="18">
      <t>ジカン</t>
    </rPh>
    <rPh sb="18" eb="19">
      <t>フク</t>
    </rPh>
    <phoneticPr fontId="42"/>
  </si>
  <si>
    <t>d=機械別実績 (2)</t>
    <phoneticPr fontId="36"/>
  </si>
  <si>
    <t>o=指標2（内作）C10
ALL不良件数</t>
    <rPh sb="2" eb="4">
      <t>シヒョウ</t>
    </rPh>
    <rPh sb="6" eb="8">
      <t>ナイサク</t>
    </rPh>
    <rPh sb="16" eb="18">
      <t>フリョウ</t>
    </rPh>
    <rPh sb="18" eb="20">
      <t>ケンスウ</t>
    </rPh>
    <phoneticPr fontId="38"/>
  </si>
  <si>
    <t>u=指標1 (B29)
内作完了図面枚数</t>
    <rPh sb="2" eb="4">
      <t>シヒョウ</t>
    </rPh>
    <rPh sb="12" eb="14">
      <t>ナイサク</t>
    </rPh>
    <rPh sb="14" eb="16">
      <t>カンリョウ</t>
    </rPh>
    <rPh sb="16" eb="18">
      <t>ズメン</t>
    </rPh>
    <rPh sb="18" eb="20">
      <t>マイスウ</t>
    </rPh>
    <phoneticPr fontId="38"/>
  </si>
  <si>
    <t>w=指標1 (B14)
内作完成数量</t>
    <rPh sb="2" eb="4">
      <t>シヒョウ</t>
    </rPh>
    <rPh sb="12" eb="14">
      <t>ナイサク</t>
    </rPh>
    <rPh sb="14" eb="16">
      <t>カンセイ</t>
    </rPh>
    <rPh sb="16" eb="18">
      <t>スウリョウ</t>
    </rPh>
    <phoneticPr fontId="38"/>
  </si>
  <si>
    <t>G=指標1 (B34)
外作完了図面枚数</t>
    <rPh sb="2" eb="4">
      <t>シヒョウ</t>
    </rPh>
    <rPh sb="12" eb="14">
      <t>ガイサク</t>
    </rPh>
    <rPh sb="14" eb="16">
      <t>カンリョウ</t>
    </rPh>
    <rPh sb="16" eb="18">
      <t>ズメン</t>
    </rPh>
    <rPh sb="18" eb="20">
      <t>マイスウ</t>
    </rPh>
    <phoneticPr fontId="38"/>
  </si>
  <si>
    <t>M</t>
    <phoneticPr fontId="36"/>
  </si>
  <si>
    <t>無加工労働時間</t>
    <rPh sb="0" eb="1">
      <t>ム</t>
    </rPh>
    <rPh sb="1" eb="3">
      <t>カコウ</t>
    </rPh>
    <rPh sb="3" eb="5">
      <t>ロウドウ</t>
    </rPh>
    <rPh sb="5" eb="7">
      <t>ジカン</t>
    </rPh>
    <phoneticPr fontId="38"/>
  </si>
  <si>
    <t>単月</t>
    <rPh sb="0" eb="2">
      <t>タンゲツ</t>
    </rPh>
    <phoneticPr fontId="36"/>
  </si>
  <si>
    <t>M=e-j</t>
    <phoneticPr fontId="36"/>
  </si>
  <si>
    <t>実績</t>
    <phoneticPr fontId="36"/>
  </si>
  <si>
    <t>N</t>
    <phoneticPr fontId="36"/>
  </si>
  <si>
    <t>人稼働率（％）</t>
    <rPh sb="0" eb="1">
      <t>ヒト</t>
    </rPh>
    <rPh sb="1" eb="3">
      <t>カドウ</t>
    </rPh>
    <rPh sb="3" eb="4">
      <t>リツ</t>
    </rPh>
    <phoneticPr fontId="38"/>
  </si>
  <si>
    <t>N=j/e</t>
    <phoneticPr fontId="36"/>
  </si>
  <si>
    <t>O</t>
    <phoneticPr fontId="36"/>
  </si>
  <si>
    <t>目標値</t>
    <phoneticPr fontId="38"/>
  </si>
  <si>
    <t>備　考</t>
    <rPh sb="0" eb="1">
      <t>ビ</t>
    </rPh>
    <rPh sb="2" eb="3">
      <t>コウ</t>
    </rPh>
    <phoneticPr fontId="36"/>
  </si>
  <si>
    <t>（b：加工者人数）　残業を含む総労働時間</t>
    <rPh sb="3" eb="5">
      <t>カコウ</t>
    </rPh>
    <rPh sb="5" eb="6">
      <t>シャ</t>
    </rPh>
    <rPh sb="6" eb="8">
      <t>ニンズウ</t>
    </rPh>
    <phoneticPr fontId="36"/>
  </si>
  <si>
    <t>機械稼働時間＋手仕上げ等の合計時間</t>
    <rPh sb="15" eb="17">
      <t>ジカン</t>
    </rPh>
    <phoneticPr fontId="36"/>
  </si>
  <si>
    <t>ALN600G</t>
    <phoneticPr fontId="36"/>
  </si>
  <si>
    <t>0775-AA</t>
    <phoneticPr fontId="36"/>
  </si>
  <si>
    <t>EW04</t>
    <phoneticPr fontId="36"/>
  </si>
  <si>
    <t>K3HS</t>
    <phoneticPr fontId="36"/>
  </si>
  <si>
    <t>Sodick</t>
    <phoneticPr fontId="36"/>
  </si>
  <si>
    <t>0776-AA</t>
    <phoneticPr fontId="36"/>
  </si>
  <si>
    <t>細穴放電加工機</t>
    <phoneticPr fontId="36"/>
  </si>
  <si>
    <t>ED02</t>
    <phoneticPr fontId="36"/>
  </si>
  <si>
    <t>A</t>
    <phoneticPr fontId="36"/>
  </si>
  <si>
    <r>
      <t>S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ＭＳ Ｐゴシック"/>
        <family val="3"/>
        <charset val="128"/>
      </rPr>
      <t xml:space="preserve"> b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ＭＳ Ｐゴシック"/>
        <family val="3"/>
        <charset val="128"/>
      </rPr>
      <t>n v</t>
    </r>
    <r>
      <rPr>
        <sz val="11"/>
        <color theme="1"/>
        <rFont val="Calibri"/>
        <family val="3"/>
        <charset val="163"/>
      </rPr>
      <t>ẽ</t>
    </r>
    <phoneticPr fontId="42"/>
  </si>
  <si>
    <r>
      <t>S</t>
    </r>
    <r>
      <rPr>
        <sz val="11"/>
        <rFont val="Calibri"/>
        <family val="3"/>
        <charset val="163"/>
      </rPr>
      <t>ố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ế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ẩ</t>
    </r>
    <r>
      <rPr>
        <sz val="11"/>
        <rFont val="ＭＳ Ｐゴシック"/>
        <family val="3"/>
        <charset val="128"/>
      </rPr>
      <t>m</t>
    </r>
    <phoneticPr fontId="42"/>
  </si>
  <si>
    <r>
      <t>T</t>
    </r>
    <r>
      <rPr>
        <sz val="11"/>
        <rFont val="Calibri"/>
        <family val="3"/>
        <charset val="163"/>
      </rPr>
      <t>ỷ</t>
    </r>
    <r>
      <rPr>
        <sz val="11"/>
        <rFont val="ＭＳ Ｐゴシック"/>
        <family val="3"/>
        <charset val="128"/>
      </rPr>
      <t xml:space="preserve"> l</t>
    </r>
    <r>
      <rPr>
        <sz val="11"/>
        <rFont val="Calibri"/>
        <family val="3"/>
        <charset val="163"/>
      </rPr>
      <t>ệ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ế</t>
    </r>
    <r>
      <rPr>
        <sz val="11"/>
        <rFont val="ＭＳ Ｐゴシック"/>
        <family val="3"/>
        <charset val="128"/>
      </rPr>
      <t xml:space="preserve"> ph</t>
    </r>
    <r>
      <rPr>
        <sz val="11"/>
        <rFont val="Calibri"/>
        <family val="3"/>
        <charset val="163"/>
      </rPr>
      <t>ẩ</t>
    </r>
    <r>
      <rPr>
        <sz val="11"/>
        <rFont val="ＭＳ Ｐゴシック"/>
        <family val="3"/>
        <charset val="128"/>
      </rPr>
      <t>m</t>
    </r>
    <phoneticPr fontId="42"/>
  </si>
  <si>
    <r>
      <t>S</t>
    </r>
    <r>
      <rPr>
        <sz val="11"/>
        <rFont val="Calibri"/>
        <family val="3"/>
        <charset val="163"/>
      </rPr>
      <t>ố</t>
    </r>
    <r>
      <rPr>
        <sz val="11"/>
        <rFont val="ＭＳ Ｐゴシック"/>
        <family val="3"/>
        <charset val="128"/>
      </rPr>
      <t xml:space="preserve"> b</t>
    </r>
    <r>
      <rPr>
        <sz val="11"/>
        <rFont val="Calibri"/>
        <family val="3"/>
        <charset val="163"/>
      </rPr>
      <t>ả</t>
    </r>
    <r>
      <rPr>
        <sz val="11"/>
        <rFont val="ＭＳ Ｐゴシック"/>
        <family val="3"/>
        <charset val="128"/>
      </rPr>
      <t>n v</t>
    </r>
    <r>
      <rPr>
        <sz val="11"/>
        <rFont val="Calibri"/>
        <family val="3"/>
        <charset val="163"/>
      </rPr>
      <t>ẽ</t>
    </r>
    <phoneticPr fontId="42"/>
  </si>
  <si>
    <r>
      <t>LA （旋盤）
MÁY Ti</t>
    </r>
    <r>
      <rPr>
        <sz val="11"/>
        <rFont val="Calibri"/>
        <family val="2"/>
        <charset val="163"/>
      </rPr>
      <t>Ệ</t>
    </r>
    <r>
      <rPr>
        <sz val="11"/>
        <rFont val="ＭＳ Ｐゴシック"/>
        <family val="2"/>
      </rPr>
      <t>N</t>
    </r>
    <phoneticPr fontId="36"/>
  </si>
  <si>
    <r>
      <t>LN （NC旋盤）
MÁY TI</t>
    </r>
    <r>
      <rPr>
        <sz val="11"/>
        <rFont val="Calibri"/>
        <family val="2"/>
        <charset val="163"/>
      </rPr>
      <t>Ệ</t>
    </r>
    <r>
      <rPr>
        <sz val="11"/>
        <rFont val="ＭＳ Ｐゴシック"/>
        <family val="2"/>
      </rPr>
      <t>N CNC</t>
    </r>
    <phoneticPr fontId="36"/>
  </si>
  <si>
    <t>MA （ﾌﾗｲｽ盤）
MÁY PHAY</t>
    <phoneticPr fontId="36"/>
  </si>
  <si>
    <t>DA （ﾎﾞｰﾙ盤）
MÁY KHOAN</t>
    <phoneticPr fontId="36"/>
  </si>
  <si>
    <r>
      <rPr>
        <sz val="11"/>
        <rFont val="ＭＳ Ｐゴシック"/>
        <family val="3"/>
        <charset val="128"/>
      </rPr>
      <t>BJ （精密ﾌﾗｲｽ盤）</t>
    </r>
    <r>
      <rPr>
        <sz val="10"/>
        <rFont val="ＭＳ Ｐゴシック"/>
        <family val="2"/>
      </rPr>
      <t xml:space="preserve">
MÁY PHAY CHÍNH XÁC</t>
    </r>
    <phoneticPr fontId="36"/>
  </si>
  <si>
    <r>
      <rPr>
        <sz val="11"/>
        <rFont val="ＭＳ Ｐゴシック"/>
        <family val="3"/>
        <charset val="128"/>
      </rPr>
      <t>MC （ﾏｼﾆﾝｸﾞｾﾝﾀ）</t>
    </r>
    <r>
      <rPr>
        <sz val="9"/>
        <rFont val="ＭＳ Ｐゴシック"/>
        <family val="3"/>
        <charset val="128"/>
      </rPr>
      <t xml:space="preserve">
MÁY PHAY CNC
MÁY PHAY TRUNG TÂM</t>
    </r>
    <phoneticPr fontId="36"/>
  </si>
  <si>
    <r>
      <t>GS （成形研削盤）
MÁY MÀI T</t>
    </r>
    <r>
      <rPr>
        <sz val="11"/>
        <rFont val="Calibri"/>
        <family val="2"/>
        <charset val="163"/>
      </rPr>
      <t>Ạ</t>
    </r>
    <r>
      <rPr>
        <sz val="11"/>
        <rFont val="ＭＳ Ｐゴシック"/>
        <family val="2"/>
      </rPr>
      <t>O HÌNH</t>
    </r>
    <phoneticPr fontId="36"/>
  </si>
  <si>
    <r>
      <t xml:space="preserve">GR （円筒研削盤）
</t>
    </r>
    <r>
      <rPr>
        <sz val="9"/>
        <rFont val="ＭＳ Ｐゴシック"/>
        <family val="3"/>
        <charset val="128"/>
      </rPr>
      <t>MÁY MÀI TRÒN CÓ TÂM</t>
    </r>
    <phoneticPr fontId="36"/>
  </si>
  <si>
    <t>GX （内径研削盤）</t>
    <phoneticPr fontId="36"/>
  </si>
  <si>
    <r>
      <t xml:space="preserve">GC （ｾﾝﾀｰﾚｽ）
</t>
    </r>
    <r>
      <rPr>
        <sz val="9"/>
        <rFont val="ＭＳ Ｐゴシック"/>
        <family val="3"/>
        <charset val="128"/>
      </rPr>
      <t>MÁY MÀI TRÒN VÔ TÂM</t>
    </r>
    <phoneticPr fontId="36"/>
  </si>
  <si>
    <r>
      <t>GJ （ｼﾞｸﾞ研削盤）
MÁY MÀI D</t>
    </r>
    <r>
      <rPr>
        <sz val="11"/>
        <rFont val="Calibri"/>
        <family val="2"/>
        <charset val="163"/>
      </rPr>
      <t>Ụ</t>
    </r>
    <r>
      <rPr>
        <sz val="11"/>
        <rFont val="ＭＳ Ｐゴシック"/>
        <family val="2"/>
      </rPr>
      <t>NG C</t>
    </r>
    <r>
      <rPr>
        <sz val="11"/>
        <rFont val="Calibri"/>
        <family val="2"/>
        <charset val="163"/>
      </rPr>
      <t>Ụ</t>
    </r>
    <phoneticPr fontId="36"/>
  </si>
  <si>
    <r>
      <t xml:space="preserve">GP （ﾌﾟﾛﾌｧｲﾙ）
</t>
    </r>
    <r>
      <rPr>
        <sz val="10"/>
        <rFont val="ＭＳ Ｐゴシック"/>
        <family val="2"/>
      </rPr>
      <t>MÁY MÀI MÔ PH</t>
    </r>
    <r>
      <rPr>
        <sz val="10"/>
        <rFont val="Calibri"/>
        <family val="2"/>
        <charset val="163"/>
      </rPr>
      <t>Ỏ</t>
    </r>
    <r>
      <rPr>
        <sz val="10"/>
        <rFont val="ＭＳ Ｐゴシック"/>
        <family val="2"/>
      </rPr>
      <t>NG</t>
    </r>
    <phoneticPr fontId="36"/>
  </si>
  <si>
    <r>
      <t>EN （NC放電）
MÁY PHÓNG Đi</t>
    </r>
    <r>
      <rPr>
        <sz val="11"/>
        <rFont val="Calibri"/>
        <family val="2"/>
        <charset val="163"/>
      </rPr>
      <t>Ệ</t>
    </r>
    <r>
      <rPr>
        <sz val="11"/>
        <rFont val="ＭＳ Ｐゴシック"/>
        <family val="2"/>
      </rPr>
      <t>N</t>
    </r>
    <phoneticPr fontId="36"/>
  </si>
  <si>
    <t>ES （汎用放電）</t>
    <phoneticPr fontId="36"/>
  </si>
  <si>
    <r>
      <t>EW （ﾜｲﾔｰｶｯﾄ）
MÁY C</t>
    </r>
    <r>
      <rPr>
        <sz val="11"/>
        <rFont val="Calibri"/>
        <family val="2"/>
        <charset val="163"/>
      </rPr>
      <t>Ắ</t>
    </r>
    <r>
      <rPr>
        <sz val="11"/>
        <rFont val="ＭＳ Ｐゴシック"/>
        <family val="2"/>
      </rPr>
      <t>T DÂY</t>
    </r>
    <phoneticPr fontId="36"/>
  </si>
  <si>
    <r>
      <t>Lũy k</t>
    </r>
    <r>
      <rPr>
        <sz val="11"/>
        <rFont val="Calibri"/>
        <family val="3"/>
        <charset val="163"/>
      </rPr>
      <t>ế</t>
    </r>
    <phoneticPr fontId="38"/>
  </si>
  <si>
    <t>Note</t>
    <phoneticPr fontId="36"/>
  </si>
  <si>
    <t>GS01</t>
  </si>
  <si>
    <t>GS08</t>
  </si>
  <si>
    <t>VD329</t>
  </si>
  <si>
    <t>HT05</t>
  </si>
  <si>
    <t>真空熱処理炉</t>
  </si>
  <si>
    <t>0781-AA</t>
  </si>
  <si>
    <t>NAKANIHON-RO</t>
  </si>
  <si>
    <t>NVF50P</t>
  </si>
  <si>
    <t>VD047</t>
  </si>
  <si>
    <t>CAO SU VIET</t>
  </si>
  <si>
    <t>LA05</t>
  </si>
  <si>
    <r>
      <t>S</t>
    </r>
    <r>
      <rPr>
        <sz val="11"/>
        <rFont val="Calibri"/>
        <family val="3"/>
        <charset val="163"/>
      </rPr>
      <t>ố</t>
    </r>
    <r>
      <rPr>
        <sz val="11"/>
        <rFont val="ＭＳ Ｐゴシック"/>
        <family val="3"/>
        <charset val="128"/>
      </rPr>
      <t xml:space="preserve"> b</t>
    </r>
    <r>
      <rPr>
        <sz val="11"/>
        <rFont val="Calibri"/>
        <family val="3"/>
        <charset val="163"/>
      </rPr>
      <t>ả</t>
    </r>
    <r>
      <rPr>
        <sz val="11"/>
        <rFont val="ＭＳ Ｐゴシック"/>
        <family val="3"/>
        <charset val="128"/>
      </rPr>
      <t>n v</t>
    </r>
    <r>
      <rPr>
        <sz val="11"/>
        <rFont val="Calibri"/>
        <family val="3"/>
        <charset val="163"/>
      </rPr>
      <t>ẽ</t>
    </r>
  </si>
  <si>
    <t>OSG</t>
  </si>
  <si>
    <t>VD091</t>
  </si>
  <si>
    <t>0784-AA</t>
    <phoneticPr fontId="36"/>
  </si>
  <si>
    <t>TAKISAWA</t>
    <phoneticPr fontId="36"/>
  </si>
  <si>
    <t>TAL-510L10</t>
    <phoneticPr fontId="36"/>
  </si>
  <si>
    <r>
      <t>Ngày làm vi</t>
    </r>
    <r>
      <rPr>
        <sz val="10"/>
        <rFont val="Calibri"/>
        <family val="2"/>
        <charset val="163"/>
      </rPr>
      <t>ệ</t>
    </r>
    <r>
      <rPr>
        <sz val="10"/>
        <rFont val="ＭＳ Ｐゴシック"/>
        <family val="2"/>
        <charset val="128"/>
      </rPr>
      <t>c</t>
    </r>
    <phoneticPr fontId="36"/>
  </si>
  <si>
    <t>A,B,C</t>
    <phoneticPr fontId="36"/>
  </si>
  <si>
    <t>F,G</t>
    <phoneticPr fontId="36"/>
  </si>
  <si>
    <t>T1</t>
    <phoneticPr fontId="37"/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</si>
  <si>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</si>
  <si>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</si>
  <si>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</si>
  <si>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</si>
  <si>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</si>
  <si>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</si>
  <si>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</si>
  <si>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</si>
  <si>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</si>
  <si>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</si>
  <si>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</si>
  <si>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r>
      <t>Ngày làm vi</t>
    </r>
    <r>
      <rPr>
        <b/>
        <sz val="11"/>
        <rFont val="Calibri"/>
        <family val="2"/>
        <charset val="163"/>
      </rPr>
      <t>ệ</t>
    </r>
    <r>
      <rPr>
        <b/>
        <sz val="11"/>
        <rFont val="ＭＳ Ｐゴシック"/>
        <family val="2"/>
      </rPr>
      <t>c</t>
    </r>
    <phoneticPr fontId="30" type="noConversion"/>
  </si>
  <si>
    <t>1 Shift</t>
    <phoneticPr fontId="30" type="noConversion"/>
  </si>
  <si>
    <t>2 shifts</t>
    <phoneticPr fontId="30" type="noConversion"/>
  </si>
  <si>
    <t>Number of days of process load</t>
    <phoneticPr fontId="30" type="noConversion"/>
  </si>
  <si>
    <t>SP016</t>
  </si>
  <si>
    <t>VD362</t>
  </si>
  <si>
    <t>VD335</t>
  </si>
  <si>
    <t>SP018</t>
  </si>
  <si>
    <t>CAM</t>
  </si>
  <si>
    <t>( i：実加工時間)の内、有人での稼働時間</t>
  </si>
  <si>
    <t>VD377</t>
  </si>
  <si>
    <t>TRUNG PHAT</t>
  </si>
  <si>
    <t>BJ08</t>
  </si>
  <si>
    <t>0792-AA</t>
  </si>
  <si>
    <t>KVJP-55</t>
  </si>
  <si>
    <t>EN04</t>
  </si>
  <si>
    <t>0795-AA</t>
  </si>
  <si>
    <t>AP30L</t>
  </si>
  <si>
    <t xml:space="preserve"> </t>
  </si>
  <si>
    <t>Day</t>
    <phoneticPr fontId="36"/>
  </si>
  <si>
    <t>Day</t>
    <phoneticPr fontId="30" type="noConversion"/>
  </si>
  <si>
    <t>Day</t>
    <phoneticPr fontId="36"/>
  </si>
  <si>
    <r>
      <t>無人稼働率の</t>
    </r>
    <r>
      <rPr>
        <b/>
        <sz val="12"/>
        <color rgb="FFFF0000"/>
        <rFont val="ＭＳ Ｐゴシック"/>
        <family val="3"/>
        <charset val="128"/>
      </rPr>
      <t>目標達成率</t>
    </r>
    <rPh sb="0" eb="4">
      <t>ムジンカドウ</t>
    </rPh>
    <rPh sb="4" eb="5">
      <t>リツ</t>
    </rPh>
    <rPh sb="6" eb="8">
      <t>モクヒョウ</t>
    </rPh>
    <rPh sb="8" eb="11">
      <t>タッセイリツ</t>
    </rPh>
    <phoneticPr fontId="36"/>
  </si>
  <si>
    <t>1Q</t>
    <phoneticPr fontId="36"/>
  </si>
  <si>
    <t>2Q</t>
  </si>
  <si>
    <t>3Q</t>
  </si>
  <si>
    <t>4Q</t>
  </si>
  <si>
    <t>平均</t>
    <rPh sb="0" eb="2">
      <t>ヘイキン</t>
    </rPh>
    <phoneticPr fontId="36"/>
  </si>
  <si>
    <r>
      <t>T</t>
    </r>
    <r>
      <rPr>
        <b/>
        <sz val="10"/>
        <color rgb="FFFF0000"/>
        <rFont val="Calibri"/>
        <family val="3"/>
        <charset val="163"/>
      </rPr>
      <t>ỉ</t>
    </r>
    <r>
      <rPr>
        <b/>
        <sz val="10"/>
        <color rgb="FFFF0000"/>
        <rFont val="ＭＳ Ｐゴシック"/>
        <family val="3"/>
        <charset val="128"/>
      </rPr>
      <t xml:space="preserve"> l</t>
    </r>
    <r>
      <rPr>
        <b/>
        <sz val="10"/>
        <color rgb="FFFF0000"/>
        <rFont val="Calibri"/>
        <family val="3"/>
        <charset val="163"/>
      </rPr>
      <t>ệ</t>
    </r>
    <r>
      <rPr>
        <b/>
        <sz val="10"/>
        <color rgb="FFFF0000"/>
        <rFont val="ＭＳ Ｐゴシック"/>
        <family val="3"/>
        <charset val="128"/>
      </rPr>
      <t xml:space="preserve"> ho</t>
    </r>
    <r>
      <rPr>
        <b/>
        <sz val="10"/>
        <color rgb="FFFF0000"/>
        <rFont val="Calibri"/>
        <family val="3"/>
        <charset val="163"/>
      </rPr>
      <t>ạ</t>
    </r>
    <r>
      <rPr>
        <b/>
        <sz val="10"/>
        <color rgb="FFFF0000"/>
        <rFont val="ＭＳ Ｐゴシック"/>
        <family val="3"/>
        <charset val="128"/>
      </rPr>
      <t>t đ</t>
    </r>
    <r>
      <rPr>
        <b/>
        <sz val="10"/>
        <color rgb="FFFF0000"/>
        <rFont val="Calibri"/>
        <family val="3"/>
        <charset val="163"/>
      </rPr>
      <t>ộ</t>
    </r>
    <r>
      <rPr>
        <b/>
        <sz val="10"/>
        <color rgb="FFFF0000"/>
        <rFont val="ＭＳ Ｐゴシック"/>
        <family val="3"/>
        <charset val="128"/>
      </rPr>
      <t>ng ko nguoi</t>
    </r>
    <phoneticPr fontId="36"/>
  </si>
  <si>
    <r>
      <t>s</t>
    </r>
    <r>
      <rPr>
        <b/>
        <sz val="10"/>
        <rFont val="Calibri"/>
        <family val="3"/>
        <charset val="163"/>
      </rPr>
      <t>ố</t>
    </r>
    <r>
      <rPr>
        <b/>
        <sz val="10"/>
        <rFont val="ＭＳ Ｐゴシック"/>
        <family val="3"/>
        <charset val="128"/>
      </rPr>
      <t xml:space="preserve"> công GC t</t>
    </r>
    <r>
      <rPr>
        <b/>
        <sz val="10"/>
        <rFont val="Segoe UI"/>
        <family val="3"/>
        <charset val="238"/>
      </rPr>
      <t>ươ</t>
    </r>
    <r>
      <rPr>
        <b/>
        <sz val="10"/>
        <rFont val="ＭＳ Ｐゴシック"/>
        <family val="3"/>
        <charset val="128"/>
      </rPr>
      <t xml:space="preserve">ng </t>
    </r>
    <r>
      <rPr>
        <b/>
        <sz val="10"/>
        <rFont val="Calibri"/>
        <family val="3"/>
        <charset val="163"/>
      </rPr>
      <t>ứ</t>
    </r>
    <r>
      <rPr>
        <b/>
        <sz val="10"/>
        <rFont val="ＭＳ Ｐゴシック"/>
        <family val="3"/>
        <charset val="128"/>
      </rPr>
      <t>ng v</t>
    </r>
    <r>
      <rPr>
        <b/>
        <sz val="10"/>
        <rFont val="Calibri"/>
        <family val="3"/>
        <charset val="163"/>
      </rPr>
      <t>ớ</t>
    </r>
    <r>
      <rPr>
        <b/>
        <sz val="10"/>
        <rFont val="ＭＳ Ｐゴシック"/>
        <family val="3"/>
        <charset val="128"/>
      </rPr>
      <t>i TGLV</t>
    </r>
    <phoneticPr fontId="36"/>
  </si>
  <si>
    <r>
      <t>m</t>
    </r>
    <r>
      <rPr>
        <b/>
        <sz val="10"/>
        <rFont val="Calibri"/>
        <family val="3"/>
        <charset val="163"/>
      </rPr>
      <t>ụ</t>
    </r>
    <r>
      <rPr>
        <b/>
        <sz val="10"/>
        <rFont val="ＭＳ Ｐゴシック"/>
        <family val="3"/>
        <charset val="128"/>
      </rPr>
      <t>c tiêu sô công gia công t</t>
    </r>
    <r>
      <rPr>
        <b/>
        <sz val="10"/>
        <rFont val="Segoe UI"/>
        <family val="3"/>
        <charset val="238"/>
      </rPr>
      <t>ươ</t>
    </r>
    <r>
      <rPr>
        <b/>
        <sz val="10"/>
        <rFont val="ＭＳ Ｐゴシック"/>
        <family val="3"/>
        <charset val="128"/>
      </rPr>
      <t xml:space="preserve">ng </t>
    </r>
    <r>
      <rPr>
        <b/>
        <sz val="10"/>
        <rFont val="Calibri"/>
        <family val="3"/>
        <charset val="163"/>
      </rPr>
      <t>ứ</t>
    </r>
    <r>
      <rPr>
        <b/>
        <sz val="10"/>
        <rFont val="ＭＳ Ｐゴシック"/>
        <family val="3"/>
        <charset val="128"/>
      </rPr>
      <t>ng v</t>
    </r>
    <r>
      <rPr>
        <b/>
        <sz val="10"/>
        <rFont val="Calibri"/>
        <family val="3"/>
        <charset val="163"/>
      </rPr>
      <t>ớ</t>
    </r>
    <r>
      <rPr>
        <b/>
        <sz val="10"/>
        <rFont val="ＭＳ Ｐゴシック"/>
        <family val="3"/>
        <charset val="128"/>
      </rPr>
      <t>i TGLV</t>
    </r>
    <phoneticPr fontId="36"/>
  </si>
  <si>
    <t>TINH NGUYEN HAO</t>
  </si>
  <si>
    <t>VD392</t>
  </si>
  <si>
    <t>VINATECH</t>
  </si>
  <si>
    <t>KA SHIN</t>
  </si>
  <si>
    <t>VD053</t>
  </si>
  <si>
    <t>MINH THINH LOI</t>
  </si>
  <si>
    <t>VD061</t>
  </si>
  <si>
    <t>KIWA</t>
  </si>
  <si>
    <t>VD064</t>
  </si>
  <si>
    <t>LE HOANG ANH</t>
  </si>
  <si>
    <t>AN MI</t>
  </si>
  <si>
    <t>VD101</t>
  </si>
  <si>
    <t>UWC</t>
  </si>
  <si>
    <t>VD151</t>
  </si>
  <si>
    <t xml:space="preserve">PRECEDE ML </t>
  </si>
  <si>
    <t>VD159</t>
  </si>
  <si>
    <t>VIET NHAT TAN</t>
  </si>
  <si>
    <t>VD190</t>
  </si>
  <si>
    <t>YES SAI GON</t>
  </si>
  <si>
    <t>VN003</t>
  </si>
  <si>
    <t>HUYNH DUC</t>
  </si>
  <si>
    <t>CHAU DA</t>
  </si>
  <si>
    <r>
      <rPr>
        <b/>
        <sz val="11"/>
        <rFont val="ＭＳ Ｐゴシック"/>
        <family val="3"/>
        <charset val="128"/>
      </rPr>
      <t>ＤＧＭ</t>
    </r>
    <phoneticPr fontId="38"/>
  </si>
  <si>
    <r>
      <t>Kh</t>
    </r>
    <r>
      <rPr>
        <b/>
        <sz val="15"/>
        <rFont val="Calibri"/>
        <family val="3"/>
        <charset val="163"/>
      </rPr>
      <t>ẩ</t>
    </r>
    <r>
      <rPr>
        <b/>
        <sz val="15"/>
        <rFont val="ＭＳ Ｐゴシック"/>
        <family val="3"/>
        <charset val="128"/>
      </rPr>
      <t>u hi</t>
    </r>
    <r>
      <rPr>
        <b/>
        <sz val="15"/>
        <rFont val="Calibri"/>
        <family val="3"/>
        <charset val="163"/>
      </rPr>
      <t>ệ</t>
    </r>
    <r>
      <rPr>
        <b/>
        <sz val="15"/>
        <rFont val="ＭＳ Ｐゴシック"/>
        <family val="3"/>
        <charset val="128"/>
      </rPr>
      <t>u :B</t>
    </r>
    <r>
      <rPr>
        <b/>
        <sz val="15"/>
        <rFont val="Calibri"/>
        <family val="3"/>
        <charset val="163"/>
      </rPr>
      <t>ố</t>
    </r>
    <r>
      <rPr>
        <b/>
        <sz val="15"/>
        <rFont val="ＭＳ Ｐゴシック"/>
        <family val="3"/>
        <charset val="128"/>
      </rPr>
      <t xml:space="preserve"> trí an toàn và nâng cao t</t>
    </r>
    <r>
      <rPr>
        <b/>
        <sz val="15"/>
        <rFont val="Calibri"/>
        <family val="3"/>
        <charset val="163"/>
      </rPr>
      <t>ỷ</t>
    </r>
    <r>
      <rPr>
        <b/>
        <sz val="15"/>
        <rFont val="ＭＳ Ｐゴシック"/>
        <family val="3"/>
        <charset val="128"/>
      </rPr>
      <t xml:space="preserve"> l</t>
    </r>
    <r>
      <rPr>
        <b/>
        <sz val="15"/>
        <rFont val="Calibri"/>
        <family val="3"/>
        <charset val="163"/>
      </rPr>
      <t>ệ</t>
    </r>
    <r>
      <rPr>
        <b/>
        <sz val="15"/>
        <rFont val="ＭＳ Ｐゴシック"/>
        <family val="3"/>
        <charset val="128"/>
      </rPr>
      <t xml:space="preserve"> ho</t>
    </r>
    <r>
      <rPr>
        <b/>
        <sz val="15"/>
        <rFont val="Calibri"/>
        <family val="3"/>
        <charset val="163"/>
      </rPr>
      <t>ạ</t>
    </r>
    <r>
      <rPr>
        <b/>
        <sz val="15"/>
        <rFont val="ＭＳ Ｐゴシック"/>
        <family val="3"/>
        <charset val="128"/>
      </rPr>
      <t>t đ</t>
    </r>
    <r>
      <rPr>
        <b/>
        <sz val="15"/>
        <rFont val="Calibri"/>
        <family val="3"/>
        <charset val="163"/>
      </rPr>
      <t>ộ</t>
    </r>
    <r>
      <rPr>
        <b/>
        <sz val="15"/>
        <rFont val="ＭＳ Ｐゴシック"/>
        <family val="3"/>
        <charset val="128"/>
      </rPr>
      <t>ng không ng</t>
    </r>
    <r>
      <rPr>
        <b/>
        <sz val="15"/>
        <rFont val="Segoe UI"/>
        <family val="3"/>
        <charset val="238"/>
      </rPr>
      <t>ư</t>
    </r>
    <r>
      <rPr>
        <b/>
        <sz val="15"/>
        <rFont val="Calibri"/>
        <family val="3"/>
        <charset val="163"/>
      </rPr>
      <t>ờ</t>
    </r>
    <r>
      <rPr>
        <b/>
        <sz val="15"/>
        <rFont val="ＭＳ Ｐゴシック"/>
        <family val="3"/>
        <charset val="128"/>
      </rPr>
      <t>i</t>
    </r>
    <phoneticPr fontId="38"/>
  </si>
  <si>
    <r>
      <t>Tuyên b</t>
    </r>
    <r>
      <rPr>
        <b/>
        <sz val="15"/>
        <rFont val="Calibri"/>
        <family val="3"/>
        <charset val="163"/>
      </rPr>
      <t>ố</t>
    </r>
    <r>
      <rPr>
        <b/>
        <sz val="15"/>
        <rFont val="ＭＳ Ｐゴシック"/>
        <family val="3"/>
        <charset val="128"/>
      </rPr>
      <t xml:space="preserve"> :Nâng cao t</t>
    </r>
    <r>
      <rPr>
        <b/>
        <sz val="15"/>
        <rFont val="Calibri"/>
        <family val="3"/>
        <charset val="163"/>
      </rPr>
      <t>ỷ</t>
    </r>
    <r>
      <rPr>
        <b/>
        <sz val="15"/>
        <rFont val="ＭＳ Ｐゴシック"/>
        <family val="3"/>
        <charset val="128"/>
      </rPr>
      <t xml:space="preserve"> l</t>
    </r>
    <r>
      <rPr>
        <b/>
        <sz val="15"/>
        <rFont val="Calibri"/>
        <family val="3"/>
        <charset val="163"/>
      </rPr>
      <t>ệ</t>
    </r>
    <r>
      <rPr>
        <b/>
        <sz val="15"/>
        <rFont val="ＭＳ Ｐゴシック"/>
        <family val="3"/>
        <charset val="128"/>
      </rPr>
      <t xml:space="preserve"> ho</t>
    </r>
    <r>
      <rPr>
        <b/>
        <sz val="15"/>
        <rFont val="Calibri"/>
        <family val="3"/>
        <charset val="163"/>
      </rPr>
      <t>ạ</t>
    </r>
    <r>
      <rPr>
        <b/>
        <sz val="15"/>
        <rFont val="ＭＳ Ｐゴシック"/>
        <family val="3"/>
        <charset val="128"/>
      </rPr>
      <t>t đ</t>
    </r>
    <r>
      <rPr>
        <b/>
        <sz val="15"/>
        <rFont val="Calibri"/>
        <family val="3"/>
        <charset val="163"/>
      </rPr>
      <t>ộ</t>
    </r>
    <r>
      <rPr>
        <b/>
        <sz val="15"/>
        <rFont val="ＭＳ Ｐゴシック"/>
        <family val="3"/>
        <charset val="128"/>
      </rPr>
      <t>ng không ng</t>
    </r>
    <r>
      <rPr>
        <b/>
        <sz val="15"/>
        <rFont val="Segoe UI"/>
        <family val="3"/>
        <charset val="238"/>
      </rPr>
      <t>ư</t>
    </r>
    <r>
      <rPr>
        <b/>
        <sz val="15"/>
        <rFont val="Calibri"/>
        <family val="3"/>
        <charset val="163"/>
      </rPr>
      <t>ờ</t>
    </r>
    <r>
      <rPr>
        <b/>
        <sz val="15"/>
        <rFont val="ＭＳ Ｐゴシック"/>
        <family val="3"/>
        <charset val="128"/>
      </rPr>
      <t>i</t>
    </r>
    <phoneticPr fontId="36"/>
  </si>
  <si>
    <r>
      <t>Tr</t>
    </r>
    <r>
      <rPr>
        <b/>
        <sz val="15"/>
        <rFont val="Calibri"/>
        <family val="3"/>
        <charset val="163"/>
      </rPr>
      <t>ị</t>
    </r>
    <r>
      <rPr>
        <b/>
        <sz val="15"/>
        <rFont val="ＭＳ Ｐゴシック"/>
        <family val="3"/>
        <charset val="128"/>
      </rPr>
      <t xml:space="preserve"> m</t>
    </r>
    <r>
      <rPr>
        <b/>
        <sz val="15"/>
        <rFont val="Calibri"/>
        <family val="3"/>
        <charset val="163"/>
      </rPr>
      <t>ụ</t>
    </r>
    <r>
      <rPr>
        <b/>
        <sz val="15"/>
        <rFont val="ＭＳ Ｐゴシック"/>
        <family val="3"/>
        <charset val="128"/>
      </rPr>
      <t>c tiêu:20.0%</t>
    </r>
    <phoneticPr fontId="36"/>
  </si>
  <si>
    <r>
      <rPr>
        <b/>
        <sz val="11"/>
        <color rgb="FF0070C0"/>
        <rFont val="Calibri"/>
        <family val="3"/>
        <charset val="163"/>
      </rPr>
      <t>Mụ</t>
    </r>
    <r>
      <rPr>
        <b/>
        <sz val="11"/>
        <color rgb="FF0070C0"/>
        <rFont val="ＭＳ Ｐゴシック"/>
        <family val="3"/>
        <charset val="128"/>
      </rPr>
      <t>c tiêu</t>
    </r>
    <phoneticPr fontId="38"/>
  </si>
  <si>
    <t>Trung bình</t>
    <phoneticPr fontId="36"/>
  </si>
  <si>
    <t>L/T（平均）</t>
  </si>
  <si>
    <t>不良をﾘｶﾊﾞﾘｰする為にかかった時間</t>
  </si>
  <si>
    <t>標準時間</t>
  </si>
  <si>
    <t>VD467</t>
  </si>
  <si>
    <t>CNCLASER</t>
  </si>
  <si>
    <t>VD434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</si>
</sst>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#,##0.0;[Red]\-#,##0.0"/>
    <numFmt numFmtId="167" formatCode="#,##0.000;[Red]\-#,##0.000"/>
    <numFmt numFmtId="168" formatCode="_(* #,##0.0_);_(* \(#,##0.0\);_(* &quot;-&quot;??_);_(@_)"/>
    <numFmt numFmtId="169" formatCode="#,##0_ "/>
    <numFmt numFmtId="170" formatCode="0.0"/>
    <numFmt numFmtId="171" formatCode="_(* #,##0_);_(* \(#,##0\);_(* &quot;-&quot;??_);_(@_)"/>
  </numFmts>
  <fonts count="110">
    <font>
      <sz val="11"/>
      <color theme="1"/>
      <name val="Calibri"/>
      <charset val="128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rgb="FFFF0000"/>
      <name val="ＭＳ Ｐゴシック"/>
      <family val="2"/>
    </font>
    <font>
      <sz val="11"/>
      <name val="ＭＳ Ｐゴシック"/>
      <family val="2"/>
    </font>
    <font>
      <b/>
      <sz val="16"/>
      <name val="ＭＳ Ｐゴシック"/>
      <family val="2"/>
    </font>
    <font>
      <b/>
      <sz val="11"/>
      <color rgb="FFFF0000"/>
      <name val="ＭＳ Ｐゴシック"/>
      <family val="2"/>
    </font>
    <font>
      <sz val="11"/>
      <color indexed="12"/>
      <name val="ＭＳ Ｐゴシック"/>
      <family val="2"/>
    </font>
    <font>
      <b/>
      <sz val="11"/>
      <name val="ＭＳ Ｐゴシック"/>
      <family val="2"/>
    </font>
    <font>
      <sz val="11"/>
      <color theme="1"/>
      <name val="ＭＳ Ｐゴシック"/>
      <family val="2"/>
    </font>
    <font>
      <b/>
      <sz val="12"/>
      <color rgb="FFFF0000"/>
      <name val="ＭＳ Ｐゴシック"/>
      <family val="2"/>
    </font>
    <font>
      <b/>
      <sz val="12"/>
      <name val="ＭＳ Ｐゴシック"/>
      <family val="2"/>
    </font>
    <font>
      <b/>
      <sz val="12"/>
      <color theme="1"/>
      <name val="ＭＳ Ｐゴシック"/>
      <family val="2"/>
    </font>
    <font>
      <b/>
      <sz val="14"/>
      <color rgb="FFFF0000"/>
      <name val="ＭＳ Ｐゴシック"/>
      <family val="2"/>
    </font>
    <font>
      <b/>
      <sz val="16"/>
      <color rgb="FFFF0000"/>
      <name val="ＭＳ Ｐゴシック"/>
      <family val="2"/>
    </font>
    <font>
      <b/>
      <sz val="11"/>
      <color theme="1"/>
      <name val="ＭＳ Ｐゴシック"/>
      <family val="2"/>
    </font>
    <font>
      <sz val="10"/>
      <name val="ＭＳ Ｐゴシック"/>
      <family val="2"/>
    </font>
    <font>
      <sz val="20"/>
      <name val="ＭＳ Ｐゴシック"/>
      <family val="2"/>
    </font>
    <font>
      <sz val="11"/>
      <color theme="1"/>
      <name val="Calibri"/>
      <family val="3"/>
      <charset val="128"/>
      <scheme val="minor"/>
    </font>
    <font>
      <sz val="12"/>
      <name val="宋体"/>
      <charset val="128"/>
    </font>
    <font>
      <sz val="12"/>
      <color indexed="8"/>
      <name val="宋体"/>
      <charset val="128"/>
    </font>
    <font>
      <sz val="11"/>
      <name val="MS P ゴシック"/>
      <charset val="128"/>
    </font>
    <font>
      <b/>
      <sz val="11"/>
      <name val="MS P ゴシック"/>
      <charset val="128"/>
    </font>
    <font>
      <b/>
      <sz val="9"/>
      <name val="MS P ゴシック"/>
      <charset val="128"/>
    </font>
    <font>
      <sz val="10"/>
      <color rgb="FFFF0000"/>
      <name val="細明體"/>
      <family val="3"/>
      <charset val="136"/>
    </font>
    <font>
      <sz val="10"/>
      <name val="細明體"/>
      <family val="3"/>
      <charset val="136"/>
    </font>
    <font>
      <b/>
      <sz val="12"/>
      <name val="細明體"/>
      <family val="3"/>
      <charset val="136"/>
    </font>
    <font>
      <b/>
      <sz val="14"/>
      <color rgb="FFFF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9"/>
      <name val="Calibri"/>
      <family val="3"/>
      <charset val="134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6"/>
      <name val="Calibri"/>
      <family val="3"/>
      <charset val="128"/>
      <scheme val="minor"/>
    </font>
    <font>
      <sz val="6"/>
      <name val="ＭＳ Ｐゴシック"/>
      <family val="2"/>
      <charset val="128"/>
    </font>
    <font>
      <sz val="6"/>
      <name val="Calibri"/>
      <family val="2"/>
      <charset val="128"/>
      <scheme val="minor"/>
    </font>
    <font>
      <sz val="10"/>
      <color rgb="FFFF0000"/>
      <name val="ＭＳ Ｐゴシック"/>
      <family val="2"/>
      <charset val="128"/>
    </font>
    <font>
      <sz val="10"/>
      <color indexed="8"/>
      <name val="ＭＳ Ｐゴシック"/>
      <family val="2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4"/>
      <color indexed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indexed="81"/>
      <name val="MS P 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6"/>
      <color indexed="8"/>
      <name val="Arial"/>
      <family val="2"/>
    </font>
    <font>
      <sz val="8"/>
      <name val="ＭＳ Ｐゴシック"/>
      <family val="3"/>
      <charset val="128"/>
    </font>
    <font>
      <sz val="8"/>
      <color rgb="FF000000"/>
      <name val="Arial"/>
      <family val="2"/>
    </font>
    <font>
      <sz val="8"/>
      <color rgb="FF000000"/>
      <name val="ＭＳ Ｐゴシック"/>
      <family val="3"/>
      <charset val="128"/>
    </font>
    <font>
      <u/>
      <sz val="11"/>
      <color theme="10"/>
      <name val="Calibri"/>
      <family val="3"/>
      <charset val="128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name val="ＭＳ Ｐゴシック"/>
      <family val="3"/>
      <charset val="128"/>
    </font>
    <font>
      <sz val="11"/>
      <name val="Calibri"/>
      <family val="3"/>
      <charset val="163"/>
    </font>
    <font>
      <b/>
      <sz val="11"/>
      <name val="Calibri"/>
      <family val="3"/>
      <charset val="163"/>
    </font>
    <font>
      <sz val="9"/>
      <name val="ＭＳ Ｐゴシック"/>
      <family val="3"/>
      <charset val="128"/>
    </font>
    <font>
      <sz val="11"/>
      <name val="Calibri"/>
      <family val="2"/>
    </font>
    <font>
      <sz val="11"/>
      <name val="Arial"/>
      <family val="2"/>
    </font>
    <font>
      <sz val="10"/>
      <name val="Calibri"/>
      <family val="3"/>
      <charset val="163"/>
    </font>
    <font>
      <sz val="10"/>
      <name val="Segoe UI"/>
      <family val="3"/>
      <charset val="238"/>
    </font>
    <font>
      <sz val="9"/>
      <color indexed="81"/>
      <name val="MS P ゴシック"/>
      <family val="3"/>
      <charset val="128"/>
    </font>
    <font>
      <sz val="11"/>
      <color theme="1"/>
      <name val="Segoe UI"/>
      <family val="2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9"/>
      <color indexed="81"/>
      <name val="Arial"/>
      <family val="2"/>
    </font>
    <font>
      <sz val="10"/>
      <name val="Calibri"/>
      <family val="2"/>
      <charset val="163"/>
    </font>
    <font>
      <sz val="11"/>
      <name val="Calibri"/>
      <family val="2"/>
      <charset val="163"/>
    </font>
    <font>
      <sz val="11"/>
      <name val="ＭＳ Ｐゴシック"/>
      <family val="3"/>
      <charset val="163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63"/>
    </font>
    <font>
      <sz val="11"/>
      <color theme="1"/>
      <name val="Calibri"/>
      <family val="2"/>
      <scheme val="minor"/>
    </font>
    <font>
      <sz val="10"/>
      <color theme="1"/>
      <name val="ＭＳ Ｐゴシック"/>
      <family val="2"/>
      <charset val="128"/>
    </font>
    <font>
      <b/>
      <sz val="11"/>
      <name val="Calibri"/>
      <family val="2"/>
      <charset val="163"/>
    </font>
    <font>
      <sz val="11"/>
      <color theme="1"/>
      <name val="Arial"/>
      <family val="2"/>
    </font>
    <font>
      <b/>
      <sz val="15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2"/>
      <color rgb="FF0070C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Calibri"/>
      <family val="3"/>
      <charset val="163"/>
    </font>
    <font>
      <b/>
      <sz val="10"/>
      <name val="Calibri"/>
      <family val="3"/>
      <charset val="163"/>
    </font>
    <font>
      <b/>
      <sz val="10"/>
      <name val="Segoe UI"/>
      <family val="3"/>
      <charset val="238"/>
    </font>
    <font>
      <b/>
      <sz val="11"/>
      <name val="Arial"/>
      <family val="2"/>
    </font>
    <font>
      <b/>
      <sz val="15"/>
      <name val="Calibri"/>
      <family val="3"/>
      <charset val="163"/>
    </font>
    <font>
      <b/>
      <sz val="15"/>
      <name val="Segoe UI"/>
      <family val="3"/>
      <charset val="238"/>
    </font>
    <font>
      <b/>
      <sz val="11"/>
      <color rgb="FF0070C0"/>
      <name val="ＭＳ Ｐゴシック"/>
      <family val="3"/>
      <charset val="128"/>
    </font>
    <font>
      <b/>
      <sz val="11"/>
      <color rgb="FF0070C0"/>
      <name val="Calibri"/>
      <family val="3"/>
      <charset val="163"/>
    </font>
    <font>
      <b/>
      <sz val="11"/>
      <color rgb="FF0070C0"/>
      <name val="ＭＳ Ｐゴシック"/>
      <family val="3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double">
        <color rgb="FFFF0000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auto="1"/>
      </bottom>
      <diagonal/>
    </border>
  </borders>
  <cellStyleXfs count="36">
    <xf numFmtId="0" fontId="0" fillId="0" borderId="0">
      <alignment vertical="center"/>
    </xf>
    <xf numFmtId="38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2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0" fontId="2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1" fillId="0" borderId="0"/>
    <xf numFmtId="0" fontId="31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38" fontId="31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40" fontId="3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65" fontId="3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38" fontId="31" fillId="0" borderId="0" applyFon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43" fontId="90" fillId="0" borderId="0" applyFont="0" applyFill="0" applyBorder="0" applyAlignment="0" applyProtection="0"/>
    <xf numFmtId="0" fontId="19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</cellStyleXfs>
  <cellXfs count="1067">
    <xf numFmtId="0" fontId="0" fillId="0" borderId="0" xfId="0">
      <alignment vertical="center"/>
    </xf>
    <xf numFmtId="38" fontId="9" fillId="0" borderId="0" xfId="8" applyFont="1">
      <alignment vertical="center"/>
    </xf>
    <xf numFmtId="38" fontId="10" fillId="0" borderId="0" xfId="8" applyFont="1">
      <alignment vertical="center"/>
    </xf>
    <xf numFmtId="38" fontId="9" fillId="0" borderId="0" xfId="8" applyFont="1" applyAlignment="1">
      <alignment horizontal="center" vertical="center"/>
    </xf>
    <xf numFmtId="38" fontId="10" fillId="0" borderId="0" xfId="8" applyFont="1" applyAlignment="1">
      <alignment horizontal="center" vertical="center"/>
    </xf>
    <xf numFmtId="38" fontId="11" fillId="0" borderId="0" xfId="8" applyFont="1" applyAlignment="1">
      <alignment horizontal="left" vertical="center"/>
    </xf>
    <xf numFmtId="38" fontId="12" fillId="0" borderId="0" xfId="8" applyFont="1" applyAlignment="1">
      <alignment horizontal="left" vertical="center"/>
    </xf>
    <xf numFmtId="38" fontId="13" fillId="0" borderId="0" xfId="8" applyFont="1" applyAlignment="1">
      <alignment horizontal="center" vertical="center"/>
    </xf>
    <xf numFmtId="38" fontId="13" fillId="0" borderId="0" xfId="8" applyFont="1">
      <alignment vertical="center"/>
    </xf>
    <xf numFmtId="38" fontId="12" fillId="0" borderId="0" xfId="8" applyFont="1" applyAlignment="1">
      <alignment horizontal="center" vertical="center"/>
    </xf>
    <xf numFmtId="38" fontId="13" fillId="0" borderId="0" xfId="8" applyFont="1" applyAlignment="1">
      <alignment horizontal="left" vertical="center"/>
    </xf>
    <xf numFmtId="38" fontId="5" fillId="0" borderId="0" xfId="8" applyFont="1" applyAlignment="1">
      <alignment horizontal="center" vertical="center"/>
    </xf>
    <xf numFmtId="38" fontId="10" fillId="0" borderId="0" xfId="8" applyFont="1" applyFill="1" applyAlignment="1">
      <alignment horizontal="center" vertical="center"/>
    </xf>
    <xf numFmtId="38" fontId="9" fillId="4" borderId="36" xfId="8" applyFont="1" applyFill="1" applyBorder="1" applyAlignment="1">
      <alignment horizontal="center" vertical="center"/>
    </xf>
    <xf numFmtId="38" fontId="9" fillId="0" borderId="36" xfId="8" applyFont="1" applyBorder="1">
      <alignment vertical="center"/>
    </xf>
    <xf numFmtId="38" fontId="7" fillId="6" borderId="36" xfId="8" applyFont="1" applyFill="1" applyBorder="1" applyAlignment="1">
      <alignment horizontal="center" vertical="center"/>
    </xf>
    <xf numFmtId="38" fontId="9" fillId="7" borderId="16" xfId="8" applyFont="1" applyFill="1" applyBorder="1" applyAlignment="1">
      <alignment horizontal="center" vertical="center"/>
    </xf>
    <xf numFmtId="38" fontId="9" fillId="0" borderId="36" xfId="8" applyFont="1" applyFill="1" applyBorder="1" applyAlignment="1">
      <alignment horizontal="center" vertical="center"/>
    </xf>
    <xf numFmtId="38" fontId="9" fillId="8" borderId="36" xfId="8" applyFont="1" applyFill="1" applyBorder="1" applyAlignment="1">
      <alignment horizontal="center" vertical="center"/>
    </xf>
    <xf numFmtId="38" fontId="5" fillId="0" borderId="36" xfId="1" applyFont="1" applyBorder="1" applyAlignment="1">
      <alignment horizontal="right" vertical="center"/>
    </xf>
    <xf numFmtId="38" fontId="10" fillId="0" borderId="36" xfId="1" applyFont="1" applyBorder="1" applyAlignment="1">
      <alignment horizontal="right" vertical="center"/>
    </xf>
    <xf numFmtId="38" fontId="10" fillId="0" borderId="0" xfId="8" applyFont="1" applyAlignment="1">
      <alignment horizontal="right" vertical="center"/>
    </xf>
    <xf numFmtId="38" fontId="10" fillId="0" borderId="37" xfId="1" applyFont="1" applyBorder="1" applyAlignment="1">
      <alignment vertical="center"/>
    </xf>
    <xf numFmtId="38" fontId="5" fillId="0" borderId="37" xfId="1" applyFont="1" applyBorder="1" applyAlignment="1">
      <alignment vertical="center"/>
    </xf>
    <xf numFmtId="38" fontId="14" fillId="0" borderId="0" xfId="8" applyFont="1" applyAlignment="1">
      <alignment horizontal="left" vertical="center"/>
    </xf>
    <xf numFmtId="38" fontId="7" fillId="0" borderId="0" xfId="8" applyFont="1" applyAlignment="1">
      <alignment horizontal="center" vertical="center"/>
    </xf>
    <xf numFmtId="38" fontId="10" fillId="2" borderId="0" xfId="8" applyFont="1" applyFill="1">
      <alignment vertical="center"/>
    </xf>
    <xf numFmtId="38" fontId="10" fillId="2" borderId="0" xfId="8" applyFont="1" applyFill="1" applyAlignment="1">
      <alignment horizontal="center" vertical="center"/>
    </xf>
    <xf numFmtId="38" fontId="9" fillId="0" borderId="0" xfId="8" applyFont="1" applyAlignment="1">
      <alignment horizontal="left" vertical="center"/>
    </xf>
    <xf numFmtId="38" fontId="9" fillId="6" borderId="36" xfId="8" applyFont="1" applyFill="1" applyBorder="1" applyAlignment="1">
      <alignment horizontal="center" vertical="center"/>
    </xf>
    <xf numFmtId="38" fontId="9" fillId="7" borderId="37" xfId="8" applyFont="1" applyFill="1" applyBorder="1" applyAlignment="1">
      <alignment horizontal="center" vertical="center"/>
    </xf>
    <xf numFmtId="38" fontId="9" fillId="4" borderId="37" xfId="8" applyFont="1" applyFill="1" applyBorder="1" applyAlignment="1">
      <alignment horizontal="center" vertical="center"/>
    </xf>
    <xf numFmtId="38" fontId="5" fillId="4" borderId="36" xfId="8" applyFont="1" applyFill="1" applyBorder="1" applyAlignment="1">
      <alignment horizontal="center" vertical="center"/>
    </xf>
    <xf numFmtId="38" fontId="9" fillId="0" borderId="37" xfId="8" applyFont="1" applyFill="1" applyBorder="1" applyAlignment="1">
      <alignment horizontal="center" vertical="center"/>
    </xf>
    <xf numFmtId="38" fontId="5" fillId="0" borderId="36" xfId="8" applyNumberFormat="1" applyFont="1" applyBorder="1" applyAlignment="1">
      <alignment horizontal="center" vertical="center"/>
    </xf>
    <xf numFmtId="38" fontId="5" fillId="0" borderId="36" xfId="8" applyFont="1" applyBorder="1" applyAlignment="1">
      <alignment horizontal="center" vertical="center"/>
    </xf>
    <xf numFmtId="38" fontId="5" fillId="0" borderId="36" xfId="8" applyFont="1" applyFill="1" applyBorder="1" applyAlignment="1">
      <alignment horizontal="center" vertical="center"/>
    </xf>
    <xf numFmtId="38" fontId="9" fillId="9" borderId="36" xfId="8" applyFont="1" applyFill="1" applyBorder="1" applyAlignment="1">
      <alignment horizontal="center" vertical="center"/>
    </xf>
    <xf numFmtId="38" fontId="9" fillId="9" borderId="37" xfId="8" applyFont="1" applyFill="1" applyBorder="1" applyAlignment="1">
      <alignment horizontal="center" vertical="center"/>
    </xf>
    <xf numFmtId="38" fontId="10" fillId="0" borderId="0" xfId="8" applyFont="1" applyBorder="1" applyAlignment="1">
      <alignment horizontal="center" vertical="center" textRotation="255"/>
    </xf>
    <xf numFmtId="38" fontId="9" fillId="0" borderId="0" xfId="8" applyFont="1" applyFill="1" applyBorder="1" applyAlignment="1">
      <alignment horizontal="center" vertical="center"/>
    </xf>
    <xf numFmtId="38" fontId="5" fillId="0" borderId="0" xfId="8" applyFont="1" applyFill="1" applyBorder="1" applyAlignment="1">
      <alignment horizontal="center" vertical="center"/>
    </xf>
    <xf numFmtId="38" fontId="15" fillId="0" borderId="0" xfId="8" applyFont="1" applyAlignment="1">
      <alignment horizontal="left" vertical="center"/>
    </xf>
    <xf numFmtId="38" fontId="9" fillId="7" borderId="38" xfId="8" applyFont="1" applyFill="1" applyBorder="1" applyAlignment="1">
      <alignment horizontal="center" vertical="center"/>
    </xf>
    <xf numFmtId="38" fontId="5" fillId="0" borderId="36" xfId="1" applyFont="1" applyBorder="1">
      <alignment vertical="center"/>
    </xf>
    <xf numFmtId="38" fontId="9" fillId="7" borderId="36" xfId="8" applyFont="1" applyFill="1" applyBorder="1" applyAlignment="1">
      <alignment horizontal="center" vertical="center"/>
    </xf>
    <xf numFmtId="38" fontId="4" fillId="0" borderId="0" xfId="8" applyFont="1">
      <alignment vertical="center"/>
    </xf>
    <xf numFmtId="38" fontId="10" fillId="6" borderId="0" xfId="8" applyFont="1" applyFill="1" applyAlignment="1">
      <alignment horizontal="right" vertical="center"/>
    </xf>
    <xf numFmtId="38" fontId="10" fillId="6" borderId="0" xfId="8" applyFont="1" applyFill="1" applyAlignment="1">
      <alignment horizontal="center" vertical="center"/>
    </xf>
    <xf numFmtId="38" fontId="9" fillId="10" borderId="36" xfId="8" applyFont="1" applyFill="1" applyBorder="1">
      <alignment vertical="center"/>
    </xf>
    <xf numFmtId="38" fontId="5" fillId="0" borderId="36" xfId="1" applyFont="1" applyBorder="1" applyAlignment="1">
      <alignment horizontal="center" vertical="center"/>
    </xf>
    <xf numFmtId="38" fontId="10" fillId="0" borderId="36" xfId="8" applyFont="1" applyFill="1" applyBorder="1">
      <alignment vertical="center"/>
    </xf>
    <xf numFmtId="38" fontId="10" fillId="8" borderId="36" xfId="8" applyFont="1" applyFill="1" applyBorder="1">
      <alignment vertical="center"/>
    </xf>
    <xf numFmtId="38" fontId="10" fillId="10" borderId="36" xfId="8" applyFont="1" applyFill="1" applyBorder="1">
      <alignment vertical="center"/>
    </xf>
    <xf numFmtId="38" fontId="10" fillId="11" borderId="37" xfId="8" applyFont="1" applyFill="1" applyBorder="1">
      <alignment vertical="center"/>
    </xf>
    <xf numFmtId="38" fontId="10" fillId="11" borderId="36" xfId="8" applyFont="1" applyFill="1" applyBorder="1" applyAlignment="1">
      <alignment horizontal="center" vertical="center"/>
    </xf>
    <xf numFmtId="38" fontId="16" fillId="6" borderId="36" xfId="8" applyFont="1" applyFill="1" applyBorder="1" applyAlignment="1">
      <alignment horizontal="center" vertical="center"/>
    </xf>
    <xf numFmtId="38" fontId="10" fillId="6" borderId="36" xfId="8" applyFont="1" applyFill="1" applyBorder="1">
      <alignment vertical="center"/>
    </xf>
    <xf numFmtId="0" fontId="18" fillId="0" borderId="0" xfId="14" applyFont="1" applyAlignment="1">
      <alignment horizontal="left" vertical="center"/>
    </xf>
    <xf numFmtId="0" fontId="17" fillId="0" borderId="81" xfId="16" applyFont="1" applyBorder="1" applyAlignment="1">
      <alignment horizontal="center" vertical="center"/>
    </xf>
    <xf numFmtId="0" fontId="17" fillId="0" borderId="87" xfId="16" applyFont="1" applyBorder="1">
      <alignment vertical="center"/>
    </xf>
    <xf numFmtId="0" fontId="33" fillId="0" borderId="87" xfId="16" applyFont="1" applyBorder="1" applyAlignment="1">
      <alignment horizontal="center" vertical="center"/>
    </xf>
    <xf numFmtId="0" fontId="33" fillId="0" borderId="83" xfId="17" applyFont="1" applyBorder="1" applyAlignment="1">
      <alignment horizontal="center" vertical="center"/>
    </xf>
    <xf numFmtId="0" fontId="33" fillId="0" borderId="83" xfId="16" applyFont="1" applyBorder="1" applyAlignment="1">
      <alignment horizontal="center" vertical="center"/>
    </xf>
    <xf numFmtId="0" fontId="17" fillId="0" borderId="87" xfId="16" applyFont="1" applyBorder="1" applyAlignment="1">
      <alignment horizontal="center" vertical="center"/>
    </xf>
    <xf numFmtId="0" fontId="35" fillId="0" borderId="0" xfId="18" applyFont="1">
      <alignment vertical="center"/>
    </xf>
    <xf numFmtId="0" fontId="35" fillId="0" borderId="0" xfId="18" applyFont="1" applyAlignment="1">
      <alignment horizontal="center" vertical="center"/>
    </xf>
    <xf numFmtId="0" fontId="35" fillId="0" borderId="37" xfId="18" applyFont="1" applyBorder="1">
      <alignment vertical="center"/>
    </xf>
    <xf numFmtId="0" fontId="35" fillId="0" borderId="78" xfId="18" applyFont="1" applyBorder="1">
      <alignment vertical="center"/>
    </xf>
    <xf numFmtId="0" fontId="35" fillId="0" borderId="78" xfId="18" applyFont="1" applyBorder="1" applyAlignment="1">
      <alignment horizontal="center" vertical="center"/>
    </xf>
    <xf numFmtId="0" fontId="35" fillId="14" borderId="93" xfId="18" applyFont="1" applyFill="1" applyBorder="1" applyAlignment="1">
      <alignment horizontal="center" vertical="center"/>
    </xf>
    <xf numFmtId="0" fontId="35" fillId="0" borderId="83" xfId="18" applyFont="1" applyBorder="1">
      <alignment vertical="center"/>
    </xf>
    <xf numFmtId="0" fontId="33" fillId="0" borderId="83" xfId="18" applyFont="1" applyBorder="1">
      <alignment vertical="center"/>
    </xf>
    <xf numFmtId="0" fontId="35" fillId="0" borderId="83" xfId="18" applyFont="1" applyBorder="1" applyAlignment="1">
      <alignment horizontal="center" vertical="center"/>
    </xf>
    <xf numFmtId="0" fontId="35" fillId="14" borderId="95" xfId="18" applyFont="1" applyFill="1" applyBorder="1" applyAlignment="1">
      <alignment horizontal="center" vertical="center"/>
    </xf>
    <xf numFmtId="0" fontId="35" fillId="0" borderId="82" xfId="18" applyFont="1" applyBorder="1">
      <alignment vertical="center"/>
    </xf>
    <xf numFmtId="0" fontId="35" fillId="14" borderId="0" xfId="18" applyFont="1" applyFill="1">
      <alignment vertical="center"/>
    </xf>
    <xf numFmtId="0" fontId="35" fillId="17" borderId="0" xfId="18" applyFont="1" applyFill="1">
      <alignment vertical="center"/>
    </xf>
    <xf numFmtId="0" fontId="35" fillId="14" borderId="0" xfId="18" applyFont="1" applyFill="1" applyAlignment="1">
      <alignment horizontal="center" vertical="center"/>
    </xf>
    <xf numFmtId="0" fontId="35" fillId="17" borderId="90" xfId="18" applyFont="1" applyFill="1" applyBorder="1" applyAlignment="1">
      <alignment horizontal="center" vertical="center"/>
    </xf>
    <xf numFmtId="0" fontId="35" fillId="14" borderId="85" xfId="18" applyFont="1" applyFill="1" applyBorder="1">
      <alignment vertical="center"/>
    </xf>
    <xf numFmtId="0" fontId="35" fillId="14" borderId="85" xfId="18" applyFont="1" applyFill="1" applyBorder="1" applyAlignment="1">
      <alignment horizontal="center" vertical="center"/>
    </xf>
    <xf numFmtId="0" fontId="35" fillId="17" borderId="99" xfId="18" applyFont="1" applyFill="1" applyBorder="1" applyAlignment="1">
      <alignment horizontal="center" vertical="center"/>
    </xf>
    <xf numFmtId="0" fontId="33" fillId="0" borderId="87" xfId="18" applyFont="1" applyBorder="1">
      <alignment vertical="center"/>
    </xf>
    <xf numFmtId="0" fontId="35" fillId="0" borderId="87" xfId="18" applyFont="1" applyBorder="1" applyAlignment="1">
      <alignment horizontal="center" vertical="center"/>
    </xf>
    <xf numFmtId="0" fontId="25" fillId="0" borderId="46" xfId="18" applyFont="1" applyBorder="1" applyAlignment="1">
      <alignment horizontal="center" vertical="center"/>
    </xf>
    <xf numFmtId="0" fontId="33" fillId="14" borderId="0" xfId="18" applyFont="1" applyFill="1">
      <alignment vertical="center"/>
    </xf>
    <xf numFmtId="0" fontId="33" fillId="14" borderId="85" xfId="18" applyFont="1" applyFill="1" applyBorder="1">
      <alignment vertical="center"/>
    </xf>
    <xf numFmtId="0" fontId="35" fillId="0" borderId="104" xfId="18" applyFont="1" applyBorder="1" applyAlignment="1">
      <alignment horizontal="center" vertical="center"/>
    </xf>
    <xf numFmtId="0" fontId="25" fillId="0" borderId="83" xfId="18" applyFont="1" applyBorder="1" applyAlignment="1">
      <alignment horizontal="center" vertical="center"/>
    </xf>
    <xf numFmtId="0" fontId="35" fillId="0" borderId="95" xfId="18" applyFont="1" applyBorder="1">
      <alignment vertical="center"/>
    </xf>
    <xf numFmtId="0" fontId="40" fillId="0" borderId="87" xfId="18" applyFont="1" applyBorder="1">
      <alignment vertical="center"/>
    </xf>
    <xf numFmtId="0" fontId="40" fillId="0" borderId="87" xfId="18" applyFont="1" applyBorder="1" applyAlignment="1">
      <alignment horizontal="center" vertical="center"/>
    </xf>
    <xf numFmtId="0" fontId="40" fillId="0" borderId="0" xfId="18" applyFont="1">
      <alignment vertical="center"/>
    </xf>
    <xf numFmtId="0" fontId="40" fillId="0" borderId="89" xfId="18" applyFont="1" applyBorder="1">
      <alignment vertical="center"/>
    </xf>
    <xf numFmtId="0" fontId="40" fillId="0" borderId="83" xfId="18" applyFont="1" applyBorder="1">
      <alignment vertical="center"/>
    </xf>
    <xf numFmtId="0" fontId="40" fillId="0" borderId="83" xfId="18" applyFont="1" applyBorder="1" applyAlignment="1">
      <alignment horizontal="center" vertical="center"/>
    </xf>
    <xf numFmtId="0" fontId="40" fillId="14" borderId="85" xfId="18" applyFont="1" applyFill="1" applyBorder="1">
      <alignment vertical="center"/>
    </xf>
    <xf numFmtId="0" fontId="39" fillId="0" borderId="46" xfId="18" applyFont="1" applyBorder="1" applyAlignment="1">
      <alignment horizontal="center" vertical="center"/>
    </xf>
    <xf numFmtId="0" fontId="35" fillId="0" borderId="82" xfId="18" applyFont="1" applyBorder="1" applyAlignment="1">
      <alignment horizontal="center" vertical="center"/>
    </xf>
    <xf numFmtId="0" fontId="33" fillId="0" borderId="0" xfId="18" applyFont="1">
      <alignment vertical="center"/>
    </xf>
    <xf numFmtId="0" fontId="35" fillId="0" borderId="93" xfId="18" applyFont="1" applyBorder="1" applyAlignment="1">
      <alignment horizontal="center" vertical="center"/>
    </xf>
    <xf numFmtId="38" fontId="31" fillId="0" borderId="92" xfId="19" applyFont="1" applyFill="1" applyBorder="1" applyAlignment="1">
      <alignment vertical="center"/>
    </xf>
    <xf numFmtId="0" fontId="35" fillId="0" borderId="106" xfId="18" applyFont="1" applyBorder="1" applyAlignment="1">
      <alignment horizontal="center" vertical="center"/>
    </xf>
    <xf numFmtId="0" fontId="35" fillId="17" borderId="97" xfId="18" applyFont="1" applyFill="1" applyBorder="1" applyAlignment="1">
      <alignment horizontal="center" vertical="center"/>
    </xf>
    <xf numFmtId="0" fontId="33" fillId="14" borderId="98" xfId="16" applyFont="1" applyFill="1" applyBorder="1" applyAlignment="1">
      <alignment horizontal="center" vertical="center"/>
    </xf>
    <xf numFmtId="38" fontId="33" fillId="0" borderId="87" xfId="19" applyFont="1" applyFill="1" applyBorder="1" applyAlignment="1">
      <alignment vertical="center"/>
    </xf>
    <xf numFmtId="38" fontId="33" fillId="0" borderId="102" xfId="19" applyFont="1" applyFill="1" applyBorder="1" applyAlignment="1">
      <alignment vertical="center"/>
    </xf>
    <xf numFmtId="38" fontId="33" fillId="0" borderId="0" xfId="16" applyNumberFormat="1" applyFont="1">
      <alignment vertical="center"/>
    </xf>
    <xf numFmtId="0" fontId="33" fillId="0" borderId="0" xfId="16" applyFont="1">
      <alignment vertical="center"/>
    </xf>
    <xf numFmtId="0" fontId="33" fillId="0" borderId="46" xfId="17" applyFont="1" applyBorder="1" applyAlignment="1">
      <alignment horizontal="center" vertical="center"/>
    </xf>
    <xf numFmtId="0" fontId="33" fillId="14" borderId="46" xfId="17" applyFont="1" applyFill="1" applyBorder="1">
      <alignment vertical="center"/>
    </xf>
    <xf numFmtId="0" fontId="33" fillId="14" borderId="46" xfId="17" applyFont="1" applyFill="1" applyBorder="1" applyAlignment="1">
      <alignment horizontal="center" vertical="center"/>
    </xf>
    <xf numFmtId="0" fontId="33" fillId="0" borderId="46" xfId="16" applyFont="1" applyBorder="1" applyAlignment="1">
      <alignment horizontal="center" vertical="center"/>
    </xf>
    <xf numFmtId="0" fontId="33" fillId="14" borderId="93" xfId="16" applyFont="1" applyFill="1" applyBorder="1" applyAlignment="1">
      <alignment horizontal="center" vertical="center"/>
    </xf>
    <xf numFmtId="38" fontId="33" fillId="0" borderId="46" xfId="19" applyFont="1" applyFill="1" applyBorder="1" applyAlignment="1">
      <alignment vertical="center"/>
    </xf>
    <xf numFmtId="38" fontId="33" fillId="0" borderId="103" xfId="19" applyFont="1" applyFill="1" applyBorder="1" applyAlignment="1">
      <alignment vertical="center"/>
    </xf>
    <xf numFmtId="0" fontId="33" fillId="14" borderId="83" xfId="17" applyFont="1" applyFill="1" applyBorder="1">
      <alignment vertical="center"/>
    </xf>
    <xf numFmtId="0" fontId="43" fillId="14" borderId="83" xfId="17" applyFont="1" applyFill="1" applyBorder="1">
      <alignment vertical="center"/>
    </xf>
    <xf numFmtId="0" fontId="33" fillId="14" borderId="83" xfId="17" applyFont="1" applyFill="1" applyBorder="1" applyAlignment="1">
      <alignment horizontal="center" vertical="center"/>
    </xf>
    <xf numFmtId="0" fontId="33" fillId="14" borderId="95" xfId="16" applyFont="1" applyFill="1" applyBorder="1" applyAlignment="1">
      <alignment horizontal="center" vertical="center"/>
    </xf>
    <xf numFmtId="38" fontId="33" fillId="0" borderId="83" xfId="19" applyFont="1" applyFill="1" applyBorder="1" applyAlignment="1">
      <alignment vertical="center"/>
    </xf>
    <xf numFmtId="38" fontId="33" fillId="0" borderId="104" xfId="19" applyFont="1" applyFill="1" applyBorder="1" applyAlignment="1">
      <alignment vertical="center"/>
    </xf>
    <xf numFmtId="0" fontId="33" fillId="14" borderId="0" xfId="16" applyFont="1" applyFill="1">
      <alignment vertical="center"/>
    </xf>
    <xf numFmtId="0" fontId="33" fillId="14" borderId="0" xfId="16" applyFont="1" applyFill="1" applyAlignment="1">
      <alignment horizontal="center" vertical="center"/>
    </xf>
    <xf numFmtId="0" fontId="33" fillId="17" borderId="0" xfId="16" applyFont="1" applyFill="1">
      <alignment vertical="center"/>
    </xf>
    <xf numFmtId="0" fontId="35" fillId="17" borderId="24" xfId="18" applyFont="1" applyFill="1" applyBorder="1" applyAlignment="1">
      <alignment horizontal="center" vertical="center"/>
    </xf>
    <xf numFmtId="0" fontId="35" fillId="17" borderId="0" xfId="18" applyFont="1" applyFill="1" applyAlignment="1">
      <alignment horizontal="center" vertical="center"/>
    </xf>
    <xf numFmtId="0" fontId="17" fillId="0" borderId="81" xfId="16" applyFont="1" applyBorder="1">
      <alignment vertical="center"/>
    </xf>
    <xf numFmtId="38" fontId="33" fillId="0" borderId="46" xfId="19" applyFont="1" applyFill="1" applyBorder="1" applyAlignment="1">
      <alignment horizontal="right" vertical="center"/>
    </xf>
    <xf numFmtId="38" fontId="33" fillId="0" borderId="103" xfId="19" applyFont="1" applyFill="1" applyBorder="1" applyAlignment="1">
      <alignment horizontal="right" vertical="center"/>
    </xf>
    <xf numFmtId="0" fontId="42" fillId="14" borderId="46" xfId="17" applyFont="1" applyFill="1" applyBorder="1">
      <alignment vertical="center"/>
    </xf>
    <xf numFmtId="0" fontId="42" fillId="14" borderId="83" xfId="17" applyFont="1" applyFill="1" applyBorder="1">
      <alignment vertical="center"/>
    </xf>
    <xf numFmtId="38" fontId="33" fillId="0" borderId="83" xfId="19" applyFont="1" applyFill="1" applyBorder="1" applyAlignment="1">
      <alignment horizontal="right" vertical="center"/>
    </xf>
    <xf numFmtId="38" fontId="33" fillId="0" borderId="104" xfId="19" applyFont="1" applyFill="1" applyBorder="1" applyAlignment="1">
      <alignment horizontal="right" vertical="center"/>
    </xf>
    <xf numFmtId="0" fontId="33" fillId="14" borderId="109" xfId="16" applyFont="1" applyFill="1" applyBorder="1" applyAlignment="1">
      <alignment horizontal="center" vertical="center"/>
    </xf>
    <xf numFmtId="0" fontId="41" fillId="0" borderId="83" xfId="17" applyFont="1" applyBorder="1" applyAlignment="1">
      <alignment horizontal="center" vertical="center"/>
    </xf>
    <xf numFmtId="0" fontId="32" fillId="0" borderId="83" xfId="17" applyBorder="1">
      <alignment vertical="center"/>
    </xf>
    <xf numFmtId="0" fontId="33" fillId="14" borderId="85" xfId="16" applyFont="1" applyFill="1" applyBorder="1">
      <alignment vertical="center"/>
    </xf>
    <xf numFmtId="0" fontId="33" fillId="14" borderId="85" xfId="16" applyFont="1" applyFill="1" applyBorder="1" applyAlignment="1">
      <alignment horizontal="center" vertical="center"/>
    </xf>
    <xf numFmtId="38" fontId="33" fillId="0" borderId="87" xfId="19" applyFont="1" applyFill="1" applyBorder="1" applyAlignment="1">
      <alignment horizontal="right" vertical="center"/>
    </xf>
    <xf numFmtId="38" fontId="33" fillId="0" borderId="46" xfId="22" applyNumberFormat="1" applyFont="1" applyBorder="1" applyAlignment="1">
      <alignment horizontal="right" vertical="center"/>
    </xf>
    <xf numFmtId="0" fontId="33" fillId="14" borderId="60" xfId="16" applyFont="1" applyFill="1" applyBorder="1">
      <alignment vertical="center"/>
    </xf>
    <xf numFmtId="0" fontId="33" fillId="14" borderId="61" xfId="16" applyFont="1" applyFill="1" applyBorder="1">
      <alignment vertical="center"/>
    </xf>
    <xf numFmtId="0" fontId="26" fillId="14" borderId="0" xfId="16" applyFont="1" applyFill="1">
      <alignment vertical="center"/>
    </xf>
    <xf numFmtId="0" fontId="26" fillId="14" borderId="85" xfId="16" applyFont="1" applyFill="1" applyBorder="1">
      <alignment vertical="center"/>
    </xf>
    <xf numFmtId="0" fontId="33" fillId="14" borderId="101" xfId="16" applyFont="1" applyFill="1" applyBorder="1" applyAlignment="1">
      <alignment horizontal="center" vertical="center"/>
    </xf>
    <xf numFmtId="0" fontId="41" fillId="0" borderId="87" xfId="16" applyFont="1" applyBorder="1" applyAlignment="1">
      <alignment horizontal="center" vertical="center"/>
    </xf>
    <xf numFmtId="0" fontId="33" fillId="0" borderId="46" xfId="16" applyFont="1" applyBorder="1">
      <alignment vertical="center"/>
    </xf>
    <xf numFmtId="0" fontId="33" fillId="0" borderId="97" xfId="16" applyFont="1" applyBorder="1" applyAlignment="1">
      <alignment horizontal="center" vertical="center"/>
    </xf>
    <xf numFmtId="0" fontId="33" fillId="0" borderId="83" xfId="16" applyFont="1" applyBorder="1">
      <alignment vertical="center"/>
    </xf>
    <xf numFmtId="0" fontId="33" fillId="14" borderId="99" xfId="16" applyFont="1" applyFill="1" applyBorder="1" applyAlignment="1">
      <alignment horizontal="center" vertical="center"/>
    </xf>
    <xf numFmtId="0" fontId="41" fillId="14" borderId="0" xfId="16" applyFont="1" applyFill="1">
      <alignment vertical="center"/>
    </xf>
    <xf numFmtId="0" fontId="41" fillId="14" borderId="0" xfId="16" applyFont="1" applyFill="1" applyAlignment="1">
      <alignment horizontal="center" vertical="center"/>
    </xf>
    <xf numFmtId="0" fontId="41" fillId="17" borderId="0" xfId="16" applyFont="1" applyFill="1">
      <alignment vertical="center"/>
    </xf>
    <xf numFmtId="0" fontId="41" fillId="14" borderId="85" xfId="16" applyFont="1" applyFill="1" applyBorder="1">
      <alignment vertical="center"/>
    </xf>
    <xf numFmtId="0" fontId="41" fillId="14" borderId="85" xfId="16" applyFont="1" applyFill="1" applyBorder="1" applyAlignment="1">
      <alignment horizontal="center" vertical="center"/>
    </xf>
    <xf numFmtId="0" fontId="17" fillId="0" borderId="102" xfId="16" applyFont="1" applyBorder="1">
      <alignment vertical="center"/>
    </xf>
    <xf numFmtId="0" fontId="17" fillId="0" borderId="0" xfId="16" applyFont="1">
      <alignment vertical="center"/>
    </xf>
    <xf numFmtId="0" fontId="17" fillId="0" borderId="83" xfId="16" applyFont="1" applyBorder="1">
      <alignment vertical="center"/>
    </xf>
    <xf numFmtId="0" fontId="17" fillId="0" borderId="95" xfId="16" applyFont="1" applyBorder="1">
      <alignment vertical="center"/>
    </xf>
    <xf numFmtId="0" fontId="17" fillId="0" borderId="95" xfId="16" applyFont="1" applyBorder="1" applyAlignment="1">
      <alignment horizontal="center" vertical="center"/>
    </xf>
    <xf numFmtId="0" fontId="17" fillId="0" borderId="83" xfId="16" applyFont="1" applyBorder="1" applyAlignment="1">
      <alignment horizontal="center" vertical="center"/>
    </xf>
    <xf numFmtId="0" fontId="17" fillId="0" borderId="104" xfId="16" applyFont="1" applyBorder="1">
      <alignment vertical="center"/>
    </xf>
    <xf numFmtId="0" fontId="17" fillId="14" borderId="85" xfId="16" applyFont="1" applyFill="1" applyBorder="1">
      <alignment vertical="center"/>
    </xf>
    <xf numFmtId="0" fontId="17" fillId="4" borderId="99" xfId="18" applyFont="1" applyFill="1" applyBorder="1" applyAlignment="1">
      <alignment horizontal="center" vertical="center"/>
    </xf>
    <xf numFmtId="0" fontId="35" fillId="0" borderId="84" xfId="18" applyFont="1" applyBorder="1">
      <alignment vertical="center"/>
    </xf>
    <xf numFmtId="0" fontId="40" fillId="0" borderId="102" xfId="18" applyFont="1" applyBorder="1">
      <alignment vertical="center"/>
    </xf>
    <xf numFmtId="0" fontId="40" fillId="0" borderId="104" xfId="18" applyFont="1" applyBorder="1">
      <alignment vertical="center"/>
    </xf>
    <xf numFmtId="0" fontId="40" fillId="0" borderId="88" xfId="18" applyFont="1" applyBorder="1" applyAlignment="1">
      <alignment horizontal="center" vertical="center"/>
    </xf>
    <xf numFmtId="0" fontId="31" fillId="0" borderId="0" xfId="23">
      <alignment vertical="center"/>
    </xf>
    <xf numFmtId="38" fontId="31" fillId="0" borderId="0" xfId="19" applyFont="1">
      <alignment vertical="center"/>
    </xf>
    <xf numFmtId="0" fontId="32" fillId="0" borderId="0" xfId="17">
      <alignment vertical="center"/>
    </xf>
    <xf numFmtId="0" fontId="31" fillId="0" borderId="0" xfId="23" applyAlignment="1">
      <alignment horizontal="center" vertical="center"/>
    </xf>
    <xf numFmtId="0" fontId="31" fillId="0" borderId="36" xfId="23" applyBorder="1" applyAlignment="1">
      <alignment horizontal="center" vertical="center"/>
    </xf>
    <xf numFmtId="38" fontId="31" fillId="0" borderId="36" xfId="19" applyFont="1" applyBorder="1" applyAlignment="1">
      <alignment horizontal="center" vertical="center"/>
    </xf>
    <xf numFmtId="169" fontId="44" fillId="0" borderId="36" xfId="17" applyNumberFormat="1" applyFont="1" applyBorder="1" applyAlignment="1">
      <alignment horizontal="center" vertical="center"/>
    </xf>
    <xf numFmtId="169" fontId="31" fillId="0" borderId="36" xfId="23" applyNumberFormat="1" applyBorder="1" applyAlignment="1">
      <alignment horizontal="center" vertical="center"/>
    </xf>
    <xf numFmtId="169" fontId="31" fillId="0" borderId="0" xfId="23" applyNumberFormat="1" applyAlignment="1">
      <alignment horizontal="center" vertical="center"/>
    </xf>
    <xf numFmtId="38" fontId="45" fillId="0" borderId="0" xfId="19" applyFont="1">
      <alignment vertical="center"/>
    </xf>
    <xf numFmtId="38" fontId="44" fillId="0" borderId="36" xfId="19" applyFont="1" applyBorder="1" applyAlignment="1">
      <alignment horizontal="center" vertical="center"/>
    </xf>
    <xf numFmtId="169" fontId="31" fillId="0" borderId="36" xfId="23" applyNumberFormat="1" applyBorder="1">
      <alignment vertical="center"/>
    </xf>
    <xf numFmtId="169" fontId="31" fillId="0" borderId="0" xfId="23" applyNumberFormat="1">
      <alignment vertical="center"/>
    </xf>
    <xf numFmtId="38" fontId="31" fillId="0" borderId="0" xfId="19" applyFont="1" applyBorder="1">
      <alignment vertical="center"/>
    </xf>
    <xf numFmtId="10" fontId="31" fillId="0" borderId="0" xfId="23" applyNumberFormat="1" applyAlignment="1">
      <alignment horizontal="center" vertical="center"/>
    </xf>
    <xf numFmtId="170" fontId="31" fillId="0" borderId="36" xfId="23" applyNumberFormat="1" applyBorder="1" applyAlignment="1">
      <alignment horizontal="center" vertical="center"/>
    </xf>
    <xf numFmtId="166" fontId="31" fillId="0" borderId="36" xfId="19" applyNumberFormat="1" applyFont="1" applyBorder="1" applyAlignment="1">
      <alignment horizontal="center" vertical="center"/>
    </xf>
    <xf numFmtId="168" fontId="31" fillId="0" borderId="36" xfId="24" applyNumberFormat="1" applyFont="1" applyFill="1" applyBorder="1" applyAlignment="1">
      <alignment horizontal="center" vertical="center"/>
    </xf>
    <xf numFmtId="0" fontId="45" fillId="0" borderId="0" xfId="23" applyFont="1" applyAlignment="1">
      <alignment horizontal="center" vertical="center"/>
    </xf>
    <xf numFmtId="10" fontId="44" fillId="0" borderId="0" xfId="25" applyNumberFormat="1" applyFont="1" applyBorder="1" applyAlignment="1">
      <alignment horizontal="center" vertical="center"/>
    </xf>
    <xf numFmtId="10" fontId="31" fillId="0" borderId="0" xfId="23" applyNumberFormat="1">
      <alignment vertical="center"/>
    </xf>
    <xf numFmtId="170" fontId="31" fillId="0" borderId="0" xfId="23" applyNumberFormat="1" applyAlignment="1">
      <alignment horizontal="center" vertical="center"/>
    </xf>
    <xf numFmtId="168" fontId="31" fillId="0" borderId="0" xfId="24" applyNumberFormat="1" applyFont="1" applyFill="1" applyBorder="1" applyAlignment="1">
      <alignment horizontal="center" vertical="center"/>
    </xf>
    <xf numFmtId="0" fontId="48" fillId="0" borderId="0" xfId="23" applyFont="1">
      <alignment vertical="center"/>
    </xf>
    <xf numFmtId="38" fontId="49" fillId="0" borderId="0" xfId="19" applyFont="1">
      <alignment vertical="center"/>
    </xf>
    <xf numFmtId="0" fontId="50" fillId="0" borderId="0" xfId="23" applyFont="1" applyAlignment="1">
      <alignment horizontal="left" vertical="center"/>
    </xf>
    <xf numFmtId="0" fontId="51" fillId="0" borderId="0" xfId="23" applyFont="1" applyAlignment="1">
      <alignment horizontal="left" vertical="center"/>
    </xf>
    <xf numFmtId="0" fontId="52" fillId="0" borderId="0" xfId="23" applyFont="1">
      <alignment vertical="center"/>
    </xf>
    <xf numFmtId="0" fontId="52" fillId="0" borderId="0" xfId="23" applyFont="1" applyAlignment="1">
      <alignment horizontal="left" vertical="center"/>
    </xf>
    <xf numFmtId="0" fontId="31" fillId="17" borderId="1" xfId="23" applyFill="1" applyBorder="1" applyAlignment="1">
      <alignment horizontal="center" vertical="center"/>
    </xf>
    <xf numFmtId="0" fontId="31" fillId="12" borderId="1" xfId="23" applyFill="1" applyBorder="1" applyAlignment="1">
      <alignment horizontal="center" vertical="center"/>
    </xf>
    <xf numFmtId="0" fontId="31" fillId="0" borderId="112" xfId="23" applyBorder="1" applyAlignment="1">
      <alignment horizontal="center" vertical="center"/>
    </xf>
    <xf numFmtId="0" fontId="31" fillId="17" borderId="37" xfId="23" applyFill="1" applyBorder="1" applyAlignment="1">
      <alignment horizontal="center" vertical="center"/>
    </xf>
    <xf numFmtId="38" fontId="31" fillId="17" borderId="64" xfId="19" applyFont="1" applyFill="1" applyBorder="1" applyAlignment="1">
      <alignment horizontal="center" vertical="center"/>
    </xf>
    <xf numFmtId="38" fontId="31" fillId="0" borderId="0" xfId="23" applyNumberFormat="1">
      <alignment vertical="center"/>
    </xf>
    <xf numFmtId="38" fontId="44" fillId="0" borderId="0" xfId="19" applyFont="1">
      <alignment vertical="center"/>
    </xf>
    <xf numFmtId="0" fontId="31" fillId="0" borderId="45" xfId="23" applyBorder="1">
      <alignment vertical="center"/>
    </xf>
    <xf numFmtId="0" fontId="31" fillId="0" borderId="46" xfId="23" applyBorder="1" applyAlignment="1">
      <alignment horizontal="center" vertical="center"/>
    </xf>
    <xf numFmtId="0" fontId="31" fillId="0" borderId="114" xfId="23" applyBorder="1" applyAlignment="1">
      <alignment horizontal="center" vertical="center"/>
    </xf>
    <xf numFmtId="0" fontId="31" fillId="17" borderId="49" xfId="23" applyFill="1" applyBorder="1">
      <alignment vertical="center"/>
    </xf>
    <xf numFmtId="10" fontId="31" fillId="17" borderId="50" xfId="23" applyNumberFormat="1" applyFill="1" applyBorder="1" applyAlignment="1">
      <alignment horizontal="center" vertical="center"/>
    </xf>
    <xf numFmtId="10" fontId="31" fillId="17" borderId="66" xfId="23" applyNumberFormat="1" applyFill="1" applyBorder="1" applyAlignment="1">
      <alignment horizontal="center" vertical="center"/>
    </xf>
    <xf numFmtId="10" fontId="31" fillId="17" borderId="67" xfId="23" applyNumberFormat="1" applyFill="1" applyBorder="1" applyAlignment="1">
      <alignment horizontal="center" vertical="center"/>
    </xf>
    <xf numFmtId="0" fontId="31" fillId="0" borderId="53" xfId="23" applyBorder="1" applyAlignment="1">
      <alignment horizontal="center" vertical="center"/>
    </xf>
    <xf numFmtId="0" fontId="31" fillId="13" borderId="53" xfId="23" applyFill="1" applyBorder="1" applyAlignment="1">
      <alignment horizontal="center" vertical="center"/>
    </xf>
    <xf numFmtId="0" fontId="31" fillId="0" borderId="68" xfId="23" applyBorder="1" applyAlignment="1">
      <alignment horizontal="center" vertical="center"/>
    </xf>
    <xf numFmtId="38" fontId="44" fillId="17" borderId="69" xfId="19" applyFont="1" applyFill="1" applyBorder="1" applyAlignment="1">
      <alignment horizontal="center" vertical="center"/>
    </xf>
    <xf numFmtId="0" fontId="31" fillId="13" borderId="46" xfId="23" applyFill="1" applyBorder="1" applyAlignment="1">
      <alignment horizontal="center" vertical="center"/>
    </xf>
    <xf numFmtId="0" fontId="31" fillId="0" borderId="70" xfId="23" applyBorder="1" applyAlignment="1">
      <alignment horizontal="center" vertical="center"/>
    </xf>
    <xf numFmtId="38" fontId="44" fillId="17" borderId="71" xfId="19" applyFont="1" applyFill="1" applyBorder="1" applyAlignment="1">
      <alignment horizontal="center" vertical="center"/>
    </xf>
    <xf numFmtId="0" fontId="31" fillId="17" borderId="56" xfId="23" applyFill="1" applyBorder="1">
      <alignment vertical="center"/>
    </xf>
    <xf numFmtId="10" fontId="31" fillId="17" borderId="57" xfId="23" applyNumberFormat="1" applyFill="1" applyBorder="1" applyAlignment="1">
      <alignment horizontal="center" vertical="center"/>
    </xf>
    <xf numFmtId="10" fontId="31" fillId="17" borderId="72" xfId="23" applyNumberFormat="1" applyFill="1" applyBorder="1" applyAlignment="1">
      <alignment horizontal="center" vertical="center"/>
    </xf>
    <xf numFmtId="10" fontId="31" fillId="17" borderId="73" xfId="23" applyNumberFormat="1" applyFill="1" applyBorder="1" applyAlignment="1">
      <alignment horizontal="center" vertical="center"/>
    </xf>
    <xf numFmtId="38" fontId="44" fillId="17" borderId="75" xfId="19" applyFont="1" applyFill="1" applyBorder="1" applyAlignment="1">
      <alignment horizontal="center" vertical="center"/>
    </xf>
    <xf numFmtId="0" fontId="31" fillId="0" borderId="59" xfId="23" applyBorder="1" applyAlignment="1">
      <alignment horizontal="center" vertical="center"/>
    </xf>
    <xf numFmtId="0" fontId="31" fillId="13" borderId="59" xfId="23" applyFill="1" applyBorder="1" applyAlignment="1">
      <alignment horizontal="center" vertical="center"/>
    </xf>
    <xf numFmtId="0" fontId="31" fillId="0" borderId="74" xfId="23" applyBorder="1" applyAlignment="1">
      <alignment horizontal="center" vertical="center"/>
    </xf>
    <xf numFmtId="10" fontId="31" fillId="17" borderId="76" xfId="23" applyNumberFormat="1" applyFill="1" applyBorder="1" applyAlignment="1">
      <alignment horizontal="center" vertical="center"/>
    </xf>
    <xf numFmtId="38" fontId="44" fillId="17" borderId="77" xfId="19" applyFont="1" applyFill="1" applyBorder="1" applyAlignment="1">
      <alignment horizontal="center" vertical="center"/>
    </xf>
    <xf numFmtId="0" fontId="31" fillId="0" borderId="79" xfId="23" applyBorder="1">
      <alignment vertical="center"/>
    </xf>
    <xf numFmtId="38" fontId="44" fillId="0" borderId="80" xfId="19" applyFont="1" applyFill="1" applyBorder="1" applyAlignment="1">
      <alignment horizontal="center" vertical="center"/>
    </xf>
    <xf numFmtId="0" fontId="31" fillId="0" borderId="80" xfId="23" applyBorder="1" applyAlignment="1">
      <alignment horizontal="center" vertical="center"/>
    </xf>
    <xf numFmtId="0" fontId="31" fillId="0" borderId="78" xfId="23" applyBorder="1" applyAlignment="1">
      <alignment horizontal="center" vertical="center"/>
    </xf>
    <xf numFmtId="0" fontId="31" fillId="0" borderId="36" xfId="23" applyBorder="1" applyAlignment="1">
      <alignment vertical="center" wrapText="1"/>
    </xf>
    <xf numFmtId="0" fontId="31" fillId="0" borderId="36" xfId="23" applyBorder="1">
      <alignment vertical="center"/>
    </xf>
    <xf numFmtId="0" fontId="31" fillId="0" borderId="38" xfId="23" applyBorder="1" applyAlignment="1">
      <alignment horizontal="center" vertical="center"/>
    </xf>
    <xf numFmtId="0" fontId="31" fillId="0" borderId="59" xfId="23" applyFill="1" applyBorder="1" applyAlignment="1">
      <alignment horizontal="center" vertical="center"/>
    </xf>
    <xf numFmtId="0" fontId="31" fillId="0" borderId="74" xfId="23" applyFill="1" applyBorder="1" applyAlignment="1">
      <alignment horizontal="center" vertical="center"/>
    </xf>
    <xf numFmtId="0" fontId="31" fillId="0" borderId="46" xfId="23" applyFill="1" applyBorder="1" applyAlignment="1">
      <alignment horizontal="center" vertical="center"/>
    </xf>
    <xf numFmtId="0" fontId="31" fillId="0" borderId="70" xfId="23" applyFill="1" applyBorder="1" applyAlignment="1">
      <alignment horizontal="center" vertical="center"/>
    </xf>
    <xf numFmtId="0" fontId="31" fillId="0" borderId="36" xfId="23" applyFill="1" applyBorder="1" applyAlignment="1">
      <alignment vertical="center" wrapText="1"/>
    </xf>
    <xf numFmtId="0" fontId="31" fillId="0" borderId="36" xfId="23" applyFill="1" applyBorder="1">
      <alignment vertical="center"/>
    </xf>
    <xf numFmtId="10" fontId="31" fillId="0" borderId="38" xfId="23" applyNumberFormat="1" applyFill="1" applyBorder="1" applyAlignment="1">
      <alignment horizontal="center" vertical="center"/>
    </xf>
    <xf numFmtId="0" fontId="33" fillId="0" borderId="59" xfId="17" applyFont="1" applyBorder="1" applyAlignment="1">
      <alignment horizontal="center" vertical="center"/>
    </xf>
    <xf numFmtId="0" fontId="47" fillId="0" borderId="46" xfId="17" applyFont="1" applyBorder="1" applyAlignment="1">
      <alignment horizontal="center" vertical="center"/>
    </xf>
    <xf numFmtId="0" fontId="31" fillId="0" borderId="0" xfId="26">
      <alignment vertical="center"/>
    </xf>
    <xf numFmtId="0" fontId="31" fillId="0" borderId="0" xfId="26" applyAlignment="1">
      <alignment horizontal="center" vertical="center"/>
    </xf>
    <xf numFmtId="0" fontId="59" fillId="0" borderId="0" xfId="26" applyFont="1">
      <alignment vertical="center"/>
    </xf>
    <xf numFmtId="0" fontId="31" fillId="0" borderId="0" xfId="26" applyAlignment="1">
      <alignment horizontal="right" vertical="center"/>
    </xf>
    <xf numFmtId="0" fontId="31" fillId="3" borderId="1" xfId="26" applyFill="1" applyBorder="1" applyAlignment="1">
      <alignment horizontal="center" vertical="center"/>
    </xf>
    <xf numFmtId="0" fontId="31" fillId="0" borderId="2" xfId="27" applyBorder="1" applyAlignment="1">
      <alignment vertical="center" wrapText="1"/>
    </xf>
    <xf numFmtId="0" fontId="31" fillId="0" borderId="2" xfId="27" applyBorder="1" applyAlignment="1">
      <alignment horizontal="center" vertical="center" wrapText="1"/>
    </xf>
    <xf numFmtId="0" fontId="31" fillId="0" borderId="0" xfId="27"/>
    <xf numFmtId="0" fontId="31" fillId="0" borderId="3" xfId="27" applyBorder="1" applyAlignment="1">
      <alignment horizontal="center" vertical="center"/>
    </xf>
    <xf numFmtId="0" fontId="31" fillId="0" borderId="0" xfId="27" applyAlignment="1">
      <alignment horizontal="center" vertical="center"/>
    </xf>
    <xf numFmtId="0" fontId="31" fillId="0" borderId="0" xfId="27" applyAlignment="1">
      <alignment vertical="center"/>
    </xf>
    <xf numFmtId="0" fontId="60" fillId="0" borderId="0" xfId="27" applyFont="1" applyAlignment="1">
      <alignment vertical="center"/>
    </xf>
    <xf numFmtId="0" fontId="31" fillId="0" borderId="6" xfId="27" applyBorder="1" applyAlignment="1">
      <alignment horizontal="center" vertical="center" wrapText="1"/>
    </xf>
    <xf numFmtId="0" fontId="31" fillId="0" borderId="6" xfId="27" applyBorder="1" applyAlignment="1" applyProtection="1">
      <alignment horizontal="center" vertical="center"/>
      <protection locked="0"/>
    </xf>
    <xf numFmtId="0" fontId="31" fillId="0" borderId="28" xfId="27" applyBorder="1" applyAlignment="1" applyProtection="1">
      <alignment horizontal="center" vertical="center"/>
      <protection locked="0"/>
    </xf>
    <xf numFmtId="0" fontId="31" fillId="0" borderId="8" xfId="27" applyBorder="1" applyAlignment="1">
      <alignment horizontal="center" vertical="center" wrapText="1"/>
    </xf>
    <xf numFmtId="0" fontId="31" fillId="0" borderId="10" xfId="27" applyBorder="1" applyAlignment="1">
      <alignment horizontal="center" vertical="center" wrapText="1"/>
    </xf>
    <xf numFmtId="0" fontId="31" fillId="0" borderId="11" xfId="27" applyBorder="1" applyAlignment="1">
      <alignment horizontal="center" vertical="center" wrapText="1"/>
    </xf>
    <xf numFmtId="0" fontId="31" fillId="3" borderId="11" xfId="27" applyFill="1" applyBorder="1" applyAlignment="1">
      <alignment horizontal="center" vertical="center" wrapText="1"/>
    </xf>
    <xf numFmtId="0" fontId="31" fillId="0" borderId="15" xfId="27" applyBorder="1" applyAlignment="1">
      <alignment horizontal="center" vertical="center" wrapText="1"/>
    </xf>
    <xf numFmtId="0" fontId="31" fillId="17" borderId="11" xfId="27" applyFill="1" applyBorder="1" applyAlignment="1">
      <alignment horizontal="center" vertical="center" wrapText="1"/>
    </xf>
    <xf numFmtId="38" fontId="31" fillId="17" borderId="11" xfId="28" applyFont="1" applyFill="1" applyBorder="1" applyAlignment="1">
      <alignment horizontal="center" vertical="center"/>
    </xf>
    <xf numFmtId="38" fontId="31" fillId="17" borderId="30" xfId="28" applyFont="1" applyFill="1" applyBorder="1" applyAlignment="1">
      <alignment horizontal="center" vertical="center"/>
    </xf>
    <xf numFmtId="38" fontId="31" fillId="17" borderId="4" xfId="28" applyFont="1" applyFill="1" applyBorder="1" applyAlignment="1">
      <alignment horizontal="center" vertical="center"/>
    </xf>
    <xf numFmtId="0" fontId="46" fillId="0" borderId="0" xfId="26" applyFont="1">
      <alignment vertical="center"/>
    </xf>
    <xf numFmtId="0" fontId="31" fillId="0" borderId="21" xfId="27" applyBorder="1" applyAlignment="1">
      <alignment horizontal="center" vertical="center" wrapText="1"/>
    </xf>
    <xf numFmtId="0" fontId="31" fillId="0" borderId="21" xfId="28" applyNumberFormat="1" applyFont="1" applyFill="1" applyBorder="1" applyAlignment="1" applyProtection="1">
      <alignment horizontal="center" vertical="center"/>
      <protection locked="0"/>
    </xf>
    <xf numFmtId="0" fontId="31" fillId="0" borderId="34" xfId="28" applyNumberFormat="1" applyFont="1" applyFill="1" applyBorder="1" applyAlignment="1" applyProtection="1">
      <alignment horizontal="center" vertical="center"/>
      <protection locked="0"/>
    </xf>
    <xf numFmtId="0" fontId="31" fillId="3" borderId="21" xfId="27" applyFill="1" applyBorder="1" applyAlignment="1">
      <alignment horizontal="center" vertical="center" wrapText="1"/>
    </xf>
    <xf numFmtId="38" fontId="31" fillId="3" borderId="21" xfId="28" applyFont="1" applyFill="1" applyBorder="1" applyAlignment="1">
      <alignment horizontal="center" vertical="center"/>
    </xf>
    <xf numFmtId="38" fontId="31" fillId="3" borderId="34" xfId="28" applyFont="1" applyFill="1" applyBorder="1" applyAlignment="1">
      <alignment horizontal="center" vertical="center"/>
    </xf>
    <xf numFmtId="0" fontId="31" fillId="0" borderId="0" xfId="26" applyAlignment="1">
      <alignment horizontal="right"/>
    </xf>
    <xf numFmtId="38" fontId="31" fillId="0" borderId="15" xfId="28" applyFont="1" applyFill="1" applyBorder="1" applyAlignment="1" applyProtection="1">
      <alignment horizontal="center" vertical="center"/>
      <protection locked="0"/>
    </xf>
    <xf numFmtId="38" fontId="31" fillId="0" borderId="26" xfId="28" applyFont="1" applyFill="1" applyBorder="1" applyAlignment="1" applyProtection="1">
      <alignment horizontal="center" vertical="center"/>
      <protection locked="0"/>
    </xf>
    <xf numFmtId="38" fontId="31" fillId="0" borderId="35" xfId="28" applyFont="1" applyFill="1" applyBorder="1" applyAlignment="1" applyProtection="1">
      <alignment horizontal="center" vertical="center"/>
      <protection locked="0"/>
    </xf>
    <xf numFmtId="0" fontId="31" fillId="0" borderId="19" xfId="26" applyBorder="1" applyAlignment="1">
      <alignment horizontal="center" vertical="center"/>
    </xf>
    <xf numFmtId="0" fontId="31" fillId="0" borderId="22" xfId="26" applyBorder="1" applyAlignment="1">
      <alignment horizontal="center" vertical="center"/>
    </xf>
    <xf numFmtId="38" fontId="31" fillId="0" borderId="8" xfId="28" applyFont="1" applyFill="1" applyBorder="1" applyAlignment="1" applyProtection="1">
      <alignment horizontal="center" vertical="center" wrapText="1"/>
      <protection locked="0"/>
    </xf>
    <xf numFmtId="38" fontId="31" fillId="0" borderId="29" xfId="28" applyFont="1" applyFill="1" applyBorder="1" applyAlignment="1" applyProtection="1">
      <alignment horizontal="center" vertical="center" wrapText="1"/>
      <protection locked="0"/>
    </xf>
    <xf numFmtId="0" fontId="31" fillId="0" borderId="23" xfId="26" applyBorder="1" applyAlignment="1">
      <alignment horizontal="center" vertical="center"/>
    </xf>
    <xf numFmtId="38" fontId="31" fillId="0" borderId="11" xfId="28" applyFont="1" applyFill="1" applyBorder="1" applyAlignment="1" applyProtection="1">
      <alignment horizontal="center" vertical="center"/>
      <protection locked="0"/>
    </xf>
    <xf numFmtId="38" fontId="31" fillId="0" borderId="30" xfId="28" applyFont="1" applyFill="1" applyBorder="1" applyAlignment="1" applyProtection="1">
      <alignment horizontal="center" vertical="center"/>
      <protection locked="0"/>
    </xf>
    <xf numFmtId="0" fontId="31" fillId="0" borderId="24" xfId="26" applyBorder="1" applyAlignment="1">
      <alignment horizontal="center" vertical="center"/>
    </xf>
    <xf numFmtId="0" fontId="31" fillId="0" borderId="25" xfId="26" applyBorder="1" applyAlignment="1">
      <alignment horizontal="center" vertical="center"/>
    </xf>
    <xf numFmtId="0" fontId="31" fillId="0" borderId="17" xfId="26" applyBorder="1" applyAlignment="1">
      <alignment horizontal="center" vertical="center"/>
    </xf>
    <xf numFmtId="0" fontId="31" fillId="0" borderId="18" xfId="27" applyBorder="1" applyAlignment="1">
      <alignment vertical="center"/>
    </xf>
    <xf numFmtId="0" fontId="31" fillId="0" borderId="0" xfId="23" applyFont="1">
      <alignment vertical="center"/>
    </xf>
    <xf numFmtId="0" fontId="31" fillId="0" borderId="0" xfId="23" applyFont="1" applyAlignment="1">
      <alignment horizontal="center" vertical="center"/>
    </xf>
    <xf numFmtId="0" fontId="31" fillId="17" borderId="1" xfId="23" applyFont="1" applyFill="1" applyBorder="1" applyAlignment="1">
      <alignment horizontal="center" vertical="center"/>
    </xf>
    <xf numFmtId="0" fontId="31" fillId="12" borderId="1" xfId="23" applyFont="1" applyFill="1" applyBorder="1" applyAlignment="1">
      <alignment horizontal="center" vertical="center"/>
    </xf>
    <xf numFmtId="0" fontId="31" fillId="0" borderId="37" xfId="23" applyFont="1" applyBorder="1" applyAlignment="1">
      <alignment horizontal="center" vertical="center"/>
    </xf>
    <xf numFmtId="0" fontId="31" fillId="13" borderId="37" xfId="23" applyFont="1" applyFill="1" applyBorder="1" applyAlignment="1">
      <alignment horizontal="center" vertical="center"/>
    </xf>
    <xf numFmtId="38" fontId="31" fillId="0" borderId="0" xfId="23" applyNumberFormat="1" applyFont="1">
      <alignment vertical="center"/>
    </xf>
    <xf numFmtId="10" fontId="31" fillId="17" borderId="50" xfId="23" applyNumberFormat="1" applyFont="1" applyFill="1" applyBorder="1" applyAlignment="1">
      <alignment horizontal="center" vertical="center"/>
    </xf>
    <xf numFmtId="10" fontId="31" fillId="17" borderId="66" xfId="23" applyNumberFormat="1" applyFont="1" applyFill="1" applyBorder="1" applyAlignment="1">
      <alignment horizontal="center" vertical="center"/>
    </xf>
    <xf numFmtId="10" fontId="31" fillId="17" borderId="67" xfId="23" applyNumberFormat="1" applyFont="1" applyFill="1" applyBorder="1" applyAlignment="1">
      <alignment horizontal="center" vertical="center"/>
    </xf>
    <xf numFmtId="10" fontId="31" fillId="0" borderId="0" xfId="23" applyNumberFormat="1" applyFont="1" applyAlignment="1">
      <alignment horizontal="center" vertical="center"/>
    </xf>
    <xf numFmtId="0" fontId="31" fillId="0" borderId="53" xfId="23" applyFont="1" applyBorder="1" applyAlignment="1">
      <alignment horizontal="center" vertical="center"/>
    </xf>
    <xf numFmtId="0" fontId="31" fillId="13" borderId="53" xfId="23" applyFont="1" applyFill="1" applyBorder="1" applyAlignment="1">
      <alignment horizontal="center" vertical="center"/>
    </xf>
    <xf numFmtId="0" fontId="31" fillId="0" borderId="68" xfId="23" applyFont="1" applyBorder="1" applyAlignment="1">
      <alignment horizontal="center" vertical="center"/>
    </xf>
    <xf numFmtId="0" fontId="31" fillId="0" borderId="46" xfId="23" applyFont="1" applyBorder="1" applyAlignment="1">
      <alignment horizontal="center" vertical="center"/>
    </xf>
    <xf numFmtId="0" fontId="31" fillId="13" borderId="46" xfId="23" applyFont="1" applyFill="1" applyBorder="1" applyAlignment="1">
      <alignment horizontal="center" vertical="center"/>
    </xf>
    <xf numFmtId="0" fontId="31" fillId="0" borderId="70" xfId="23" applyFont="1" applyBorder="1" applyAlignment="1">
      <alignment horizontal="center" vertical="center"/>
    </xf>
    <xf numFmtId="10" fontId="31" fillId="17" borderId="57" xfId="23" applyNumberFormat="1" applyFont="1" applyFill="1" applyBorder="1" applyAlignment="1">
      <alignment horizontal="center" vertical="center"/>
    </xf>
    <xf numFmtId="10" fontId="31" fillId="17" borderId="72" xfId="23" applyNumberFormat="1" applyFont="1" applyFill="1" applyBorder="1" applyAlignment="1">
      <alignment horizontal="center" vertical="center"/>
    </xf>
    <xf numFmtId="10" fontId="31" fillId="17" borderId="73" xfId="23" applyNumberFormat="1" applyFont="1" applyFill="1" applyBorder="1" applyAlignment="1">
      <alignment horizontal="center" vertical="center"/>
    </xf>
    <xf numFmtId="0" fontId="31" fillId="14" borderId="117" xfId="23" applyFont="1" applyFill="1" applyBorder="1" applyAlignment="1">
      <alignment horizontal="center" vertical="center"/>
    </xf>
    <xf numFmtId="0" fontId="31" fillId="14" borderId="59" xfId="23" applyFont="1" applyFill="1" applyBorder="1" applyAlignment="1">
      <alignment horizontal="center" vertical="center"/>
    </xf>
    <xf numFmtId="0" fontId="31" fillId="0" borderId="59" xfId="23" applyFont="1" applyBorder="1" applyAlignment="1">
      <alignment horizontal="center" vertical="center"/>
    </xf>
    <xf numFmtId="0" fontId="31" fillId="14" borderId="74" xfId="23" applyFont="1" applyFill="1" applyBorder="1" applyAlignment="1">
      <alignment horizontal="center" vertical="center"/>
    </xf>
    <xf numFmtId="0" fontId="31" fillId="14" borderId="81" xfId="23" applyFont="1" applyFill="1" applyBorder="1" applyAlignment="1">
      <alignment horizontal="center" vertical="center"/>
    </xf>
    <xf numFmtId="0" fontId="31" fillId="14" borderId="46" xfId="23" applyFont="1" applyFill="1" applyBorder="1" applyAlignment="1">
      <alignment horizontal="center" vertical="center"/>
    </xf>
    <xf numFmtId="0" fontId="31" fillId="14" borderId="70" xfId="23" applyFont="1" applyFill="1" applyBorder="1" applyAlignment="1">
      <alignment horizontal="center" vertical="center"/>
    </xf>
    <xf numFmtId="0" fontId="31" fillId="0" borderId="117" xfId="23" applyFont="1" applyBorder="1" applyAlignment="1">
      <alignment horizontal="center" vertical="center"/>
    </xf>
    <xf numFmtId="0" fontId="31" fillId="0" borderId="74" xfId="23" applyFont="1" applyBorder="1" applyAlignment="1">
      <alignment horizontal="center" vertical="center"/>
    </xf>
    <xf numFmtId="0" fontId="31" fillId="0" borderId="81" xfId="23" applyFont="1" applyBorder="1" applyAlignment="1">
      <alignment horizontal="center" vertical="center"/>
    </xf>
    <xf numFmtId="10" fontId="31" fillId="17" borderId="76" xfId="23" applyNumberFormat="1" applyFont="1" applyFill="1" applyBorder="1" applyAlignment="1">
      <alignment horizontal="center" vertical="center"/>
    </xf>
    <xf numFmtId="0" fontId="31" fillId="13" borderId="59" xfId="23" applyFont="1" applyFill="1" applyBorder="1" applyAlignment="1">
      <alignment horizontal="center" vertical="center"/>
    </xf>
    <xf numFmtId="0" fontId="31" fillId="13" borderId="74" xfId="23" applyFont="1" applyFill="1" applyBorder="1" applyAlignment="1">
      <alignment horizontal="center" vertical="center"/>
    </xf>
    <xf numFmtId="0" fontId="31" fillId="13" borderId="70" xfId="23" applyFont="1" applyFill="1" applyBorder="1" applyAlignment="1">
      <alignment horizontal="center" vertical="center"/>
    </xf>
    <xf numFmtId="0" fontId="31" fillId="17" borderId="57" xfId="23" applyFont="1" applyFill="1" applyBorder="1" applyAlignment="1">
      <alignment horizontal="center" vertical="center"/>
    </xf>
    <xf numFmtId="0" fontId="31" fillId="17" borderId="72" xfId="23" applyFont="1" applyFill="1" applyBorder="1" applyAlignment="1">
      <alignment horizontal="center" vertical="center"/>
    </xf>
    <xf numFmtId="38" fontId="52" fillId="0" borderId="0" xfId="8" applyFont="1" applyAlignment="1">
      <alignment horizontal="left" vertical="center"/>
    </xf>
    <xf numFmtId="0" fontId="31" fillId="0" borderId="78" xfId="23" applyFont="1" applyBorder="1" applyAlignment="1">
      <alignment horizontal="center" vertical="center"/>
    </xf>
    <xf numFmtId="0" fontId="31" fillId="13" borderId="78" xfId="23" applyFont="1" applyFill="1" applyBorder="1" applyAlignment="1">
      <alignment horizontal="center" vertical="center"/>
    </xf>
    <xf numFmtId="0" fontId="31" fillId="0" borderId="36" xfId="23" applyFont="1" applyBorder="1" applyAlignment="1">
      <alignment vertical="center" wrapText="1"/>
    </xf>
    <xf numFmtId="10" fontId="31" fillId="0" borderId="38" xfId="23" applyNumberFormat="1" applyFont="1" applyBorder="1" applyAlignment="1">
      <alignment horizontal="center" vertical="center"/>
    </xf>
    <xf numFmtId="10" fontId="31" fillId="0" borderId="36" xfId="23" applyNumberFormat="1" applyFont="1" applyBorder="1" applyAlignment="1">
      <alignment horizontal="center" vertical="center"/>
    </xf>
    <xf numFmtId="0" fontId="47" fillId="0" borderId="94" xfId="0" applyFont="1" applyBorder="1" applyAlignment="1">
      <alignment horizontal="center" vertical="center"/>
    </xf>
    <xf numFmtId="0" fontId="47" fillId="0" borderId="46" xfId="0" applyFont="1" applyBorder="1">
      <alignment vertical="center"/>
    </xf>
    <xf numFmtId="38" fontId="47" fillId="0" borderId="46" xfId="19" applyFont="1" applyFill="1" applyBorder="1" applyAlignment="1">
      <alignment horizontal="left" vertical="center" wrapText="1"/>
    </xf>
    <xf numFmtId="0" fontId="47" fillId="0" borderId="46" xfId="16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33" fillId="0" borderId="87" xfId="0" applyFont="1" applyBorder="1">
      <alignment vertical="center"/>
    </xf>
    <xf numFmtId="0" fontId="47" fillId="0" borderId="87" xfId="0" applyFont="1" applyBorder="1">
      <alignment vertical="center"/>
    </xf>
    <xf numFmtId="38" fontId="41" fillId="0" borderId="87" xfId="19" applyFont="1" applyFill="1" applyBorder="1" applyAlignment="1">
      <alignment horizontal="left" vertical="center" wrapText="1"/>
    </xf>
    <xf numFmtId="0" fontId="33" fillId="0" borderId="87" xfId="0" applyFont="1" applyBorder="1" applyAlignment="1">
      <alignment horizontal="center" vertical="center"/>
    </xf>
    <xf numFmtId="0" fontId="33" fillId="0" borderId="46" xfId="0" applyFont="1" applyBorder="1">
      <alignment vertical="center"/>
    </xf>
    <xf numFmtId="38" fontId="41" fillId="0" borderId="46" xfId="19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/>
    </xf>
    <xf numFmtId="38" fontId="33" fillId="0" borderId="92" xfId="19" applyFont="1" applyFill="1" applyBorder="1" applyAlignment="1">
      <alignment horizontal="left" vertical="center" wrapText="1"/>
    </xf>
    <xf numFmtId="0" fontId="33" fillId="0" borderId="92" xfId="0" applyFont="1" applyBorder="1">
      <alignment vertical="center"/>
    </xf>
    <xf numFmtId="0" fontId="47" fillId="0" borderId="92" xfId="0" applyFont="1" applyBorder="1">
      <alignment vertical="center"/>
    </xf>
    <xf numFmtId="0" fontId="33" fillId="0" borderId="92" xfId="16" applyFont="1" applyBorder="1" applyAlignment="1">
      <alignment horizontal="center" vertical="center"/>
    </xf>
    <xf numFmtId="0" fontId="33" fillId="0" borderId="103" xfId="0" applyFont="1" applyBorder="1">
      <alignment vertical="center"/>
    </xf>
    <xf numFmtId="0" fontId="47" fillId="0" borderId="81" xfId="0" applyFont="1" applyBorder="1">
      <alignment vertical="center"/>
    </xf>
    <xf numFmtId="38" fontId="33" fillId="0" borderId="46" xfId="19" applyFont="1" applyFill="1" applyBorder="1" applyAlignment="1">
      <alignment horizontal="left" vertical="center" wrapText="1"/>
    </xf>
    <xf numFmtId="38" fontId="63" fillId="0" borderId="87" xfId="19" applyFont="1" applyFill="1" applyBorder="1" applyAlignment="1">
      <alignment horizontal="left" vertical="center" wrapText="1"/>
    </xf>
    <xf numFmtId="0" fontId="33" fillId="0" borderId="87" xfId="16" applyFont="1" applyBorder="1">
      <alignment vertical="center"/>
    </xf>
    <xf numFmtId="0" fontId="47" fillId="0" borderId="87" xfId="16" applyFont="1" applyBorder="1">
      <alignment vertical="center"/>
    </xf>
    <xf numFmtId="0" fontId="47" fillId="0" borderId="46" xfId="16" applyFont="1" applyBorder="1">
      <alignment vertical="center"/>
    </xf>
    <xf numFmtId="0" fontId="33" fillId="0" borderId="87" xfId="0" applyFont="1" applyBorder="1" applyAlignment="1">
      <alignment horizontal="left" vertical="center"/>
    </xf>
    <xf numFmtId="0" fontId="33" fillId="0" borderId="92" xfId="0" applyFont="1" applyBorder="1" applyAlignment="1">
      <alignment horizontal="left" vertical="center"/>
    </xf>
    <xf numFmtId="0" fontId="33" fillId="0" borderId="92" xfId="0" applyFont="1" applyBorder="1" applyAlignment="1">
      <alignment horizontal="center" vertical="center"/>
    </xf>
    <xf numFmtId="0" fontId="33" fillId="0" borderId="25" xfId="0" applyFont="1" applyBorder="1" applyAlignment="1">
      <alignment horizontal="left" vertical="center"/>
    </xf>
    <xf numFmtId="0" fontId="64" fillId="0" borderId="46" xfId="0" applyFont="1" applyBorder="1" applyAlignment="1">
      <alignment horizontal="left" vertical="center"/>
    </xf>
    <xf numFmtId="0" fontId="33" fillId="0" borderId="25" xfId="0" applyFont="1" applyBorder="1" applyAlignment="1">
      <alignment horizontal="center" vertical="center"/>
    </xf>
    <xf numFmtId="0" fontId="33" fillId="0" borderId="46" xfId="0" applyFont="1" applyBorder="1" applyAlignment="1">
      <alignment horizontal="left" vertical="center"/>
    </xf>
    <xf numFmtId="0" fontId="33" fillId="0" borderId="103" xfId="0" applyFont="1" applyBorder="1" applyAlignment="1">
      <alignment horizontal="left" vertical="center"/>
    </xf>
    <xf numFmtId="0" fontId="33" fillId="0" borderId="93" xfId="16" applyFont="1" applyBorder="1" applyAlignment="1">
      <alignment horizontal="center" vertical="center"/>
    </xf>
    <xf numFmtId="38" fontId="33" fillId="0" borderId="93" xfId="19" applyFont="1" applyFill="1" applyBorder="1" applyAlignment="1">
      <alignment vertical="center"/>
    </xf>
    <xf numFmtId="38" fontId="33" fillId="0" borderId="109" xfId="19" applyFont="1" applyFill="1" applyBorder="1" applyAlignment="1">
      <alignment vertical="center"/>
    </xf>
    <xf numFmtId="0" fontId="33" fillId="14" borderId="97" xfId="16" applyFont="1" applyFill="1" applyBorder="1" applyAlignment="1">
      <alignment horizontal="center" vertical="center"/>
    </xf>
    <xf numFmtId="0" fontId="33" fillId="14" borderId="87" xfId="0" applyFont="1" applyFill="1" applyBorder="1">
      <alignment vertical="center"/>
    </xf>
    <xf numFmtId="0" fontId="47" fillId="14" borderId="87" xfId="0" applyFont="1" applyFill="1" applyBorder="1">
      <alignment vertical="center"/>
    </xf>
    <xf numFmtId="38" fontId="41" fillId="14" borderId="87" xfId="19" applyFont="1" applyFill="1" applyBorder="1" applyAlignment="1">
      <alignment horizontal="left" vertical="center" wrapText="1"/>
    </xf>
    <xf numFmtId="0" fontId="33" fillId="14" borderId="87" xfId="0" applyFont="1" applyFill="1" applyBorder="1" applyAlignment="1">
      <alignment horizontal="center" vertical="center"/>
    </xf>
    <xf numFmtId="0" fontId="33" fillId="14" borderId="46" xfId="0" applyFont="1" applyFill="1" applyBorder="1">
      <alignment vertical="center"/>
    </xf>
    <xf numFmtId="0" fontId="47" fillId="14" borderId="46" xfId="0" applyFont="1" applyFill="1" applyBorder="1">
      <alignment vertical="center"/>
    </xf>
    <xf numFmtId="38" fontId="41" fillId="14" borderId="46" xfId="19" applyFont="1" applyFill="1" applyBorder="1" applyAlignment="1">
      <alignment horizontal="left" vertical="center" wrapText="1"/>
    </xf>
    <xf numFmtId="0" fontId="33" fillId="14" borderId="46" xfId="0" applyFont="1" applyFill="1" applyBorder="1" applyAlignment="1">
      <alignment horizontal="center" vertical="center"/>
    </xf>
    <xf numFmtId="38" fontId="10" fillId="0" borderId="36" xfId="1" applyFont="1" applyFill="1" applyBorder="1" applyAlignment="1">
      <alignment horizontal="right" vertical="center"/>
    </xf>
    <xf numFmtId="38" fontId="5" fillId="0" borderId="36" xfId="1" applyFont="1" applyFill="1" applyBorder="1" applyAlignment="1">
      <alignment horizontal="right" vertical="center"/>
    </xf>
    <xf numFmtId="38" fontId="5" fillId="0" borderId="36" xfId="1" applyFont="1" applyFill="1" applyBorder="1">
      <alignment vertical="center"/>
    </xf>
    <xf numFmtId="38" fontId="5" fillId="0" borderId="36" xfId="1" applyFont="1" applyFill="1" applyBorder="1" applyAlignment="1">
      <alignment horizontal="center" vertical="center"/>
    </xf>
    <xf numFmtId="38" fontId="9" fillId="17" borderId="36" xfId="8" applyFont="1" applyFill="1" applyBorder="1" applyAlignment="1">
      <alignment horizontal="center" vertical="center"/>
    </xf>
    <xf numFmtId="38" fontId="10" fillId="18" borderId="36" xfId="8" applyFont="1" applyFill="1" applyBorder="1">
      <alignment vertical="center"/>
    </xf>
    <xf numFmtId="38" fontId="9" fillId="17" borderId="37" xfId="8" applyFont="1" applyFill="1" applyBorder="1" applyAlignment="1">
      <alignment horizontal="center" vertical="center"/>
    </xf>
    <xf numFmtId="38" fontId="5" fillId="17" borderId="36" xfId="8" applyFont="1" applyFill="1" applyBorder="1" applyAlignment="1">
      <alignment horizontal="center" vertical="center"/>
    </xf>
    <xf numFmtId="0" fontId="31" fillId="0" borderId="0" xfId="23" applyFont="1" applyBorder="1" applyAlignment="1">
      <alignment vertical="center" wrapText="1"/>
    </xf>
    <xf numFmtId="0" fontId="31" fillId="0" borderId="0" xfId="23" applyFont="1" applyBorder="1">
      <alignment vertical="center"/>
    </xf>
    <xf numFmtId="0" fontId="31" fillId="0" borderId="36" xfId="23" applyFont="1" applyBorder="1" applyAlignment="1">
      <alignment vertical="center"/>
    </xf>
    <xf numFmtId="10" fontId="31" fillId="0" borderId="0" xfId="23" applyNumberFormat="1" applyFont="1" applyBorder="1" applyAlignment="1">
      <alignment horizontal="center" vertical="center"/>
    </xf>
    <xf numFmtId="38" fontId="45" fillId="0" borderId="36" xfId="19" applyFont="1" applyFill="1" applyBorder="1" applyAlignment="1">
      <alignment horizontal="center" vertical="center"/>
    </xf>
    <xf numFmtId="0" fontId="33" fillId="0" borderId="78" xfId="16" applyFont="1" applyBorder="1" applyAlignment="1">
      <alignment horizontal="left" vertical="center"/>
    </xf>
    <xf numFmtId="38" fontId="52" fillId="0" borderId="0" xfId="19" applyFont="1" applyAlignment="1">
      <alignment horizontal="left" vertical="center"/>
    </xf>
    <xf numFmtId="0" fontId="31" fillId="0" borderId="13" xfId="27" applyBorder="1" applyAlignment="1">
      <alignment horizontal="left" vertical="center" wrapText="1"/>
    </xf>
    <xf numFmtId="38" fontId="45" fillId="8" borderId="36" xfId="19" applyFont="1" applyFill="1" applyBorder="1" applyAlignment="1">
      <alignment horizontal="center" vertical="center"/>
    </xf>
    <xf numFmtId="0" fontId="45" fillId="0" borderId="0" xfId="23" applyFont="1" applyAlignment="1">
      <alignment horizontal="right" vertical="center"/>
    </xf>
    <xf numFmtId="0" fontId="45" fillId="0" borderId="0" xfId="23" applyFont="1">
      <alignment vertical="center"/>
    </xf>
    <xf numFmtId="49" fontId="45" fillId="0" borderId="0" xfId="23" applyNumberFormat="1" applyFont="1" applyAlignment="1">
      <alignment horizontal="right" vertical="center"/>
    </xf>
    <xf numFmtId="38" fontId="48" fillId="0" borderId="0" xfId="19" applyFont="1">
      <alignment vertical="center"/>
    </xf>
    <xf numFmtId="0" fontId="31" fillId="0" borderId="26" xfId="27" applyBorder="1" applyAlignment="1">
      <alignment horizontal="center" vertical="center" wrapText="1"/>
    </xf>
    <xf numFmtId="0" fontId="33" fillId="0" borderId="6" xfId="27" applyFont="1" applyBorder="1" applyAlignment="1">
      <alignment vertical="center" wrapText="1"/>
    </xf>
    <xf numFmtId="0" fontId="33" fillId="0" borderId="11" xfId="27" applyFont="1" applyBorder="1" applyAlignment="1">
      <alignment vertical="center" wrapText="1"/>
    </xf>
    <xf numFmtId="0" fontId="33" fillId="0" borderId="4" xfId="27" applyFont="1" applyBorder="1" applyAlignment="1">
      <alignment vertical="center" wrapText="1"/>
    </xf>
    <xf numFmtId="0" fontId="33" fillId="0" borderId="19" xfId="27" applyFont="1" applyBorder="1" applyAlignment="1">
      <alignment horizontal="left" vertical="center" wrapText="1"/>
    </xf>
    <xf numFmtId="0" fontId="33" fillId="0" borderId="21" xfId="27" applyFont="1" applyBorder="1" applyAlignment="1">
      <alignment vertical="center" wrapText="1"/>
    </xf>
    <xf numFmtId="0" fontId="33" fillId="0" borderId="8" xfId="26" applyFont="1" applyBorder="1" applyAlignment="1">
      <alignment vertical="center" wrapText="1"/>
    </xf>
    <xf numFmtId="0" fontId="33" fillId="0" borderId="16" xfId="27" applyFont="1" applyBorder="1" applyAlignment="1">
      <alignment vertical="center" wrapText="1"/>
    </xf>
    <xf numFmtId="0" fontId="33" fillId="0" borderId="6" xfId="27" applyFont="1" applyBorder="1" applyAlignment="1">
      <alignment horizontal="left" vertical="center" wrapText="1"/>
    </xf>
    <xf numFmtId="0" fontId="33" fillId="0" borderId="8" xfId="27" applyFont="1" applyBorder="1" applyAlignment="1">
      <alignment horizontal="left" vertical="center" wrapText="1"/>
    </xf>
    <xf numFmtId="0" fontId="33" fillId="0" borderId="11" xfId="27" applyFont="1" applyBorder="1" applyAlignment="1">
      <alignment horizontal="left" vertical="center" wrapText="1"/>
    </xf>
    <xf numFmtId="0" fontId="33" fillId="0" borderId="100" xfId="27" applyFont="1" applyBorder="1" applyAlignment="1">
      <alignment horizontal="left" vertical="center" wrapText="1"/>
    </xf>
    <xf numFmtId="0" fontId="33" fillId="0" borderId="21" xfId="27" applyFont="1" applyBorder="1" applyAlignment="1">
      <alignment horizontal="left" vertical="center" wrapText="1"/>
    </xf>
    <xf numFmtId="0" fontId="33" fillId="0" borderId="15" xfId="27" applyFont="1" applyBorder="1" applyAlignment="1">
      <alignment horizontal="left" vertical="center" wrapText="1"/>
    </xf>
    <xf numFmtId="0" fontId="31" fillId="0" borderId="123" xfId="26" applyBorder="1">
      <alignment vertical="center"/>
    </xf>
    <xf numFmtId="0" fontId="31" fillId="0" borderId="3" xfId="27" applyBorder="1" applyAlignment="1">
      <alignment vertical="center"/>
    </xf>
    <xf numFmtId="0" fontId="33" fillId="0" borderId="3" xfId="27" applyFont="1" applyBorder="1" applyAlignment="1">
      <alignment vertical="center"/>
    </xf>
    <xf numFmtId="0" fontId="31" fillId="0" borderId="124" xfId="27" applyBorder="1" applyAlignment="1">
      <alignment horizontal="center" vertical="center"/>
    </xf>
    <xf numFmtId="0" fontId="31" fillId="0" borderId="125" xfId="27" applyBorder="1" applyAlignment="1">
      <alignment horizontal="center" vertical="center"/>
    </xf>
    <xf numFmtId="0" fontId="35" fillId="5" borderId="0" xfId="18" applyFont="1" applyFill="1" applyAlignment="1">
      <alignment horizontal="center" vertical="center"/>
    </xf>
    <xf numFmtId="0" fontId="87" fillId="0" borderId="0" xfId="23" applyFont="1" applyAlignment="1">
      <alignment horizontal="center" vertical="center"/>
    </xf>
    <xf numFmtId="38" fontId="44" fillId="17" borderId="41" xfId="19" applyFont="1" applyFill="1" applyBorder="1">
      <alignment vertical="center"/>
    </xf>
    <xf numFmtId="38" fontId="44" fillId="17" borderId="42" xfId="19" applyFont="1" applyFill="1" applyBorder="1" applyAlignment="1">
      <alignment horizontal="center" vertical="center"/>
    </xf>
    <xf numFmtId="38" fontId="44" fillId="17" borderId="94" xfId="19" applyFont="1" applyFill="1" applyBorder="1" applyAlignment="1">
      <alignment horizontal="center" vertical="center"/>
    </xf>
    <xf numFmtId="0" fontId="31" fillId="17" borderId="45" xfId="23" applyFill="1" applyBorder="1">
      <alignment vertical="center"/>
    </xf>
    <xf numFmtId="0" fontId="31" fillId="17" borderId="103" xfId="23" applyFill="1" applyBorder="1" applyAlignment="1">
      <alignment horizontal="center" vertical="center"/>
    </xf>
    <xf numFmtId="38" fontId="31" fillId="17" borderId="113" xfId="23" applyNumberFormat="1" applyFill="1" applyBorder="1" applyAlignment="1">
      <alignment horizontal="center" vertical="center"/>
    </xf>
    <xf numFmtId="0" fontId="31" fillId="0" borderId="11" xfId="27" applyBorder="1" applyAlignment="1">
      <alignment horizontal="left" vertical="center" wrapText="1"/>
    </xf>
    <xf numFmtId="0" fontId="31" fillId="0" borderId="6" xfId="26" applyBorder="1" applyAlignment="1">
      <alignment horizontal="center" vertical="center"/>
    </xf>
    <xf numFmtId="0" fontId="31" fillId="0" borderId="6" xfId="27" applyBorder="1" applyAlignment="1">
      <alignment vertical="center" wrapText="1"/>
    </xf>
    <xf numFmtId="0" fontId="31" fillId="0" borderId="6" xfId="27" applyBorder="1" applyAlignment="1">
      <alignment horizontal="left" vertical="center" wrapText="1"/>
    </xf>
    <xf numFmtId="38" fontId="31" fillId="17" borderId="6" xfId="28" applyFont="1" applyFill="1" applyBorder="1" applyAlignment="1">
      <alignment horizontal="center" vertical="center"/>
    </xf>
    <xf numFmtId="38" fontId="31" fillId="0" borderId="75" xfId="28" applyFont="1" applyFill="1" applyBorder="1" applyAlignment="1">
      <alignment horizontal="left" vertical="center"/>
    </xf>
    <xf numFmtId="0" fontId="31" fillId="0" borderId="8" xfId="26" applyBorder="1" applyAlignment="1">
      <alignment horizontal="center" vertical="center"/>
    </xf>
    <xf numFmtId="0" fontId="31" fillId="0" borderId="8" xfId="27" applyBorder="1" applyAlignment="1">
      <alignment vertical="center" wrapText="1"/>
    </xf>
    <xf numFmtId="0" fontId="31" fillId="0" borderId="8" xfId="27" applyBorder="1" applyAlignment="1">
      <alignment horizontal="left" vertical="center" wrapText="1"/>
    </xf>
    <xf numFmtId="0" fontId="31" fillId="0" borderId="11" xfId="26" applyBorder="1" applyAlignment="1">
      <alignment horizontal="center" vertical="center"/>
    </xf>
    <xf numFmtId="0" fontId="31" fillId="0" borderId="11" xfId="27" applyBorder="1" applyAlignment="1">
      <alignment vertical="center" wrapText="1"/>
    </xf>
    <xf numFmtId="38" fontId="31" fillId="17" borderId="23" xfId="28" applyFont="1" applyFill="1" applyBorder="1" applyAlignment="1">
      <alignment horizontal="center" vertical="center"/>
    </xf>
    <xf numFmtId="38" fontId="31" fillId="0" borderId="76" xfId="28" applyFont="1" applyFill="1" applyBorder="1" applyAlignment="1">
      <alignment horizontal="left" vertical="center"/>
    </xf>
    <xf numFmtId="0" fontId="31" fillId="0" borderId="4" xfId="27" applyBorder="1" applyAlignment="1">
      <alignment vertical="center" wrapText="1"/>
    </xf>
    <xf numFmtId="0" fontId="31" fillId="0" borderId="16" xfId="27" applyBorder="1" applyAlignment="1">
      <alignment vertical="center" wrapText="1"/>
    </xf>
    <xf numFmtId="0" fontId="31" fillId="0" borderId="13" xfId="27" applyBorder="1" applyAlignment="1">
      <alignment vertical="center" wrapText="1"/>
    </xf>
    <xf numFmtId="0" fontId="31" fillId="0" borderId="27" xfId="27" applyBorder="1" applyAlignment="1">
      <alignment horizontal="center" vertical="center"/>
    </xf>
    <xf numFmtId="0" fontId="31" fillId="0" borderId="28" xfId="27" applyBorder="1" applyAlignment="1" applyProtection="1">
      <alignment horizontal="left" vertical="center"/>
      <protection locked="0"/>
    </xf>
    <xf numFmtId="0" fontId="31" fillId="0" borderId="29" xfId="27" applyBorder="1" applyAlignment="1" applyProtection="1">
      <alignment horizontal="left" vertical="center"/>
      <protection locked="0"/>
    </xf>
    <xf numFmtId="0" fontId="31" fillId="0" borderId="30" xfId="27" applyBorder="1" applyAlignment="1">
      <alignment horizontal="left" vertical="center"/>
    </xf>
    <xf numFmtId="0" fontId="31" fillId="0" borderId="32" xfId="27" applyBorder="1" applyAlignment="1" applyProtection="1">
      <alignment horizontal="left" vertical="center"/>
      <protection locked="0"/>
    </xf>
    <xf numFmtId="38" fontId="31" fillId="0" borderId="29" xfId="28" applyFont="1" applyFill="1" applyBorder="1" applyAlignment="1" applyProtection="1">
      <alignment horizontal="left" vertical="center"/>
      <protection locked="0"/>
    </xf>
    <xf numFmtId="38" fontId="31" fillId="0" borderId="30" xfId="28" applyFont="1" applyFill="1" applyBorder="1" applyAlignment="1">
      <alignment horizontal="left" vertical="center"/>
    </xf>
    <xf numFmtId="166" fontId="31" fillId="0" borderId="31" xfId="28" applyNumberFormat="1" applyFont="1" applyFill="1" applyBorder="1" applyAlignment="1">
      <alignment horizontal="left" vertical="center"/>
    </xf>
    <xf numFmtId="40" fontId="31" fillId="0" borderId="30" xfId="28" applyNumberFormat="1" applyFont="1" applyFill="1" applyBorder="1" applyAlignment="1">
      <alignment horizontal="left" vertical="center"/>
    </xf>
    <xf numFmtId="40" fontId="31" fillId="0" borderId="28" xfId="28" applyNumberFormat="1" applyFont="1" applyFill="1" applyBorder="1" applyAlignment="1">
      <alignment horizontal="left" vertical="center"/>
    </xf>
    <xf numFmtId="38" fontId="31" fillId="0" borderId="27" xfId="28" applyFont="1" applyFill="1" applyBorder="1" applyAlignment="1">
      <alignment horizontal="left" vertical="center"/>
    </xf>
    <xf numFmtId="0" fontId="31" fillId="0" borderId="34" xfId="28" applyNumberFormat="1" applyFont="1" applyFill="1" applyBorder="1" applyAlignment="1" applyProtection="1">
      <alignment horizontal="left" vertical="center"/>
      <protection locked="0"/>
    </xf>
    <xf numFmtId="38" fontId="31" fillId="0" borderId="34" xfId="28" applyFont="1" applyFill="1" applyBorder="1" applyAlignment="1">
      <alignment horizontal="left" vertical="center"/>
    </xf>
    <xf numFmtId="38" fontId="31" fillId="0" borderId="29" xfId="28" applyFont="1" applyFill="1" applyBorder="1" applyAlignment="1">
      <alignment horizontal="left" vertical="center"/>
    </xf>
    <xf numFmtId="38" fontId="31" fillId="0" borderId="29" xfId="28" applyFont="1" applyFill="1" applyBorder="1" applyAlignment="1">
      <alignment horizontal="left" vertical="center" wrapText="1"/>
    </xf>
    <xf numFmtId="38" fontId="31" fillId="0" borderId="30" xfId="28" applyFont="1" applyFill="1" applyBorder="1" applyAlignment="1">
      <alignment horizontal="left" vertical="center" wrapText="1"/>
    </xf>
    <xf numFmtId="167" fontId="31" fillId="0" borderId="29" xfId="28" applyNumberFormat="1" applyFont="1" applyFill="1" applyBorder="1" applyAlignment="1">
      <alignment horizontal="left" vertical="center"/>
    </xf>
    <xf numFmtId="167" fontId="31" fillId="0" borderId="30" xfId="28" applyNumberFormat="1" applyFont="1" applyFill="1" applyBorder="1" applyAlignment="1">
      <alignment horizontal="left" vertical="center"/>
    </xf>
    <xf numFmtId="38" fontId="31" fillId="0" borderId="35" xfId="28" applyFont="1" applyFill="1" applyBorder="1" applyAlignment="1" applyProtection="1">
      <alignment horizontal="left" vertical="center"/>
      <protection locked="0"/>
    </xf>
    <xf numFmtId="38" fontId="31" fillId="0" borderId="28" xfId="28" applyFont="1" applyFill="1" applyBorder="1" applyAlignment="1">
      <alignment horizontal="left" vertical="center"/>
    </xf>
    <xf numFmtId="38" fontId="31" fillId="0" borderId="29" xfId="28" applyFont="1" applyFill="1" applyBorder="1" applyAlignment="1" applyProtection="1">
      <alignment horizontal="left" vertical="center" wrapText="1"/>
      <protection locked="0"/>
    </xf>
    <xf numFmtId="38" fontId="31" fillId="0" borderId="30" xfId="28" applyFont="1" applyFill="1" applyBorder="1" applyAlignment="1" applyProtection="1">
      <alignment horizontal="left" vertical="center"/>
      <protection locked="0"/>
    </xf>
    <xf numFmtId="38" fontId="31" fillId="0" borderId="35" xfId="28" applyFont="1" applyFill="1" applyBorder="1" applyAlignment="1">
      <alignment horizontal="left" vertical="center"/>
    </xf>
    <xf numFmtId="0" fontId="33" fillId="0" borderId="46" xfId="17" applyFont="1" applyBorder="1" applyAlignment="1">
      <alignment horizontal="left" vertical="center"/>
    </xf>
    <xf numFmtId="0" fontId="33" fillId="0" borderId="93" xfId="16" applyFont="1" applyBorder="1">
      <alignment vertical="center"/>
    </xf>
    <xf numFmtId="0" fontId="47" fillId="0" borderId="93" xfId="16" applyFont="1" applyBorder="1">
      <alignment vertical="center"/>
    </xf>
    <xf numFmtId="0" fontId="33" fillId="0" borderId="93" xfId="0" applyFont="1" applyBorder="1" applyAlignment="1">
      <alignment horizontal="left" vertical="center"/>
    </xf>
    <xf numFmtId="0" fontId="33" fillId="0" borderId="93" xfId="0" applyFont="1" applyBorder="1" applyAlignment="1">
      <alignment horizontal="center" vertical="center"/>
    </xf>
    <xf numFmtId="0" fontId="31" fillId="19" borderId="58" xfId="23" applyFill="1" applyBorder="1">
      <alignment vertical="center"/>
    </xf>
    <xf numFmtId="0" fontId="31" fillId="19" borderId="59" xfId="23" applyFill="1" applyBorder="1" applyAlignment="1">
      <alignment horizontal="center" vertical="center"/>
    </xf>
    <xf numFmtId="0" fontId="31" fillId="19" borderId="74" xfId="23" applyFill="1" applyBorder="1" applyAlignment="1">
      <alignment horizontal="center" vertical="center"/>
    </xf>
    <xf numFmtId="38" fontId="44" fillId="19" borderId="77" xfId="19" applyFont="1" applyFill="1" applyBorder="1" applyAlignment="1">
      <alignment horizontal="center" vertical="center"/>
    </xf>
    <xf numFmtId="0" fontId="31" fillId="19" borderId="45" xfId="23" applyFill="1" applyBorder="1">
      <alignment vertical="center"/>
    </xf>
    <xf numFmtId="0" fontId="31" fillId="19" borderId="46" xfId="23" applyFill="1" applyBorder="1" applyAlignment="1">
      <alignment horizontal="center" vertical="center"/>
    </xf>
    <xf numFmtId="0" fontId="31" fillId="19" borderId="70" xfId="23" applyFill="1" applyBorder="1" applyAlignment="1">
      <alignment horizontal="center" vertical="center"/>
    </xf>
    <xf numFmtId="38" fontId="44" fillId="19" borderId="71" xfId="19" applyFont="1" applyFill="1" applyBorder="1" applyAlignment="1">
      <alignment horizontal="center" vertical="center"/>
    </xf>
    <xf numFmtId="0" fontId="31" fillId="19" borderId="56" xfId="23" applyFill="1" applyBorder="1">
      <alignment vertical="center"/>
    </xf>
    <xf numFmtId="10" fontId="31" fillId="19" borderId="57" xfId="23" applyNumberFormat="1" applyFill="1" applyBorder="1" applyAlignment="1">
      <alignment horizontal="center" vertical="center"/>
    </xf>
    <xf numFmtId="10" fontId="31" fillId="19" borderId="72" xfId="23" applyNumberFormat="1" applyFill="1" applyBorder="1" applyAlignment="1">
      <alignment horizontal="center" vertical="center"/>
    </xf>
    <xf numFmtId="10" fontId="31" fillId="19" borderId="76" xfId="23" applyNumberFormat="1" applyFill="1" applyBorder="1" applyAlignment="1">
      <alignment horizontal="center" vertical="center"/>
    </xf>
    <xf numFmtId="0" fontId="31" fillId="19" borderId="57" xfId="23" applyFill="1" applyBorder="1" applyAlignment="1">
      <alignment horizontal="center" vertical="center"/>
    </xf>
    <xf numFmtId="0" fontId="31" fillId="19" borderId="72" xfId="23" applyFill="1" applyBorder="1" applyAlignment="1">
      <alignment horizontal="center" vertical="center"/>
    </xf>
    <xf numFmtId="0" fontId="31" fillId="19" borderId="36" xfId="23" applyFill="1" applyBorder="1">
      <alignment vertical="center"/>
    </xf>
    <xf numFmtId="38" fontId="9" fillId="19" borderId="36" xfId="8" applyFont="1" applyFill="1" applyBorder="1" applyAlignment="1">
      <alignment horizontal="center" vertical="center"/>
    </xf>
    <xf numFmtId="38" fontId="10" fillId="19" borderId="36" xfId="8" applyFont="1" applyFill="1" applyBorder="1">
      <alignment vertical="center"/>
    </xf>
    <xf numFmtId="38" fontId="45" fillId="19" borderId="36" xfId="19" applyFont="1" applyFill="1" applyBorder="1" applyAlignment="1">
      <alignment horizontal="center" vertical="center"/>
    </xf>
    <xf numFmtId="38" fontId="10" fillId="19" borderId="36" xfId="1" applyFont="1" applyFill="1" applyBorder="1" applyAlignment="1">
      <alignment horizontal="right" vertical="center"/>
    </xf>
    <xf numFmtId="38" fontId="5" fillId="19" borderId="36" xfId="1" applyFont="1" applyFill="1" applyBorder="1" applyAlignment="1">
      <alignment horizontal="right" vertical="center"/>
    </xf>
    <xf numFmtId="38" fontId="5" fillId="19" borderId="36" xfId="1" applyFont="1" applyFill="1" applyBorder="1">
      <alignment vertical="center"/>
    </xf>
    <xf numFmtId="38" fontId="5" fillId="19" borderId="36" xfId="1" applyFont="1" applyFill="1" applyBorder="1" applyAlignment="1">
      <alignment horizontal="center" vertical="center"/>
    </xf>
    <xf numFmtId="38" fontId="10" fillId="19" borderId="36" xfId="1" applyFont="1" applyFill="1" applyBorder="1" applyAlignment="1">
      <alignment horizontal="center" vertical="center"/>
    </xf>
    <xf numFmtId="38" fontId="10" fillId="19" borderId="36" xfId="1" applyFont="1" applyFill="1" applyBorder="1">
      <alignment vertical="center"/>
    </xf>
    <xf numFmtId="38" fontId="9" fillId="19" borderId="37" xfId="8" applyFont="1" applyFill="1" applyBorder="1" applyAlignment="1">
      <alignment horizontal="center" vertical="center"/>
    </xf>
    <xf numFmtId="38" fontId="5" fillId="19" borderId="36" xfId="8" applyFont="1" applyFill="1" applyBorder="1" applyAlignment="1">
      <alignment horizontal="center" vertical="center"/>
    </xf>
    <xf numFmtId="0" fontId="31" fillId="0" borderId="52" xfId="23" applyBorder="1">
      <alignment vertical="center"/>
    </xf>
    <xf numFmtId="38" fontId="31" fillId="0" borderId="38" xfId="23" applyNumberFormat="1" applyBorder="1" applyAlignment="1">
      <alignment horizontal="center" vertical="center"/>
    </xf>
    <xf numFmtId="10" fontId="31" fillId="19" borderId="38" xfId="23" applyNumberFormat="1" applyFill="1" applyBorder="1" applyAlignment="1">
      <alignment horizontal="center" vertical="center"/>
    </xf>
    <xf numFmtId="0" fontId="31" fillId="19" borderId="38" xfId="23" applyFill="1" applyBorder="1" applyAlignment="1">
      <alignment horizontal="center" vertical="center"/>
    </xf>
    <xf numFmtId="0" fontId="31" fillId="0" borderId="38" xfId="23" applyNumberFormat="1" applyFont="1" applyBorder="1" applyAlignment="1">
      <alignment horizontal="center" vertical="center"/>
    </xf>
    <xf numFmtId="0" fontId="31" fillId="0" borderId="36" xfId="23" applyNumberFormat="1" applyFont="1" applyBorder="1" applyAlignment="1">
      <alignment horizontal="center" vertical="center"/>
    </xf>
    <xf numFmtId="0" fontId="35" fillId="0" borderId="0" xfId="18" applyFont="1" applyFill="1">
      <alignment vertical="center"/>
    </xf>
    <xf numFmtId="0" fontId="35" fillId="0" borderId="78" xfId="18" applyFont="1" applyFill="1" applyBorder="1">
      <alignment vertical="center"/>
    </xf>
    <xf numFmtId="0" fontId="35" fillId="0" borderId="36" xfId="18" applyFont="1" applyFill="1" applyBorder="1" applyAlignment="1">
      <alignment horizontal="center" vertical="center"/>
    </xf>
    <xf numFmtId="0" fontId="35" fillId="0" borderId="8" xfId="18" applyFont="1" applyFill="1" applyBorder="1">
      <alignment vertical="center"/>
    </xf>
    <xf numFmtId="0" fontId="35" fillId="0" borderId="21" xfId="18" applyFont="1" applyFill="1" applyBorder="1">
      <alignment vertical="center"/>
    </xf>
    <xf numFmtId="0" fontId="35" fillId="0" borderId="130" xfId="18" applyFont="1" applyFill="1" applyBorder="1">
      <alignment vertical="center"/>
    </xf>
    <xf numFmtId="38" fontId="35" fillId="0" borderId="131" xfId="18" applyNumberFormat="1" applyFont="1" applyFill="1" applyBorder="1">
      <alignment vertical="center"/>
    </xf>
    <xf numFmtId="10" fontId="35" fillId="0" borderId="38" xfId="20" applyNumberFormat="1" applyFont="1" applyFill="1" applyBorder="1" applyAlignment="1">
      <alignment vertical="center"/>
    </xf>
    <xf numFmtId="38" fontId="35" fillId="0" borderId="15" xfId="18" applyNumberFormat="1" applyFont="1" applyFill="1" applyBorder="1">
      <alignment vertical="center"/>
    </xf>
    <xf numFmtId="0" fontId="35" fillId="0" borderId="131" xfId="18" applyFont="1" applyFill="1" applyBorder="1">
      <alignment vertical="center"/>
    </xf>
    <xf numFmtId="0" fontId="35" fillId="0" borderId="15" xfId="18" applyFont="1" applyFill="1" applyBorder="1">
      <alignment vertical="center"/>
    </xf>
    <xf numFmtId="0" fontId="35" fillId="0" borderId="16" xfId="18" applyFont="1" applyFill="1" applyBorder="1">
      <alignment vertical="center"/>
    </xf>
    <xf numFmtId="38" fontId="33" fillId="0" borderId="131" xfId="19" applyFont="1" applyFill="1" applyBorder="1" applyAlignment="1">
      <alignment vertical="center"/>
    </xf>
    <xf numFmtId="38" fontId="33" fillId="0" borderId="8" xfId="19" applyFont="1" applyFill="1" applyBorder="1" applyAlignment="1">
      <alignment vertical="center"/>
    </xf>
    <xf numFmtId="38" fontId="33" fillId="0" borderId="130" xfId="19" applyFont="1" applyFill="1" applyBorder="1" applyAlignment="1">
      <alignment vertical="center"/>
    </xf>
    <xf numFmtId="38" fontId="33" fillId="0" borderId="15" xfId="16" applyNumberFormat="1" applyFont="1" applyFill="1" applyBorder="1">
      <alignment vertical="center"/>
    </xf>
    <xf numFmtId="10" fontId="33" fillId="0" borderId="16" xfId="20" applyNumberFormat="1" applyFont="1" applyFill="1" applyBorder="1" applyAlignment="1">
      <alignment vertical="center"/>
    </xf>
    <xf numFmtId="38" fontId="33" fillId="0" borderId="8" xfId="19" applyFont="1" applyFill="1" applyBorder="1" applyAlignment="1">
      <alignment horizontal="right" vertical="center"/>
    </xf>
    <xf numFmtId="38" fontId="33" fillId="0" borderId="130" xfId="19" applyFont="1" applyFill="1" applyBorder="1" applyAlignment="1">
      <alignment horizontal="right" vertical="center"/>
    </xf>
    <xf numFmtId="38" fontId="33" fillId="0" borderId="16" xfId="19" applyFont="1" applyFill="1" applyBorder="1" applyAlignment="1">
      <alignment vertical="center"/>
    </xf>
    <xf numFmtId="10" fontId="33" fillId="0" borderId="38" xfId="20" applyNumberFormat="1" applyFont="1" applyFill="1" applyBorder="1" applyAlignment="1">
      <alignment vertical="center"/>
    </xf>
    <xf numFmtId="0" fontId="40" fillId="0" borderId="131" xfId="18" applyFont="1" applyFill="1" applyBorder="1">
      <alignment vertical="center"/>
    </xf>
    <xf numFmtId="0" fontId="40" fillId="0" borderId="130" xfId="18" applyFont="1" applyFill="1" applyBorder="1">
      <alignment vertical="center"/>
    </xf>
    <xf numFmtId="0" fontId="17" fillId="0" borderId="131" xfId="16" applyFont="1" applyFill="1" applyBorder="1">
      <alignment vertical="center"/>
    </xf>
    <xf numFmtId="0" fontId="17" fillId="0" borderId="130" xfId="16" applyFont="1" applyFill="1" applyBorder="1">
      <alignment vertical="center"/>
    </xf>
    <xf numFmtId="10" fontId="17" fillId="0" borderId="38" xfId="20" applyNumberFormat="1" applyFont="1" applyFill="1" applyBorder="1" applyAlignment="1">
      <alignment vertical="center"/>
    </xf>
    <xf numFmtId="0" fontId="35" fillId="16" borderId="78" xfId="18" applyFont="1" applyFill="1" applyBorder="1" applyAlignment="1">
      <alignment horizontal="center" vertical="center"/>
    </xf>
    <xf numFmtId="38" fontId="31" fillId="0" borderId="83" xfId="19" applyFont="1" applyFill="1" applyBorder="1" applyAlignment="1">
      <alignment horizontal="center" vertical="center"/>
    </xf>
    <xf numFmtId="10" fontId="35" fillId="17" borderId="99" xfId="20" applyNumberFormat="1" applyFont="1" applyFill="1" applyBorder="1" applyAlignment="1">
      <alignment horizontal="center" vertical="center"/>
    </xf>
    <xf numFmtId="38" fontId="33" fillId="0" borderId="87" xfId="19" applyFont="1" applyFill="1" applyBorder="1" applyAlignment="1">
      <alignment horizontal="center" vertical="center"/>
    </xf>
    <xf numFmtId="38" fontId="33" fillId="0" borderId="46" xfId="19" applyFont="1" applyFill="1" applyBorder="1" applyAlignment="1">
      <alignment horizontal="center" vertical="center"/>
    </xf>
    <xf numFmtId="38" fontId="33" fillId="0" borderId="83" xfId="19" applyFont="1" applyFill="1" applyBorder="1" applyAlignment="1">
      <alignment horizontal="center" vertical="center"/>
    </xf>
    <xf numFmtId="10" fontId="33" fillId="17" borderId="97" xfId="20" applyNumberFormat="1" applyFont="1" applyFill="1" applyBorder="1" applyAlignment="1">
      <alignment horizontal="center" vertical="center"/>
    </xf>
    <xf numFmtId="10" fontId="33" fillId="17" borderId="93" xfId="20" applyNumberFormat="1" applyFont="1" applyFill="1" applyBorder="1" applyAlignment="1">
      <alignment horizontal="center" vertical="center"/>
    </xf>
    <xf numFmtId="38" fontId="33" fillId="0" borderId="93" xfId="19" applyFont="1" applyFill="1" applyBorder="1" applyAlignment="1">
      <alignment horizontal="center" vertical="center"/>
    </xf>
    <xf numFmtId="10" fontId="33" fillId="17" borderId="99" xfId="20" applyNumberFormat="1" applyFont="1" applyFill="1" applyBorder="1" applyAlignment="1">
      <alignment horizontal="center" vertical="center"/>
    </xf>
    <xf numFmtId="10" fontId="33" fillId="17" borderId="95" xfId="20" applyNumberFormat="1" applyFont="1" applyFill="1" applyBorder="1" applyAlignment="1">
      <alignment horizontal="center" vertical="center"/>
    </xf>
    <xf numFmtId="10" fontId="17" fillId="4" borderId="99" xfId="20" applyNumberFormat="1" applyFont="1" applyFill="1" applyBorder="1" applyAlignment="1">
      <alignment horizontal="center" vertical="center"/>
    </xf>
    <xf numFmtId="38" fontId="44" fillId="17" borderId="64" xfId="19" applyFont="1" applyFill="1" applyBorder="1" applyAlignment="1">
      <alignment horizontal="center" vertical="center"/>
    </xf>
    <xf numFmtId="38" fontId="44" fillId="17" borderId="65" xfId="1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1" fontId="35" fillId="0" borderId="87" xfId="31" applyNumberFormat="1" applyFont="1" applyBorder="1" applyAlignment="1">
      <alignment horizontal="center" vertical="center"/>
    </xf>
    <xf numFmtId="171" fontId="35" fillId="0" borderId="93" xfId="31" applyNumberFormat="1" applyFont="1" applyBorder="1" applyAlignment="1">
      <alignment horizontal="center" vertical="center"/>
    </xf>
    <xf numFmtId="171" fontId="35" fillId="0" borderId="81" xfId="31" applyNumberFormat="1" applyFont="1" applyBorder="1" applyAlignment="1">
      <alignment horizontal="center" vertical="center"/>
    </xf>
    <xf numFmtId="171" fontId="35" fillId="0" borderId="91" xfId="31" applyNumberFormat="1" applyFont="1" applyBorder="1" applyAlignment="1">
      <alignment horizontal="center" vertical="center"/>
    </xf>
    <xf numFmtId="9" fontId="47" fillId="0" borderId="36" xfId="30" applyFont="1" applyBorder="1" applyAlignment="1">
      <alignment horizontal="center" vertical="center"/>
    </xf>
    <xf numFmtId="9" fontId="47" fillId="0" borderId="36" xfId="25" applyNumberFormat="1" applyFont="1" applyBorder="1" applyAlignment="1">
      <alignment horizontal="center" vertical="center"/>
    </xf>
    <xf numFmtId="9" fontId="44" fillId="0" borderId="36" xfId="25" applyNumberFormat="1" applyFont="1" applyBorder="1" applyAlignment="1">
      <alignment horizontal="center" vertical="center"/>
    </xf>
    <xf numFmtId="171" fontId="31" fillId="0" borderId="46" xfId="31" applyNumberFormat="1" applyFont="1" applyFill="1" applyBorder="1" applyAlignment="1">
      <alignment horizontal="center" vertical="center"/>
    </xf>
    <xf numFmtId="171" fontId="35" fillId="0" borderId="81" xfId="31" applyNumberFormat="1" applyFont="1" applyBorder="1" applyAlignment="1">
      <alignment vertical="center"/>
    </xf>
    <xf numFmtId="171" fontId="35" fillId="0" borderId="46" xfId="31" applyNumberFormat="1" applyFont="1" applyBorder="1" applyAlignment="1">
      <alignment vertical="center"/>
    </xf>
    <xf numFmtId="171" fontId="35" fillId="0" borderId="25" xfId="31" applyNumberFormat="1" applyFont="1" applyBorder="1" applyAlignment="1">
      <alignment vertical="center"/>
    </xf>
    <xf numFmtId="171" fontId="31" fillId="0" borderId="81" xfId="31" applyNumberFormat="1" applyFont="1" applyFill="1" applyBorder="1" applyAlignment="1">
      <alignment horizontal="center" vertical="center"/>
    </xf>
    <xf numFmtId="171" fontId="35" fillId="0" borderId="91" xfId="31" applyNumberFormat="1" applyFont="1" applyBorder="1" applyAlignment="1">
      <alignment vertical="center"/>
    </xf>
    <xf numFmtId="171" fontId="35" fillId="0" borderId="111" xfId="31" applyNumberFormat="1" applyFont="1" applyBorder="1" applyAlignment="1">
      <alignment vertical="center"/>
    </xf>
    <xf numFmtId="171" fontId="35" fillId="0" borderId="87" xfId="31" applyNumberFormat="1" applyFont="1" applyBorder="1" applyAlignment="1">
      <alignment vertical="center"/>
    </xf>
    <xf numFmtId="171" fontId="35" fillId="0" borderId="102" xfId="31" applyNumberFormat="1" applyFont="1" applyBorder="1" applyAlignment="1">
      <alignment vertical="center"/>
    </xf>
    <xf numFmtId="171" fontId="35" fillId="0" borderId="93" xfId="31" applyNumberFormat="1" applyFont="1" applyBorder="1" applyAlignment="1">
      <alignment vertical="center"/>
    </xf>
    <xf numFmtId="171" fontId="35" fillId="0" borderId="109" xfId="31" applyNumberFormat="1" applyFont="1" applyBorder="1" applyAlignment="1">
      <alignment vertical="center"/>
    </xf>
    <xf numFmtId="171" fontId="35" fillId="0" borderId="83" xfId="31" applyNumberFormat="1" applyFont="1" applyBorder="1" applyAlignment="1">
      <alignment horizontal="center" vertical="center"/>
    </xf>
    <xf numFmtId="171" fontId="35" fillId="0" borderId="83" xfId="31" applyNumberFormat="1" applyFont="1" applyBorder="1" applyAlignment="1">
      <alignment vertical="center"/>
    </xf>
    <xf numFmtId="171" fontId="35" fillId="0" borderId="104" xfId="31" applyNumberFormat="1" applyFont="1" applyBorder="1" applyAlignment="1">
      <alignment vertical="center"/>
    </xf>
    <xf numFmtId="171" fontId="35" fillId="0" borderId="132" xfId="31" applyNumberFormat="1" applyFont="1" applyBorder="1" applyAlignment="1">
      <alignment vertical="center"/>
    </xf>
    <xf numFmtId="171" fontId="35" fillId="0" borderId="133" xfId="31" applyNumberFormat="1" applyFont="1" applyBorder="1" applyAlignment="1">
      <alignment vertical="center"/>
    </xf>
    <xf numFmtId="171" fontId="31" fillId="0" borderId="94" xfId="31" applyNumberFormat="1" applyFont="1" applyFill="1" applyBorder="1" applyAlignment="1">
      <alignment horizontal="center" vertical="center"/>
    </xf>
    <xf numFmtId="171" fontId="31" fillId="0" borderId="92" xfId="31" applyNumberFormat="1" applyFont="1" applyFill="1" applyBorder="1" applyAlignment="1">
      <alignment horizontal="center" vertical="center"/>
    </xf>
    <xf numFmtId="171" fontId="35" fillId="0" borderId="92" xfId="31" applyNumberFormat="1" applyFont="1" applyBorder="1" applyAlignment="1">
      <alignment vertical="center"/>
    </xf>
    <xf numFmtId="171" fontId="35" fillId="0" borderId="106" xfId="31" applyNumberFormat="1" applyFont="1" applyBorder="1" applyAlignment="1">
      <alignment vertical="center"/>
    </xf>
    <xf numFmtId="171" fontId="31" fillId="0" borderId="83" xfId="31" applyNumberFormat="1" applyFont="1" applyFill="1" applyBorder="1" applyAlignment="1">
      <alignment horizontal="center" vertical="center"/>
    </xf>
    <xf numFmtId="171" fontId="31" fillId="0" borderId="91" xfId="31" applyNumberFormat="1" applyFont="1" applyFill="1" applyBorder="1" applyAlignment="1">
      <alignment horizontal="center" vertical="center"/>
    </xf>
    <xf numFmtId="171" fontId="35" fillId="0" borderId="82" xfId="31" applyNumberFormat="1" applyFont="1" applyBorder="1" applyAlignment="1">
      <alignment horizontal="center" vertical="center"/>
    </xf>
    <xf numFmtId="171" fontId="35" fillId="0" borderId="82" xfId="31" applyNumberFormat="1" applyFont="1" applyBorder="1" applyAlignment="1">
      <alignment vertical="center"/>
    </xf>
    <xf numFmtId="169" fontId="44" fillId="0" borderId="36" xfId="23" applyNumberFormat="1" applyFont="1" applyBorder="1" applyAlignment="1">
      <alignment horizontal="center" vertical="center"/>
    </xf>
    <xf numFmtId="168" fontId="31" fillId="0" borderId="36" xfId="31" applyNumberFormat="1" applyFont="1" applyBorder="1" applyAlignment="1">
      <alignment horizontal="center" vertical="center"/>
    </xf>
    <xf numFmtId="10" fontId="47" fillId="0" borderId="36" xfId="25" applyNumberFormat="1" applyFont="1" applyBorder="1" applyAlignment="1">
      <alignment horizontal="center" vertical="center"/>
    </xf>
    <xf numFmtId="171" fontId="35" fillId="0" borderId="46" xfId="31" applyNumberFormat="1" applyFont="1" applyBorder="1" applyAlignment="1">
      <alignment horizontal="center" vertical="center"/>
    </xf>
    <xf numFmtId="171" fontId="35" fillId="0" borderId="92" xfId="31" applyNumberFormat="1" applyFont="1" applyBorder="1" applyAlignment="1">
      <alignment horizontal="center" vertical="center"/>
    </xf>
    <xf numFmtId="38" fontId="33" fillId="0" borderId="92" xfId="19" applyFont="1" applyFill="1" applyBorder="1" applyAlignment="1">
      <alignment horizontal="center" vertical="center"/>
    </xf>
    <xf numFmtId="10" fontId="47" fillId="0" borderId="36" xfId="30" applyNumberFormat="1" applyFont="1" applyBorder="1" applyAlignment="1">
      <alignment horizontal="center" vertical="center"/>
    </xf>
    <xf numFmtId="0" fontId="31" fillId="0" borderId="59" xfId="23" applyFont="1" applyFill="1" applyBorder="1" applyAlignment="1">
      <alignment horizontal="center" vertical="center"/>
    </xf>
    <xf numFmtId="9" fontId="33" fillId="0" borderId="36" xfId="30" applyFont="1" applyBorder="1" applyAlignment="1">
      <alignment horizontal="center" vertical="center"/>
    </xf>
    <xf numFmtId="0" fontId="25" fillId="0" borderId="87" xfId="18" applyFont="1" applyBorder="1" applyAlignment="1">
      <alignment horizontal="center" vertical="center"/>
    </xf>
    <xf numFmtId="0" fontId="35" fillId="14" borderId="87" xfId="18" applyFont="1" applyFill="1" applyBorder="1" applyAlignment="1">
      <alignment horizontal="center" vertical="center"/>
    </xf>
    <xf numFmtId="0" fontId="35" fillId="14" borderId="46" xfId="18" applyFont="1" applyFill="1" applyBorder="1" applyAlignment="1">
      <alignment horizontal="center" vertical="center"/>
    </xf>
    <xf numFmtId="0" fontId="35" fillId="0" borderId="85" xfId="18" applyFont="1" applyFill="1" applyBorder="1">
      <alignment vertical="center"/>
    </xf>
    <xf numFmtId="0" fontId="33" fillId="0" borderId="85" xfId="18" applyFont="1" applyFill="1" applyBorder="1">
      <alignment vertical="center"/>
    </xf>
    <xf numFmtId="0" fontId="35" fillId="0" borderId="85" xfId="18" applyFont="1" applyFill="1" applyBorder="1" applyAlignment="1">
      <alignment horizontal="center" vertical="center"/>
    </xf>
    <xf numFmtId="38" fontId="31" fillId="0" borderId="92" xfId="19" applyFont="1" applyFill="1" applyBorder="1" applyAlignment="1">
      <alignment horizontal="center" vertical="center"/>
    </xf>
    <xf numFmtId="0" fontId="17" fillId="14" borderId="85" xfId="16" applyFont="1" applyFill="1" applyBorder="1" applyAlignment="1">
      <alignment horizontal="center" vertical="center"/>
    </xf>
    <xf numFmtId="0" fontId="35" fillId="14" borderId="96" xfId="18" applyFont="1" applyFill="1" applyBorder="1" applyAlignment="1">
      <alignment horizontal="center" vertical="center"/>
    </xf>
    <xf numFmtId="0" fontId="40" fillId="14" borderId="85" xfId="18" applyFont="1" applyFill="1" applyBorder="1" applyAlignment="1">
      <alignment horizontal="center" vertical="center"/>
    </xf>
    <xf numFmtId="0" fontId="47" fillId="0" borderId="95" xfId="0" applyFont="1" applyBorder="1">
      <alignment vertical="center"/>
    </xf>
    <xf numFmtId="0" fontId="35" fillId="0" borderId="95" xfId="18" applyFont="1" applyBorder="1" applyAlignment="1">
      <alignment horizontal="center" vertical="center"/>
    </xf>
    <xf numFmtId="0" fontId="35" fillId="0" borderId="46" xfId="18" applyFont="1" applyBorder="1">
      <alignment vertical="center"/>
    </xf>
    <xf numFmtId="0" fontId="35" fillId="0" borderId="46" xfId="18" applyFont="1" applyBorder="1" applyAlignment="1">
      <alignment horizontal="center" vertical="center"/>
    </xf>
    <xf numFmtId="0" fontId="33" fillId="0" borderId="92" xfId="16" applyFont="1" applyBorder="1">
      <alignment vertical="center"/>
    </xf>
    <xf numFmtId="0" fontId="47" fillId="0" borderId="92" xfId="16" applyFont="1" applyBorder="1">
      <alignment vertical="center"/>
    </xf>
    <xf numFmtId="38" fontId="41" fillId="0" borderId="92" xfId="19" applyFont="1" applyFill="1" applyBorder="1" applyAlignment="1">
      <alignment horizontal="left" vertical="center" wrapText="1"/>
    </xf>
    <xf numFmtId="0" fontId="25" fillId="0" borderId="92" xfId="18" applyFont="1" applyBorder="1" applyAlignment="1">
      <alignment horizontal="center" vertical="center"/>
    </xf>
    <xf numFmtId="0" fontId="35" fillId="14" borderId="92" xfId="18" applyFont="1" applyFill="1" applyBorder="1" applyAlignment="1">
      <alignment horizontal="center" vertical="center"/>
    </xf>
    <xf numFmtId="171" fontId="35" fillId="0" borderId="134" xfId="31" applyNumberFormat="1" applyFont="1" applyBorder="1" applyAlignment="1">
      <alignment vertical="center"/>
    </xf>
    <xf numFmtId="0" fontId="35" fillId="14" borderId="135" xfId="18" applyFont="1" applyFill="1" applyBorder="1">
      <alignment vertical="center"/>
    </xf>
    <xf numFmtId="0" fontId="35" fillId="14" borderId="96" xfId="18" applyFont="1" applyFill="1" applyBorder="1">
      <alignment vertical="center"/>
    </xf>
    <xf numFmtId="0" fontId="33" fillId="14" borderId="96" xfId="18" applyFont="1" applyFill="1" applyBorder="1">
      <alignment vertical="center"/>
    </xf>
    <xf numFmtId="0" fontId="35" fillId="17" borderId="96" xfId="18" applyFont="1" applyFill="1" applyBorder="1">
      <alignment vertical="center"/>
    </xf>
    <xf numFmtId="0" fontId="35" fillId="17" borderId="86" xfId="18" applyFont="1" applyFill="1" applyBorder="1" applyAlignment="1">
      <alignment horizontal="center" vertical="center"/>
    </xf>
    <xf numFmtId="0" fontId="35" fillId="0" borderId="61" xfId="18" applyFont="1" applyFill="1" applyBorder="1">
      <alignment vertical="center"/>
    </xf>
    <xf numFmtId="0" fontId="17" fillId="14" borderId="135" xfId="16" applyFont="1" applyFill="1" applyBorder="1">
      <alignment vertical="center"/>
    </xf>
    <xf numFmtId="0" fontId="17" fillId="14" borderId="96" xfId="16" applyFont="1" applyFill="1" applyBorder="1">
      <alignment vertical="center"/>
    </xf>
    <xf numFmtId="0" fontId="17" fillId="4" borderId="96" xfId="16" applyFont="1" applyFill="1" applyBorder="1">
      <alignment vertical="center"/>
    </xf>
    <xf numFmtId="0" fontId="17" fillId="14" borderId="96" xfId="16" applyFont="1" applyFill="1" applyBorder="1" applyAlignment="1">
      <alignment horizontal="center" vertical="center"/>
    </xf>
    <xf numFmtId="0" fontId="17" fillId="4" borderId="86" xfId="18" applyFont="1" applyFill="1" applyBorder="1" applyAlignment="1">
      <alignment horizontal="center" vertical="center"/>
    </xf>
    <xf numFmtId="0" fontId="17" fillId="14" borderId="61" xfId="16" applyFont="1" applyFill="1" applyBorder="1">
      <alignment vertical="center"/>
    </xf>
    <xf numFmtId="0" fontId="40" fillId="14" borderId="135" xfId="18" applyFont="1" applyFill="1" applyBorder="1">
      <alignment vertical="center"/>
    </xf>
    <xf numFmtId="0" fontId="40" fillId="14" borderId="96" xfId="18" applyFont="1" applyFill="1" applyBorder="1">
      <alignment vertical="center"/>
    </xf>
    <xf numFmtId="0" fontId="40" fillId="17" borderId="96" xfId="18" applyFont="1" applyFill="1" applyBorder="1">
      <alignment vertical="center"/>
    </xf>
    <xf numFmtId="0" fontId="40" fillId="14" borderId="96" xfId="18" applyFont="1" applyFill="1" applyBorder="1" applyAlignment="1">
      <alignment horizontal="center" vertical="center"/>
    </xf>
    <xf numFmtId="0" fontId="40" fillId="14" borderId="61" xfId="18" applyFont="1" applyFill="1" applyBorder="1">
      <alignment vertical="center"/>
    </xf>
    <xf numFmtId="0" fontId="31" fillId="0" borderId="46" xfId="23" applyFont="1" applyFill="1" applyBorder="1" applyAlignment="1">
      <alignment horizontal="center" vertical="center"/>
    </xf>
    <xf numFmtId="0" fontId="35" fillId="0" borderId="37" xfId="18" applyFont="1" applyFill="1" applyBorder="1" applyAlignment="1">
      <alignment horizontal="center" vertical="center"/>
    </xf>
    <xf numFmtId="0" fontId="35" fillId="20" borderId="36" xfId="18" applyFont="1" applyFill="1" applyBorder="1" applyAlignment="1">
      <alignment horizontal="center" vertical="center"/>
    </xf>
    <xf numFmtId="0" fontId="35" fillId="20" borderId="129" xfId="18" applyFont="1" applyFill="1" applyBorder="1" applyAlignment="1">
      <alignment horizontal="center" vertical="center"/>
    </xf>
    <xf numFmtId="0" fontId="35" fillId="15" borderId="37" xfId="18" applyFont="1" applyFill="1" applyBorder="1" applyAlignment="1">
      <alignment horizontal="center" vertical="center"/>
    </xf>
    <xf numFmtId="38" fontId="35" fillId="17" borderId="90" xfId="18" applyNumberFormat="1" applyFont="1" applyFill="1" applyBorder="1" applyAlignment="1">
      <alignment horizontal="right" vertical="center"/>
    </xf>
    <xf numFmtId="38" fontId="35" fillId="17" borderId="102" xfId="18" applyNumberFormat="1" applyFont="1" applyFill="1" applyBorder="1" applyAlignment="1">
      <alignment horizontal="right" vertical="center"/>
    </xf>
    <xf numFmtId="38" fontId="35" fillId="17" borderId="90" xfId="1" applyFont="1" applyFill="1" applyBorder="1" applyAlignment="1">
      <alignment horizontal="right" vertical="center"/>
    </xf>
    <xf numFmtId="10" fontId="35" fillId="17" borderId="95" xfId="20" applyNumberFormat="1" applyFont="1" applyFill="1" applyBorder="1" applyAlignment="1">
      <alignment horizontal="center" vertical="center"/>
    </xf>
    <xf numFmtId="38" fontId="33" fillId="17" borderId="87" xfId="16" applyNumberFormat="1" applyFont="1" applyFill="1" applyBorder="1" applyAlignment="1">
      <alignment horizontal="right" vertical="center"/>
    </xf>
    <xf numFmtId="38" fontId="33" fillId="17" borderId="90" xfId="16" applyNumberFormat="1" applyFont="1" applyFill="1" applyBorder="1" applyAlignment="1">
      <alignment horizontal="right" vertical="center"/>
    </xf>
    <xf numFmtId="38" fontId="33" fillId="17" borderId="94" xfId="16" applyNumberFormat="1" applyFont="1" applyFill="1" applyBorder="1" applyAlignment="1">
      <alignment horizontal="right" vertical="center"/>
    </xf>
    <xf numFmtId="38" fontId="35" fillId="17" borderId="86" xfId="1" applyFont="1" applyFill="1" applyBorder="1" applyAlignment="1">
      <alignment horizontal="right" vertical="center"/>
    </xf>
    <xf numFmtId="0" fontId="35" fillId="17" borderId="86" xfId="18" applyFont="1" applyFill="1" applyBorder="1" applyAlignment="1">
      <alignment horizontal="right" vertical="center"/>
    </xf>
    <xf numFmtId="0" fontId="17" fillId="4" borderId="86" xfId="16" applyFont="1" applyFill="1" applyBorder="1" applyAlignment="1">
      <alignment horizontal="right" vertical="center"/>
    </xf>
    <xf numFmtId="0" fontId="17" fillId="4" borderId="136" xfId="16" applyFont="1" applyFill="1" applyBorder="1" applyAlignment="1">
      <alignment horizontal="right" vertical="center"/>
    </xf>
    <xf numFmtId="0" fontId="31" fillId="0" borderId="4" xfId="27" applyBorder="1" applyAlignment="1">
      <alignment horizontal="center" vertical="center" wrapText="1"/>
    </xf>
    <xf numFmtId="0" fontId="31" fillId="0" borderId="16" xfId="27" applyBorder="1" applyAlignment="1">
      <alignment horizontal="center" vertical="center" wrapText="1"/>
    </xf>
    <xf numFmtId="0" fontId="31" fillId="0" borderId="13" xfId="27" applyBorder="1" applyAlignment="1">
      <alignment horizontal="center" vertical="center" wrapText="1"/>
    </xf>
    <xf numFmtId="0" fontId="31" fillId="17" borderId="4" xfId="27" applyFill="1" applyBorder="1" applyAlignment="1">
      <alignment horizontal="center" vertical="center" wrapText="1"/>
    </xf>
    <xf numFmtId="0" fontId="31" fillId="17" borderId="13" xfId="27" applyFill="1" applyBorder="1" applyAlignment="1">
      <alignment horizontal="center" vertical="center" wrapText="1"/>
    </xf>
    <xf numFmtId="0" fontId="33" fillId="0" borderId="4" xfId="27" applyFont="1" applyBorder="1" applyAlignment="1">
      <alignment horizontal="left" vertical="center" wrapText="1"/>
    </xf>
    <xf numFmtId="0" fontId="33" fillId="0" borderId="13" xfId="27" applyFont="1" applyBorder="1" applyAlignment="1">
      <alignment horizontal="left" vertical="center" wrapText="1"/>
    </xf>
    <xf numFmtId="0" fontId="5" fillId="20" borderId="36" xfId="10" applyFont="1" applyFill="1" applyBorder="1" applyAlignment="1">
      <alignment horizontal="center" vertical="center"/>
    </xf>
    <xf numFmtId="0" fontId="5" fillId="15" borderId="16" xfId="10" applyFont="1" applyFill="1" applyBorder="1" applyAlignment="1">
      <alignment horizontal="center" vertical="center"/>
    </xf>
    <xf numFmtId="38" fontId="9" fillId="20" borderId="36" xfId="8" applyFont="1" applyFill="1" applyBorder="1" applyAlignment="1">
      <alignment horizontal="center" vertical="center"/>
    </xf>
    <xf numFmtId="38" fontId="10" fillId="20" borderId="36" xfId="8" applyFont="1" applyFill="1" applyBorder="1" applyAlignment="1">
      <alignment horizontal="center" vertical="center"/>
    </xf>
    <xf numFmtId="38" fontId="10" fillId="15" borderId="37" xfId="8" applyFont="1" applyFill="1" applyBorder="1" applyAlignment="1">
      <alignment horizontal="center" vertical="center"/>
    </xf>
    <xf numFmtId="38" fontId="9" fillId="15" borderId="36" xfId="8" applyFont="1" applyFill="1" applyBorder="1" applyAlignment="1">
      <alignment horizontal="center" vertical="center"/>
    </xf>
    <xf numFmtId="38" fontId="9" fillId="15" borderId="37" xfId="8" applyFont="1" applyFill="1" applyBorder="1" applyAlignment="1">
      <alignment horizontal="center" vertical="center"/>
    </xf>
    <xf numFmtId="0" fontId="72" fillId="0" borderId="0" xfId="26" applyFont="1">
      <alignment vertical="center"/>
    </xf>
    <xf numFmtId="0" fontId="6" fillId="0" borderId="0" xfId="12" applyFont="1">
      <alignment vertical="center"/>
    </xf>
    <xf numFmtId="0" fontId="33" fillId="0" borderId="8" xfId="27" applyFont="1" applyBorder="1" applyAlignment="1">
      <alignment vertical="center" wrapText="1"/>
    </xf>
    <xf numFmtId="0" fontId="31" fillId="0" borderId="8" xfId="27" applyBorder="1" applyAlignment="1" applyProtection="1">
      <alignment horizontal="center" vertical="center"/>
      <protection locked="0"/>
    </xf>
    <xf numFmtId="0" fontId="31" fillId="0" borderId="29" xfId="27" applyBorder="1" applyAlignment="1" applyProtection="1">
      <alignment horizontal="center" vertical="center"/>
      <protection locked="0"/>
    </xf>
    <xf numFmtId="0" fontId="31" fillId="3" borderId="11" xfId="27" applyFill="1" applyBorder="1" applyAlignment="1">
      <alignment horizontal="center" vertical="center"/>
    </xf>
    <xf numFmtId="0" fontId="31" fillId="3" borderId="30" xfId="27" applyFill="1" applyBorder="1" applyAlignment="1">
      <alignment horizontal="center" vertical="center"/>
    </xf>
    <xf numFmtId="38" fontId="31" fillId="0" borderId="6" xfId="33" applyFont="1" applyFill="1" applyBorder="1" applyAlignment="1" applyProtection="1">
      <alignment horizontal="center" vertical="center"/>
      <protection locked="0"/>
    </xf>
    <xf numFmtId="38" fontId="31" fillId="0" borderId="8" xfId="28" applyFont="1" applyFill="1" applyBorder="1" applyAlignment="1" applyProtection="1">
      <alignment horizontal="center" vertical="center"/>
      <protection locked="0"/>
    </xf>
    <xf numFmtId="38" fontId="31" fillId="0" borderId="29" xfId="28" applyFont="1" applyFill="1" applyBorder="1" applyAlignment="1" applyProtection="1">
      <alignment horizontal="center" vertical="center"/>
      <protection locked="0"/>
    </xf>
    <xf numFmtId="38" fontId="31" fillId="0" borderId="28" xfId="33" applyFont="1" applyFill="1" applyBorder="1" applyAlignment="1" applyProtection="1">
      <alignment horizontal="center" vertical="center"/>
      <protection locked="0"/>
    </xf>
    <xf numFmtId="38" fontId="31" fillId="0" borderId="28" xfId="33" applyFont="1" applyFill="1" applyBorder="1" applyAlignment="1" applyProtection="1">
      <alignment horizontal="left" vertical="center"/>
      <protection locked="0"/>
    </xf>
    <xf numFmtId="38" fontId="31" fillId="0" borderId="17" xfId="33" applyFont="1" applyFill="1" applyBorder="1" applyAlignment="1" applyProtection="1">
      <alignment horizontal="center" vertical="center"/>
      <protection locked="0"/>
    </xf>
    <xf numFmtId="38" fontId="31" fillId="0" borderId="11" xfId="33" applyFont="1" applyFill="1" applyBorder="1" applyAlignment="1" applyProtection="1">
      <alignment horizontal="center" vertical="center"/>
      <protection locked="0"/>
    </xf>
    <xf numFmtId="38" fontId="31" fillId="0" borderId="11" xfId="33" applyFont="1" applyFill="1" applyBorder="1" applyAlignment="1" applyProtection="1">
      <alignment horizontal="center"/>
      <protection locked="0"/>
    </xf>
    <xf numFmtId="38" fontId="31" fillId="0" borderId="30" xfId="33" applyFont="1" applyFill="1" applyBorder="1" applyAlignment="1" applyProtection="1">
      <alignment horizontal="center" vertical="center"/>
      <protection locked="0"/>
    </xf>
    <xf numFmtId="38" fontId="31" fillId="0" borderId="30" xfId="33" applyFont="1" applyFill="1" applyBorder="1" applyAlignment="1" applyProtection="1">
      <alignment horizontal="left" vertical="center"/>
      <protection locked="0"/>
    </xf>
    <xf numFmtId="38" fontId="31" fillId="0" borderId="32" xfId="33" applyFont="1" applyFill="1" applyBorder="1" applyAlignment="1">
      <alignment horizontal="left" vertical="center"/>
    </xf>
    <xf numFmtId="0" fontId="33" fillId="0" borderId="13" xfId="27" applyFont="1" applyBorder="1" applyAlignment="1">
      <alignment vertical="center" wrapText="1"/>
    </xf>
    <xf numFmtId="40" fontId="31" fillId="17" borderId="11" xfId="28" applyNumberFormat="1" applyFont="1" applyFill="1" applyBorder="1" applyAlignment="1">
      <alignment horizontal="center" vertical="center"/>
    </xf>
    <xf numFmtId="40" fontId="31" fillId="17" borderId="30" xfId="28" applyNumberFormat="1" applyFont="1" applyFill="1" applyBorder="1" applyAlignment="1">
      <alignment horizontal="center" vertical="center"/>
    </xf>
    <xf numFmtId="38" fontId="61" fillId="0" borderId="0" xfId="33" applyFont="1" applyFill="1" applyAlignment="1">
      <alignment vertical="center"/>
    </xf>
    <xf numFmtId="40" fontId="31" fillId="17" borderId="6" xfId="28" applyNumberFormat="1" applyFont="1" applyFill="1" applyBorder="1" applyAlignment="1">
      <alignment horizontal="center" vertical="center"/>
    </xf>
    <xf numFmtId="40" fontId="31" fillId="17" borderId="28" xfId="28" applyNumberFormat="1" applyFont="1" applyFill="1" applyBorder="1" applyAlignment="1">
      <alignment horizontal="center" vertical="center"/>
    </xf>
    <xf numFmtId="0" fontId="33" fillId="0" borderId="16" xfId="27" applyFont="1" applyBorder="1" applyAlignment="1">
      <alignment horizontal="center" vertical="center" wrapText="1"/>
    </xf>
    <xf numFmtId="166" fontId="31" fillId="0" borderId="16" xfId="28" applyNumberFormat="1" applyFont="1" applyFill="1" applyBorder="1" applyAlignment="1">
      <alignment horizontal="center" vertical="center"/>
    </xf>
    <xf numFmtId="166" fontId="31" fillId="0" borderId="31" xfId="28" applyNumberFormat="1" applyFont="1" applyFill="1" applyBorder="1" applyAlignment="1">
      <alignment horizontal="center" vertical="center"/>
    </xf>
    <xf numFmtId="38" fontId="62" fillId="0" borderId="0" xfId="33" applyFont="1" applyFill="1" applyAlignment="1">
      <alignment vertical="center"/>
    </xf>
    <xf numFmtId="9" fontId="31" fillId="3" borderId="11" xfId="34" applyFont="1" applyFill="1" applyBorder="1" applyAlignment="1">
      <alignment horizontal="center" vertical="center"/>
    </xf>
    <xf numFmtId="9" fontId="31" fillId="3" borderId="30" xfId="34" applyFont="1" applyFill="1" applyBorder="1" applyAlignment="1">
      <alignment horizontal="center" vertical="center"/>
    </xf>
    <xf numFmtId="9" fontId="31" fillId="0" borderId="30" xfId="34" applyFont="1" applyFill="1" applyBorder="1" applyAlignment="1">
      <alignment horizontal="left" vertical="center"/>
    </xf>
    <xf numFmtId="0" fontId="31" fillId="17" borderId="6" xfId="27" applyFill="1" applyBorder="1" applyAlignment="1">
      <alignment horizontal="center" vertical="center" wrapText="1"/>
    </xf>
    <xf numFmtId="1" fontId="31" fillId="17" borderId="6" xfId="34" applyNumberFormat="1" applyFont="1" applyFill="1" applyBorder="1" applyAlignment="1">
      <alignment horizontal="center" vertical="center"/>
    </xf>
    <xf numFmtId="1" fontId="31" fillId="17" borderId="28" xfId="34" applyNumberFormat="1" applyFont="1" applyFill="1" applyBorder="1" applyAlignment="1">
      <alignment horizontal="center" vertical="center"/>
    </xf>
    <xf numFmtId="1" fontId="31" fillId="0" borderId="28" xfId="34" applyNumberFormat="1" applyFont="1" applyFill="1" applyBorder="1" applyAlignment="1">
      <alignment horizontal="left" vertical="center"/>
    </xf>
    <xf numFmtId="1" fontId="31" fillId="17" borderId="13" xfId="34" applyNumberFormat="1" applyFont="1" applyFill="1" applyBorder="1" applyAlignment="1">
      <alignment horizontal="center" vertical="center"/>
    </xf>
    <xf numFmtId="1" fontId="31" fillId="17" borderId="33" xfId="34" applyNumberFormat="1" applyFont="1" applyFill="1" applyBorder="1" applyAlignment="1">
      <alignment horizontal="center" vertical="center"/>
    </xf>
    <xf numFmtId="1" fontId="31" fillId="0" borderId="33" xfId="34" applyNumberFormat="1" applyFont="1" applyFill="1" applyBorder="1" applyAlignment="1">
      <alignment horizontal="left" vertical="center"/>
    </xf>
    <xf numFmtId="0" fontId="31" fillId="3" borderId="8" xfId="27" applyFill="1" applyBorder="1" applyAlignment="1">
      <alignment horizontal="center" vertical="center" wrapText="1"/>
    </xf>
    <xf numFmtId="38" fontId="31" fillId="3" borderId="8" xfId="28" applyFont="1" applyFill="1" applyBorder="1" applyAlignment="1">
      <alignment horizontal="center" vertical="center"/>
    </xf>
    <xf numFmtId="0" fontId="31" fillId="0" borderId="4" xfId="26" applyBorder="1" applyAlignment="1">
      <alignment horizontal="center" vertical="center" wrapText="1"/>
    </xf>
    <xf numFmtId="0" fontId="31" fillId="0" borderId="16" xfId="26" applyBorder="1" applyAlignment="1">
      <alignment horizontal="center" vertical="center" wrapText="1"/>
    </xf>
    <xf numFmtId="38" fontId="31" fillId="3" borderId="8" xfId="28" applyFont="1" applyFill="1" applyBorder="1" applyAlignment="1">
      <alignment horizontal="center" vertical="center" wrapText="1"/>
    </xf>
    <xf numFmtId="0" fontId="31" fillId="0" borderId="21" xfId="26" applyBorder="1" applyAlignment="1">
      <alignment horizontal="center" vertical="center" wrapText="1"/>
    </xf>
    <xf numFmtId="0" fontId="33" fillId="0" borderId="11" xfId="26" applyFont="1" applyBorder="1" applyAlignment="1">
      <alignment horizontal="left" vertical="center" wrapText="1"/>
    </xf>
    <xf numFmtId="38" fontId="31" fillId="17" borderId="11" xfId="28" applyFont="1" applyFill="1" applyBorder="1" applyAlignment="1">
      <alignment horizontal="center" vertical="center" wrapText="1"/>
    </xf>
    <xf numFmtId="38" fontId="31" fillId="17" borderId="30" xfId="28" applyFont="1" applyFill="1" applyBorder="1" applyAlignment="1">
      <alignment horizontal="center" vertical="center" wrapText="1"/>
    </xf>
    <xf numFmtId="0" fontId="31" fillId="17" borderId="8" xfId="27" applyFill="1" applyBorder="1" applyAlignment="1">
      <alignment horizontal="center" vertical="center" wrapText="1"/>
    </xf>
    <xf numFmtId="167" fontId="31" fillId="17" borderId="6" xfId="28" applyNumberFormat="1" applyFont="1" applyFill="1" applyBorder="1" applyAlignment="1">
      <alignment horizontal="center" vertical="center"/>
    </xf>
    <xf numFmtId="167" fontId="31" fillId="17" borderId="29" xfId="28" applyNumberFormat="1" applyFont="1" applyFill="1" applyBorder="1" applyAlignment="1">
      <alignment horizontal="center" vertical="center"/>
    </xf>
    <xf numFmtId="167" fontId="31" fillId="17" borderId="11" xfId="28" applyNumberFormat="1" applyFont="1" applyFill="1" applyBorder="1" applyAlignment="1">
      <alignment horizontal="center" vertical="center"/>
    </xf>
    <xf numFmtId="167" fontId="31" fillId="17" borderId="30" xfId="28" applyNumberFormat="1" applyFont="1" applyFill="1" applyBorder="1" applyAlignment="1">
      <alignment horizontal="center" vertical="center"/>
    </xf>
    <xf numFmtId="40" fontId="31" fillId="17" borderId="17" xfId="28" applyNumberFormat="1" applyFont="1" applyFill="1" applyBorder="1" applyAlignment="1">
      <alignment horizontal="center" vertical="center"/>
    </xf>
    <xf numFmtId="167" fontId="31" fillId="17" borderId="8" xfId="28" applyNumberFormat="1" applyFont="1" applyFill="1" applyBorder="1" applyAlignment="1">
      <alignment horizontal="center" vertical="center"/>
    </xf>
    <xf numFmtId="0" fontId="31" fillId="3" borderId="6" xfId="27" applyFill="1" applyBorder="1" applyAlignment="1">
      <alignment horizontal="center" vertical="center" wrapText="1"/>
    </xf>
    <xf numFmtId="38" fontId="31" fillId="3" borderId="6" xfId="28" applyFont="1" applyFill="1" applyBorder="1" applyAlignment="1">
      <alignment horizontal="center" vertical="center"/>
    </xf>
    <xf numFmtId="0" fontId="33" fillId="0" borderId="16" xfId="26" applyFont="1" applyBorder="1" applyAlignment="1">
      <alignment vertical="center" wrapText="1"/>
    </xf>
    <xf numFmtId="0" fontId="33" fillId="0" borderId="15" xfId="27" applyFont="1" applyBorder="1" applyAlignment="1">
      <alignment vertical="center" wrapText="1"/>
    </xf>
    <xf numFmtId="0" fontId="31" fillId="17" borderId="15" xfId="27" applyFill="1" applyBorder="1" applyAlignment="1">
      <alignment horizontal="center" vertical="center" wrapText="1"/>
    </xf>
    <xf numFmtId="38" fontId="31" fillId="17" borderId="15" xfId="28" applyFont="1" applyFill="1" applyBorder="1" applyAlignment="1">
      <alignment horizontal="center" vertical="center"/>
    </xf>
    <xf numFmtId="38" fontId="31" fillId="17" borderId="35" xfId="28" applyFont="1" applyFill="1" applyBorder="1" applyAlignment="1">
      <alignment horizontal="center" vertical="center"/>
    </xf>
    <xf numFmtId="0" fontId="33" fillId="0" borderId="8" xfId="26" applyFont="1" applyBorder="1" applyAlignment="1">
      <alignment horizontal="left" vertical="center" wrapText="1"/>
    </xf>
    <xf numFmtId="38" fontId="31" fillId="17" borderId="8" xfId="28" applyFont="1" applyFill="1" applyBorder="1" applyAlignment="1">
      <alignment horizontal="center" vertical="center" wrapText="1"/>
    </xf>
    <xf numFmtId="38" fontId="31" fillId="17" borderId="29" xfId="28" applyFont="1" applyFill="1" applyBorder="1" applyAlignment="1">
      <alignment horizontal="center" vertical="center" wrapText="1"/>
    </xf>
    <xf numFmtId="9" fontId="31" fillId="17" borderId="8" xfId="35" applyFont="1" applyFill="1" applyBorder="1" applyAlignment="1">
      <alignment horizontal="center" vertical="center"/>
    </xf>
    <xf numFmtId="9" fontId="31" fillId="0" borderId="71" xfId="35" applyFont="1" applyFill="1" applyBorder="1" applyAlignment="1">
      <alignment horizontal="left" vertical="center"/>
    </xf>
    <xf numFmtId="38" fontId="33" fillId="0" borderId="92" xfId="19" applyFont="1" applyFill="1" applyBorder="1" applyAlignment="1">
      <alignment vertical="center"/>
    </xf>
    <xf numFmtId="0" fontId="5" fillId="0" borderId="137" xfId="9" applyFont="1" applyBorder="1" applyAlignment="1">
      <alignment vertical="center"/>
    </xf>
    <xf numFmtId="171" fontId="31" fillId="17" borderId="46" xfId="31" applyNumberFormat="1" applyFont="1" applyFill="1" applyBorder="1" applyAlignment="1">
      <alignment horizontal="center" vertical="center"/>
    </xf>
    <xf numFmtId="171" fontId="31" fillId="0" borderId="59" xfId="31" applyNumberFormat="1" applyFont="1" applyBorder="1" applyAlignment="1">
      <alignment horizontal="center" vertical="center"/>
    </xf>
    <xf numFmtId="171" fontId="31" fillId="13" borderId="59" xfId="31" applyNumberFormat="1" applyFont="1" applyFill="1" applyBorder="1" applyAlignment="1">
      <alignment horizontal="center" vertical="center"/>
    </xf>
    <xf numFmtId="0" fontId="31" fillId="0" borderId="97" xfId="23" applyFont="1" applyFill="1" applyBorder="1" applyAlignment="1">
      <alignment horizontal="center" vertical="center"/>
    </xf>
    <xf numFmtId="171" fontId="35" fillId="0" borderId="92" xfId="31" applyNumberFormat="1" applyFont="1" applyFill="1" applyBorder="1" applyAlignment="1">
      <alignment vertical="center"/>
    </xf>
    <xf numFmtId="38" fontId="31" fillId="0" borderId="0" xfId="23" applyNumberFormat="1" applyAlignment="1">
      <alignment horizontal="center" vertical="center"/>
    </xf>
    <xf numFmtId="171" fontId="31" fillId="0" borderId="74" xfId="31" applyNumberFormat="1" applyFont="1" applyBorder="1" applyAlignment="1">
      <alignment horizontal="center" vertical="center"/>
    </xf>
    <xf numFmtId="0" fontId="31" fillId="0" borderId="115" xfId="23" applyBorder="1" applyAlignment="1">
      <alignment horizontal="center" vertical="center"/>
    </xf>
    <xf numFmtId="0" fontId="31" fillId="17" borderId="16" xfId="27" applyFill="1" applyBorder="1" applyAlignment="1">
      <alignment horizontal="center" vertical="center" wrapText="1"/>
    </xf>
    <xf numFmtId="38" fontId="31" fillId="0" borderId="46" xfId="19" applyFont="1" applyFill="1" applyBorder="1" applyAlignment="1">
      <alignment horizontal="center" vertical="center"/>
    </xf>
    <xf numFmtId="171" fontId="35" fillId="0" borderId="81" xfId="31" applyNumberFormat="1" applyFont="1" applyFill="1" applyBorder="1" applyAlignment="1">
      <alignment horizontal="center" vertical="center"/>
    </xf>
    <xf numFmtId="171" fontId="35" fillId="0" borderId="46" xfId="31" applyNumberFormat="1" applyFont="1" applyFill="1" applyBorder="1" applyAlignment="1">
      <alignment horizontal="center" vertical="center"/>
    </xf>
    <xf numFmtId="171" fontId="35" fillId="0" borderId="91" xfId="31" applyNumberFormat="1" applyFont="1" applyFill="1" applyBorder="1" applyAlignment="1">
      <alignment vertical="center"/>
    </xf>
    <xf numFmtId="171" fontId="35" fillId="0" borderId="111" xfId="31" applyNumberFormat="1" applyFont="1" applyFill="1" applyBorder="1" applyAlignment="1">
      <alignment vertical="center"/>
    </xf>
    <xf numFmtId="171" fontId="35" fillId="0" borderId="106" xfId="31" applyNumberFormat="1" applyFont="1" applyFill="1" applyBorder="1" applyAlignment="1">
      <alignment vertical="center"/>
    </xf>
    <xf numFmtId="171" fontId="35" fillId="0" borderId="103" xfId="31" applyNumberFormat="1" applyFont="1" applyFill="1" applyBorder="1" applyAlignment="1">
      <alignment vertical="center"/>
    </xf>
    <xf numFmtId="171" fontId="33" fillId="0" borderId="94" xfId="31" applyNumberFormat="1" applyFont="1" applyFill="1" applyBorder="1" applyAlignment="1">
      <alignment vertical="center"/>
    </xf>
    <xf numFmtId="171" fontId="33" fillId="0" borderId="94" xfId="31" applyNumberFormat="1" applyFont="1" applyFill="1" applyBorder="1" applyAlignment="1">
      <alignment horizontal="center" vertical="center"/>
    </xf>
    <xf numFmtId="171" fontId="33" fillId="0" borderId="110" xfId="31" applyNumberFormat="1" applyFont="1" applyFill="1" applyBorder="1" applyAlignment="1">
      <alignment horizontal="center" vertical="center"/>
    </xf>
    <xf numFmtId="171" fontId="33" fillId="0" borderId="46" xfId="31" applyNumberFormat="1" applyFont="1" applyFill="1" applyBorder="1" applyAlignment="1">
      <alignment vertical="center"/>
    </xf>
    <xf numFmtId="171" fontId="33" fillId="0" borderId="46" xfId="31" applyNumberFormat="1" applyFont="1" applyFill="1" applyBorder="1" applyAlignment="1">
      <alignment horizontal="center" vertical="center"/>
    </xf>
    <xf numFmtId="171" fontId="33" fillId="0" borderId="103" xfId="31" applyNumberFormat="1" applyFont="1" applyFill="1" applyBorder="1" applyAlignment="1">
      <alignment vertical="center"/>
    </xf>
    <xf numFmtId="171" fontId="33" fillId="0" borderId="92" xfId="31" applyNumberFormat="1" applyFont="1" applyFill="1" applyBorder="1" applyAlignment="1">
      <alignment vertical="center"/>
    </xf>
    <xf numFmtId="171" fontId="33" fillId="0" borderId="92" xfId="31" applyNumberFormat="1" applyFont="1" applyFill="1" applyBorder="1" applyAlignment="1">
      <alignment horizontal="center" vertical="center"/>
    </xf>
    <xf numFmtId="171" fontId="33" fillId="0" borderId="106" xfId="31" applyNumberFormat="1" applyFont="1" applyFill="1" applyBorder="1" applyAlignment="1">
      <alignment vertical="center"/>
    </xf>
    <xf numFmtId="166" fontId="31" fillId="17" borderId="16" xfId="28" applyNumberFormat="1" applyFont="1" applyFill="1" applyBorder="1" applyAlignment="1">
      <alignment horizontal="center" vertical="center"/>
    </xf>
    <xf numFmtId="166" fontId="31" fillId="17" borderId="31" xfId="28" applyNumberFormat="1" applyFont="1" applyFill="1" applyBorder="1" applyAlignment="1">
      <alignment horizontal="center" vertical="center"/>
    </xf>
    <xf numFmtId="0" fontId="31" fillId="0" borderId="11" xfId="27" applyFill="1" applyBorder="1" applyAlignment="1">
      <alignment horizontal="center" vertical="center" wrapText="1"/>
    </xf>
    <xf numFmtId="0" fontId="33" fillId="0" borderId="4" xfId="27" applyFont="1" applyFill="1" applyBorder="1" applyAlignment="1">
      <alignment vertical="center" wrapText="1"/>
    </xf>
    <xf numFmtId="0" fontId="33" fillId="0" borderId="16" xfId="27" applyFont="1" applyFill="1" applyBorder="1" applyAlignment="1">
      <alignment vertical="center" wrapText="1"/>
    </xf>
    <xf numFmtId="0" fontId="31" fillId="0" borderId="13" xfId="27" applyFill="1" applyBorder="1" applyAlignment="1">
      <alignment horizontal="center" vertical="center" wrapText="1"/>
    </xf>
    <xf numFmtId="0" fontId="31" fillId="0" borderId="11" xfId="27" applyFill="1" applyBorder="1" applyAlignment="1">
      <alignment horizontal="left" vertical="center" wrapText="1"/>
    </xf>
    <xf numFmtId="0" fontId="31" fillId="0" borderId="11" xfId="27" applyFill="1" applyBorder="1" applyAlignment="1" applyProtection="1">
      <alignment horizontal="center" vertical="center"/>
    </xf>
    <xf numFmtId="0" fontId="31" fillId="0" borderId="16" xfId="27" applyFill="1" applyBorder="1" applyAlignment="1">
      <alignment horizontal="center" vertical="center" wrapText="1"/>
    </xf>
    <xf numFmtId="0" fontId="33" fillId="0" borderId="16" xfId="27" applyFont="1" applyFill="1" applyBorder="1" applyAlignment="1">
      <alignment horizontal="left" vertical="center" wrapText="1"/>
    </xf>
    <xf numFmtId="0" fontId="72" fillId="0" borderId="0" xfId="26" applyFont="1" applyFill="1" applyAlignment="1">
      <alignment horizontal="left" vertical="center"/>
    </xf>
    <xf numFmtId="0" fontId="94" fillId="20" borderId="0" xfId="26" applyFont="1" applyFill="1" applyProtection="1">
      <alignment vertical="center"/>
      <protection locked="0"/>
    </xf>
    <xf numFmtId="0" fontId="31" fillId="0" borderId="0" xfId="27" applyBorder="1" applyAlignment="1">
      <alignment horizontal="center" vertical="center"/>
    </xf>
    <xf numFmtId="0" fontId="59" fillId="0" borderId="0" xfId="26" applyFont="1" applyProtection="1">
      <alignment vertical="center"/>
      <protection locked="0"/>
    </xf>
    <xf numFmtId="0" fontId="31" fillId="0" borderId="0" xfId="26" applyAlignment="1" applyProtection="1">
      <alignment horizontal="right" vertical="center"/>
      <protection locked="0"/>
    </xf>
    <xf numFmtId="0" fontId="45" fillId="21" borderId="141" xfId="27" applyFont="1" applyFill="1" applyBorder="1" applyAlignment="1">
      <alignment horizontal="center" vertical="center"/>
    </xf>
    <xf numFmtId="10" fontId="51" fillId="21" borderId="142" xfId="35" applyNumberFormat="1" applyFont="1" applyFill="1" applyBorder="1" applyAlignment="1" applyProtection="1">
      <alignment horizontal="center" vertical="center"/>
    </xf>
    <xf numFmtId="0" fontId="31" fillId="0" borderId="0" xfId="27" applyAlignment="1" applyProtection="1">
      <alignment vertical="center" wrapText="1"/>
      <protection locked="0"/>
    </xf>
    <xf numFmtId="0" fontId="48" fillId="0" borderId="0" xfId="27" applyFont="1" applyAlignment="1">
      <alignment vertical="center" wrapText="1"/>
    </xf>
    <xf numFmtId="0" fontId="94" fillId="0" borderId="0" xfId="26" applyFont="1" applyFill="1" applyProtection="1">
      <alignment vertical="center"/>
      <protection locked="0"/>
    </xf>
    <xf numFmtId="0" fontId="31" fillId="22" borderId="28" xfId="27" applyFill="1" applyBorder="1" applyAlignment="1">
      <alignment horizontal="center" vertical="center"/>
    </xf>
    <xf numFmtId="0" fontId="31" fillId="22" borderId="29" xfId="27" applyFill="1" applyBorder="1" applyAlignment="1">
      <alignment horizontal="center" vertical="center"/>
    </xf>
    <xf numFmtId="0" fontId="31" fillId="22" borderId="30" xfId="27" applyFill="1" applyBorder="1" applyAlignment="1">
      <alignment horizontal="center" vertical="center"/>
    </xf>
    <xf numFmtId="0" fontId="31" fillId="22" borderId="32" xfId="27" applyFill="1" applyBorder="1" applyAlignment="1">
      <alignment horizontal="center" vertical="center"/>
    </xf>
    <xf numFmtId="38" fontId="31" fillId="18" borderId="29" xfId="28" applyFont="1" applyFill="1" applyBorder="1" applyAlignment="1" applyProtection="1">
      <alignment horizontal="center" vertical="center"/>
    </xf>
    <xf numFmtId="38" fontId="31" fillId="22" borderId="30" xfId="28" applyFont="1" applyFill="1" applyBorder="1" applyAlignment="1" applyProtection="1">
      <alignment horizontal="center" vertical="center"/>
    </xf>
    <xf numFmtId="166" fontId="31" fillId="22" borderId="31" xfId="28" applyNumberFormat="1" applyFont="1" applyFill="1" applyBorder="1" applyAlignment="1" applyProtection="1">
      <alignment horizontal="center" vertical="center"/>
    </xf>
    <xf numFmtId="38" fontId="31" fillId="22" borderId="28" xfId="21" applyFont="1" applyFill="1" applyBorder="1" applyAlignment="1" applyProtection="1">
      <alignment horizontal="center" vertical="center"/>
    </xf>
    <xf numFmtId="38" fontId="31" fillId="21" borderId="30" xfId="21" applyFont="1" applyFill="1" applyBorder="1" applyAlignment="1" applyProtection="1">
      <alignment horizontal="center" vertical="center"/>
    </xf>
    <xf numFmtId="38" fontId="31" fillId="22" borderId="30" xfId="21" applyFont="1" applyFill="1" applyBorder="1" applyAlignment="1" applyProtection="1">
      <alignment horizontal="center" vertical="center"/>
    </xf>
    <xf numFmtId="38" fontId="31" fillId="21" borderId="32" xfId="21" applyFont="1" applyFill="1" applyBorder="1" applyAlignment="1" applyProtection="1">
      <alignment horizontal="center" vertical="center"/>
    </xf>
    <xf numFmtId="40" fontId="48" fillId="21" borderId="32" xfId="21" applyNumberFormat="1" applyFont="1" applyFill="1" applyBorder="1" applyAlignment="1" applyProtection="1">
      <alignment horizontal="center" vertical="center"/>
    </xf>
    <xf numFmtId="40" fontId="31" fillId="22" borderId="30" xfId="28" applyNumberFormat="1" applyFont="1" applyFill="1" applyBorder="1" applyAlignment="1" applyProtection="1">
      <alignment horizontal="center" vertical="center"/>
    </xf>
    <xf numFmtId="40" fontId="45" fillId="18" borderId="28" xfId="28" applyNumberFormat="1" applyFont="1" applyFill="1" applyBorder="1" applyAlignment="1" applyProtection="1">
      <alignment horizontal="center" vertical="center"/>
    </xf>
    <xf numFmtId="38" fontId="31" fillId="22" borderId="27" xfId="28" applyFont="1" applyFill="1" applyBorder="1" applyAlignment="1" applyProtection="1">
      <alignment horizontal="center" vertical="center"/>
    </xf>
    <xf numFmtId="0" fontId="31" fillId="22" borderId="34" xfId="28" applyNumberFormat="1" applyFont="1" applyFill="1" applyBorder="1" applyAlignment="1" applyProtection="1">
      <alignment horizontal="center" vertical="center"/>
    </xf>
    <xf numFmtId="38" fontId="31" fillId="22" borderId="34" xfId="28" applyFont="1" applyFill="1" applyBorder="1" applyAlignment="1" applyProtection="1">
      <alignment horizontal="center" vertical="center"/>
    </xf>
    <xf numFmtId="9" fontId="31" fillId="22" borderId="30" xfId="20" applyFont="1" applyFill="1" applyBorder="1" applyAlignment="1" applyProtection="1">
      <alignment horizontal="center" vertical="center"/>
    </xf>
    <xf numFmtId="1" fontId="31" fillId="22" borderId="28" xfId="20" applyNumberFormat="1" applyFont="1" applyFill="1" applyBorder="1" applyAlignment="1" applyProtection="1">
      <alignment horizontal="center" vertical="center"/>
    </xf>
    <xf numFmtId="1" fontId="31" fillId="22" borderId="33" xfId="20" applyNumberFormat="1" applyFont="1" applyFill="1" applyBorder="1" applyAlignment="1" applyProtection="1">
      <alignment horizontal="center" vertical="center"/>
    </xf>
    <xf numFmtId="38" fontId="31" fillId="22" borderId="29" xfId="28" applyFont="1" applyFill="1" applyBorder="1" applyAlignment="1" applyProtection="1">
      <alignment horizontal="center" vertical="center"/>
    </xf>
    <xf numFmtId="38" fontId="31" fillId="22" borderId="29" xfId="28" applyFont="1" applyFill="1" applyBorder="1" applyAlignment="1" applyProtection="1">
      <alignment horizontal="center" vertical="center" wrapText="1"/>
    </xf>
    <xf numFmtId="38" fontId="31" fillId="22" borderId="30" xfId="28" applyFont="1" applyFill="1" applyBorder="1" applyAlignment="1" applyProtection="1">
      <alignment horizontal="center" vertical="center" wrapText="1"/>
    </xf>
    <xf numFmtId="167" fontId="31" fillId="22" borderId="29" xfId="28" applyNumberFormat="1" applyFont="1" applyFill="1" applyBorder="1" applyAlignment="1" applyProtection="1">
      <alignment horizontal="center" vertical="center"/>
    </xf>
    <xf numFmtId="167" fontId="31" fillId="22" borderId="30" xfId="28" applyNumberFormat="1" applyFont="1" applyFill="1" applyBorder="1" applyAlignment="1" applyProtection="1">
      <alignment horizontal="center" vertical="center"/>
    </xf>
    <xf numFmtId="40" fontId="31" fillId="22" borderId="28" xfId="28" applyNumberFormat="1" applyFont="1" applyFill="1" applyBorder="1" applyAlignment="1" applyProtection="1">
      <alignment horizontal="center" vertical="center"/>
    </xf>
    <xf numFmtId="38" fontId="31" fillId="22" borderId="35" xfId="28" applyFont="1" applyFill="1" applyBorder="1" applyAlignment="1" applyProtection="1">
      <alignment horizontal="center" vertical="center"/>
    </xf>
    <xf numFmtId="38" fontId="31" fillId="22" borderId="28" xfId="28" applyFont="1" applyFill="1" applyBorder="1" applyAlignment="1" applyProtection="1">
      <alignment horizontal="center" vertical="center"/>
    </xf>
    <xf numFmtId="38" fontId="31" fillId="22" borderId="138" xfId="28" applyFont="1" applyFill="1" applyBorder="1" applyAlignment="1" applyProtection="1">
      <alignment horizontal="center" vertical="center"/>
    </xf>
    <xf numFmtId="9" fontId="31" fillId="22" borderId="25" xfId="35" applyFont="1" applyFill="1" applyBorder="1" applyAlignment="1" applyProtection="1">
      <alignment horizontal="center" vertical="center"/>
    </xf>
    <xf numFmtId="38" fontId="31" fillId="22" borderId="17" xfId="28" applyFont="1" applyFill="1" applyBorder="1" applyAlignment="1" applyProtection="1">
      <alignment horizontal="center" vertical="center"/>
    </xf>
    <xf numFmtId="0" fontId="33" fillId="0" borderId="11" xfId="27" applyFont="1" applyFill="1" applyBorder="1" applyAlignment="1">
      <alignment horizontal="left" vertical="center" wrapText="1"/>
    </xf>
    <xf numFmtId="0" fontId="56" fillId="21" borderId="13" xfId="27" applyFont="1" applyFill="1" applyBorder="1" applyAlignment="1">
      <alignment horizontal="left" vertical="center" wrapText="1"/>
    </xf>
    <xf numFmtId="0" fontId="31" fillId="21" borderId="11" xfId="27" applyFill="1" applyBorder="1" applyAlignment="1">
      <alignment horizontal="center" vertical="center" wrapText="1"/>
    </xf>
    <xf numFmtId="0" fontId="97" fillId="21" borderId="13" xfId="27" applyFont="1" applyFill="1" applyBorder="1" applyAlignment="1">
      <alignment horizontal="left" vertical="center" wrapText="1"/>
    </xf>
    <xf numFmtId="0" fontId="98" fillId="18" borderId="19" xfId="27" applyFont="1" applyFill="1" applyBorder="1" applyAlignment="1">
      <alignment horizontal="left" vertical="center" wrapText="1"/>
    </xf>
    <xf numFmtId="0" fontId="98" fillId="18" borderId="16" xfId="27" applyFont="1" applyFill="1" applyBorder="1" applyAlignment="1">
      <alignment horizontal="left" vertical="center" wrapText="1"/>
    </xf>
    <xf numFmtId="38" fontId="31" fillId="21" borderId="17" xfId="33" applyFont="1" applyFill="1" applyBorder="1" applyAlignment="1">
      <alignment horizontal="center" vertical="center"/>
    </xf>
    <xf numFmtId="38" fontId="31" fillId="21" borderId="18" xfId="33" applyFont="1" applyFill="1" applyBorder="1" applyAlignment="1">
      <alignment horizontal="center" vertical="center"/>
    </xf>
    <xf numFmtId="38" fontId="31" fillId="21" borderId="3" xfId="33" applyFont="1" applyFill="1" applyBorder="1" applyAlignment="1">
      <alignment horizontal="center" vertical="center"/>
    </xf>
    <xf numFmtId="38" fontId="31" fillId="21" borderId="32" xfId="33" applyFont="1" applyFill="1" applyBorder="1" applyAlignment="1">
      <alignment horizontal="center" vertical="center"/>
    </xf>
    <xf numFmtId="40" fontId="31" fillId="18" borderId="6" xfId="28" applyNumberFormat="1" applyFont="1" applyFill="1" applyBorder="1" applyAlignment="1">
      <alignment horizontal="center" vertical="center"/>
    </xf>
    <xf numFmtId="40" fontId="45" fillId="18" borderId="6" xfId="28" applyNumberFormat="1" applyFont="1" applyFill="1" applyBorder="1" applyAlignment="1">
      <alignment horizontal="center" vertical="center"/>
    </xf>
    <xf numFmtId="40" fontId="45" fillId="18" borderId="28" xfId="28" applyNumberFormat="1" applyFont="1" applyFill="1" applyBorder="1" applyAlignment="1">
      <alignment horizontal="center" vertical="center"/>
    </xf>
    <xf numFmtId="38" fontId="48" fillId="21" borderId="18" xfId="33" applyFont="1" applyFill="1" applyBorder="1" applyAlignment="1">
      <alignment horizontal="center" vertical="center"/>
    </xf>
    <xf numFmtId="38" fontId="48" fillId="21" borderId="3" xfId="33" applyFont="1" applyFill="1" applyBorder="1" applyAlignment="1">
      <alignment horizontal="center" vertical="center"/>
    </xf>
    <xf numFmtId="38" fontId="48" fillId="21" borderId="17" xfId="33" applyFont="1" applyFill="1" applyBorder="1" applyAlignment="1">
      <alignment horizontal="center" vertical="center"/>
    </xf>
    <xf numFmtId="38" fontId="48" fillId="21" borderId="32" xfId="33" applyFont="1" applyFill="1" applyBorder="1" applyAlignment="1">
      <alignment horizontal="center" vertical="center"/>
    </xf>
    <xf numFmtId="40" fontId="45" fillId="0" borderId="16" xfId="28" applyNumberFormat="1" applyFont="1" applyFill="1" applyBorder="1" applyAlignment="1">
      <alignment horizontal="center" vertical="center" wrapText="1"/>
    </xf>
    <xf numFmtId="0" fontId="72" fillId="20" borderId="0" xfId="26" applyFont="1" applyFill="1" applyAlignment="1">
      <alignment horizontal="left" vertical="center"/>
    </xf>
    <xf numFmtId="0" fontId="31" fillId="20" borderId="0" xfId="26" applyFill="1" applyAlignment="1">
      <alignment horizontal="center" vertical="center"/>
    </xf>
    <xf numFmtId="0" fontId="31" fillId="20" borderId="0" xfId="26" applyFill="1">
      <alignment vertical="center"/>
    </xf>
    <xf numFmtId="0" fontId="72" fillId="20" borderId="0" xfId="26" applyFont="1" applyFill="1" applyAlignment="1">
      <alignment vertical="center"/>
    </xf>
    <xf numFmtId="9" fontId="47" fillId="0" borderId="36" xfId="35" applyFont="1" applyBorder="1" applyAlignment="1">
      <alignment horizontal="center" vertical="center"/>
    </xf>
    <xf numFmtId="9" fontId="47" fillId="0" borderId="36" xfId="25" applyFont="1" applyBorder="1" applyAlignment="1">
      <alignment horizontal="center" vertical="center"/>
    </xf>
    <xf numFmtId="10" fontId="47" fillId="0" borderId="36" xfId="35" applyNumberFormat="1" applyFont="1" applyBorder="1" applyAlignment="1">
      <alignment horizontal="center" vertical="center"/>
    </xf>
    <xf numFmtId="9" fontId="44" fillId="0" borderId="36" xfId="25" applyFont="1" applyBorder="1" applyAlignment="1">
      <alignment horizontal="center" vertical="center"/>
    </xf>
    <xf numFmtId="0" fontId="31" fillId="0" borderId="53" xfId="23" applyBorder="1">
      <alignment vertical="center"/>
    </xf>
    <xf numFmtId="0" fontId="31" fillId="0" borderId="46" xfId="23" applyBorder="1">
      <alignment vertical="center"/>
    </xf>
    <xf numFmtId="10" fontId="31" fillId="17" borderId="57" xfId="23" applyNumberFormat="1" applyFill="1" applyBorder="1">
      <alignment vertical="center"/>
    </xf>
    <xf numFmtId="0" fontId="31" fillId="0" borderId="59" xfId="23" applyBorder="1">
      <alignment vertical="center"/>
    </xf>
    <xf numFmtId="171" fontId="31" fillId="0" borderId="59" xfId="31" applyNumberFormat="1" applyFont="1" applyBorder="1" applyAlignment="1">
      <alignment vertical="center"/>
    </xf>
    <xf numFmtId="0" fontId="31" fillId="19" borderId="59" xfId="23" applyFill="1" applyBorder="1">
      <alignment vertical="center"/>
    </xf>
    <xf numFmtId="0" fontId="31" fillId="19" borderId="46" xfId="23" applyFill="1" applyBorder="1">
      <alignment vertical="center"/>
    </xf>
    <xf numFmtId="10" fontId="31" fillId="19" borderId="57" xfId="23" applyNumberFormat="1" applyFill="1" applyBorder="1">
      <alignment vertical="center"/>
    </xf>
    <xf numFmtId="0" fontId="31" fillId="19" borderId="57" xfId="23" applyFill="1" applyBorder="1">
      <alignment vertical="center"/>
    </xf>
    <xf numFmtId="38" fontId="44" fillId="0" borderId="80" xfId="19" quotePrefix="1" applyFont="1" applyFill="1" applyBorder="1" applyAlignment="1">
      <alignment vertical="center"/>
    </xf>
    <xf numFmtId="0" fontId="31" fillId="14" borderId="116" xfId="23" applyFill="1" applyBorder="1" applyAlignment="1">
      <alignment horizontal="center" vertical="center"/>
    </xf>
    <xf numFmtId="0" fontId="31" fillId="14" borderId="103" xfId="23" applyFill="1" applyBorder="1" applyAlignment="1">
      <alignment horizontal="center" vertical="center"/>
    </xf>
    <xf numFmtId="10" fontId="31" fillId="17" borderId="118" xfId="23" applyNumberFormat="1" applyFill="1" applyBorder="1" applyAlignment="1">
      <alignment horizontal="center" vertical="center"/>
    </xf>
    <xf numFmtId="0" fontId="31" fillId="0" borderId="116" xfId="23" applyBorder="1" applyAlignment="1">
      <alignment horizontal="center" vertical="center"/>
    </xf>
    <xf numFmtId="0" fontId="31" fillId="0" borderId="103" xfId="23" applyBorder="1" applyAlignment="1">
      <alignment horizontal="center" vertical="center"/>
    </xf>
    <xf numFmtId="0" fontId="31" fillId="14" borderId="59" xfId="23" applyFill="1" applyBorder="1" applyAlignment="1">
      <alignment horizontal="center" vertical="center"/>
    </xf>
    <xf numFmtId="0" fontId="31" fillId="14" borderId="46" xfId="23" applyFill="1" applyBorder="1" applyAlignment="1">
      <alignment horizontal="center" vertical="center"/>
    </xf>
    <xf numFmtId="0" fontId="31" fillId="17" borderId="57" xfId="23" applyFill="1" applyBorder="1" applyAlignment="1">
      <alignment horizontal="center" vertical="center"/>
    </xf>
    <xf numFmtId="10" fontId="51" fillId="21" borderId="146" xfId="35" applyNumberFormat="1" applyFont="1" applyFill="1" applyBorder="1" applyAlignment="1" applyProtection="1">
      <alignment horizontal="center" vertical="center"/>
    </xf>
    <xf numFmtId="10" fontId="51" fillId="21" borderId="147" xfId="35" applyNumberFormat="1" applyFont="1" applyFill="1" applyBorder="1" applyAlignment="1" applyProtection="1">
      <alignment horizontal="center" vertical="center"/>
    </xf>
    <xf numFmtId="10" fontId="51" fillId="21" borderId="148" xfId="35" applyNumberFormat="1" applyFont="1" applyFill="1" applyBorder="1" applyAlignment="1" applyProtection="1">
      <alignment horizontal="center" vertical="center"/>
    </xf>
    <xf numFmtId="0" fontId="72" fillId="20" borderId="0" xfId="26" applyFont="1" applyFill="1">
      <alignment vertical="center"/>
    </xf>
    <xf numFmtId="0" fontId="107" fillId="20" borderId="140" xfId="26" applyFont="1" applyFill="1" applyBorder="1" applyAlignment="1" applyProtection="1">
      <alignment horizontal="center" vertical="center"/>
      <protection locked="0"/>
    </xf>
    <xf numFmtId="170" fontId="96" fillId="20" borderId="142" xfId="1" applyNumberFormat="1" applyFont="1" applyFill="1" applyBorder="1" applyAlignment="1" applyProtection="1">
      <alignment horizontal="center" vertical="center"/>
      <protection locked="0"/>
    </xf>
    <xf numFmtId="0" fontId="51" fillId="20" borderId="120" xfId="26" applyFont="1" applyFill="1" applyBorder="1" applyAlignment="1" applyProtection="1">
      <alignment horizontal="center" vertical="center"/>
      <protection locked="0"/>
    </xf>
    <xf numFmtId="38" fontId="35" fillId="17" borderId="90" xfId="18" applyNumberFormat="1" applyFont="1" applyFill="1" applyBorder="1" applyAlignment="1">
      <alignment horizontal="center" vertical="center"/>
    </xf>
    <xf numFmtId="38" fontId="35" fillId="17" borderId="90" xfId="1" applyFont="1" applyFill="1" applyBorder="1" applyAlignment="1">
      <alignment horizontal="center" vertical="center"/>
    </xf>
    <xf numFmtId="38" fontId="35" fillId="17" borderId="86" xfId="1" applyFont="1" applyFill="1" applyBorder="1" applyAlignment="1">
      <alignment horizontal="center" vertical="center"/>
    </xf>
    <xf numFmtId="38" fontId="33" fillId="17" borderId="90" xfId="16" applyNumberFormat="1" applyFont="1" applyFill="1" applyBorder="1" applyAlignment="1">
      <alignment horizontal="center" vertical="center"/>
    </xf>
    <xf numFmtId="38" fontId="33" fillId="17" borderId="94" xfId="16" applyNumberFormat="1" applyFont="1" applyFill="1" applyBorder="1" applyAlignment="1">
      <alignment horizontal="center" vertical="center"/>
    </xf>
    <xf numFmtId="0" fontId="17" fillId="4" borderId="86" xfId="16" applyFont="1" applyFill="1" applyBorder="1" applyAlignment="1">
      <alignment horizontal="center" vertical="center"/>
    </xf>
    <xf numFmtId="43" fontId="35" fillId="0" borderId="0" xfId="18" applyNumberFormat="1" applyFont="1">
      <alignment vertical="center"/>
    </xf>
    <xf numFmtId="38" fontId="33" fillId="0" borderId="102" xfId="19" applyFont="1" applyFill="1" applyBorder="1" applyAlignment="1">
      <alignment horizontal="right" vertical="center"/>
    </xf>
    <xf numFmtId="38" fontId="33" fillId="0" borderId="93" xfId="19" applyFont="1" applyFill="1" applyBorder="1" applyAlignment="1">
      <alignment horizontal="right" vertical="center"/>
    </xf>
    <xf numFmtId="38" fontId="33" fillId="0" borderId="109" xfId="19" applyFont="1" applyFill="1" applyBorder="1" applyAlignment="1">
      <alignment horizontal="right" vertical="center"/>
    </xf>
    <xf numFmtId="38" fontId="33" fillId="14" borderId="46" xfId="19" applyFont="1" applyFill="1" applyBorder="1" applyAlignment="1">
      <alignment horizontal="right" vertical="center"/>
    </xf>
    <xf numFmtId="0" fontId="31" fillId="0" borderId="93" xfId="23" applyFont="1" applyFill="1" applyBorder="1" applyAlignment="1">
      <alignment horizontal="center" vertical="center"/>
    </xf>
    <xf numFmtId="0" fontId="33" fillId="0" borderId="87" xfId="0" applyFont="1" applyFill="1" applyBorder="1">
      <alignment vertical="center"/>
    </xf>
    <xf numFmtId="0" fontId="47" fillId="0" borderId="87" xfId="0" applyFont="1" applyFill="1" applyBorder="1">
      <alignment vertical="center"/>
    </xf>
    <xf numFmtId="0" fontId="33" fillId="0" borderId="87" xfId="0" applyFont="1" applyFill="1" applyBorder="1" applyAlignment="1">
      <alignment horizontal="center" vertical="center"/>
    </xf>
    <xf numFmtId="0" fontId="33" fillId="0" borderId="87" xfId="16" applyFont="1" applyFill="1" applyBorder="1" applyAlignment="1">
      <alignment horizontal="center" vertical="center"/>
    </xf>
    <xf numFmtId="0" fontId="35" fillId="0" borderId="93" xfId="18" applyFont="1" applyFill="1" applyBorder="1" applyAlignment="1">
      <alignment horizontal="center" vertical="center"/>
    </xf>
    <xf numFmtId="171" fontId="35" fillId="0" borderId="91" xfId="31" applyNumberFormat="1" applyFont="1" applyFill="1" applyBorder="1" applyAlignment="1">
      <alignment horizontal="center" vertical="center"/>
    </xf>
    <xf numFmtId="171" fontId="35" fillId="0" borderId="0" xfId="18" applyNumberFormat="1" applyFont="1" applyFill="1">
      <alignment vertical="center"/>
    </xf>
    <xf numFmtId="0" fontId="47" fillId="0" borderId="94" xfId="0" applyFont="1" applyFill="1" applyBorder="1">
      <alignment vertical="center"/>
    </xf>
    <xf numFmtId="0" fontId="35" fillId="0" borderId="102" xfId="18" applyFont="1" applyFill="1" applyBorder="1" applyAlignment="1">
      <alignment horizontal="center" vertical="center"/>
    </xf>
    <xf numFmtId="0" fontId="33" fillId="0" borderId="98" xfId="16" applyFont="1" applyFill="1" applyBorder="1" applyAlignment="1">
      <alignment horizontal="center" vertical="center"/>
    </xf>
    <xf numFmtId="171" fontId="31" fillId="0" borderId="87" xfId="31" applyNumberFormat="1" applyFont="1" applyFill="1" applyBorder="1" applyAlignment="1">
      <alignment horizontal="center" vertical="center"/>
    </xf>
    <xf numFmtId="171" fontId="33" fillId="0" borderId="87" xfId="31" applyNumberFormat="1" applyFont="1" applyFill="1" applyBorder="1" applyAlignment="1">
      <alignment vertical="center"/>
    </xf>
    <xf numFmtId="171" fontId="33" fillId="0" borderId="87" xfId="31" applyNumberFormat="1" applyFont="1" applyFill="1" applyBorder="1" applyAlignment="1">
      <alignment horizontal="center" vertical="center"/>
    </xf>
    <xf numFmtId="171" fontId="33" fillId="0" borderId="102" xfId="31" applyNumberFormat="1" applyFont="1" applyFill="1" applyBorder="1" applyAlignment="1">
      <alignment vertical="center"/>
    </xf>
    <xf numFmtId="38" fontId="33" fillId="0" borderId="0" xfId="16" applyNumberFormat="1" applyFont="1" applyFill="1">
      <alignment vertical="center"/>
    </xf>
    <xf numFmtId="0" fontId="33" fillId="0" borderId="0" xfId="16" applyFont="1" applyFill="1">
      <alignment vertical="center"/>
    </xf>
    <xf numFmtId="0" fontId="33" fillId="0" borderId="87" xfId="0" applyFont="1" applyFill="1" applyBorder="1" applyAlignment="1">
      <alignment horizontal="left" vertical="center"/>
    </xf>
    <xf numFmtId="0" fontId="33" fillId="0" borderId="102" xfId="0" applyFont="1" applyFill="1" applyBorder="1" applyAlignment="1">
      <alignment horizontal="left" vertical="center"/>
    </xf>
    <xf numFmtId="0" fontId="33" fillId="0" borderId="86" xfId="16" applyFont="1" applyFill="1" applyBorder="1" applyAlignment="1">
      <alignment horizontal="center" vertical="center"/>
    </xf>
    <xf numFmtId="0" fontId="33" fillId="0" borderId="102" xfId="16" applyFont="1" applyFill="1" applyBorder="1" applyAlignment="1">
      <alignment horizontal="center" vertical="center"/>
    </xf>
    <xf numFmtId="0" fontId="52" fillId="0" borderId="0" xfId="23" applyFont="1" applyAlignment="1">
      <alignment horizontal="center" vertical="center"/>
    </xf>
    <xf numFmtId="171" fontId="35" fillId="0" borderId="25" xfId="31" applyNumberFormat="1" applyFont="1" applyFill="1" applyBorder="1" applyAlignment="1">
      <alignment vertical="center"/>
    </xf>
    <xf numFmtId="0" fontId="33" fillId="0" borderId="46" xfId="0" applyFont="1" applyFill="1" applyBorder="1">
      <alignment vertical="center"/>
    </xf>
    <xf numFmtId="0" fontId="47" fillId="0" borderId="46" xfId="0" applyFont="1" applyFill="1" applyBorder="1">
      <alignment vertical="center"/>
    </xf>
    <xf numFmtId="0" fontId="33" fillId="0" borderId="46" xfId="0" applyFont="1" applyFill="1" applyBorder="1" applyAlignment="1">
      <alignment horizontal="center" vertical="center"/>
    </xf>
    <xf numFmtId="0" fontId="33" fillId="0" borderId="46" xfId="16" applyFont="1" applyFill="1" applyBorder="1" applyAlignment="1">
      <alignment horizontal="center" vertical="center"/>
    </xf>
    <xf numFmtId="0" fontId="47" fillId="0" borderId="46" xfId="16" applyFont="1" applyFill="1" applyBorder="1" applyAlignment="1">
      <alignment horizontal="center" vertical="center"/>
    </xf>
    <xf numFmtId="171" fontId="91" fillId="0" borderId="91" xfId="31" applyNumberFormat="1" applyFont="1" applyFill="1" applyBorder="1" applyAlignment="1">
      <alignment horizontal="center" vertical="center"/>
    </xf>
    <xf numFmtId="171" fontId="35" fillId="0" borderId="92" xfId="31" applyNumberFormat="1" applyFont="1" applyFill="1" applyBorder="1" applyAlignment="1">
      <alignment horizontal="center" vertical="center"/>
    </xf>
    <xf numFmtId="171" fontId="35" fillId="0" borderId="87" xfId="31" applyNumberFormat="1" applyFont="1" applyFill="1" applyBorder="1" applyAlignment="1">
      <alignment horizontal="center" vertical="center"/>
    </xf>
    <xf numFmtId="171" fontId="35" fillId="0" borderId="87" xfId="31" applyNumberFormat="1" applyFont="1" applyFill="1" applyBorder="1" applyAlignment="1">
      <alignment vertical="center"/>
    </xf>
    <xf numFmtId="171" fontId="35" fillId="0" borderId="102" xfId="31" applyNumberFormat="1" applyFont="1" applyFill="1" applyBorder="1" applyAlignment="1">
      <alignment horizontal="center" vertical="center"/>
    </xf>
    <xf numFmtId="10" fontId="35" fillId="17" borderId="97" xfId="20" applyNumberFormat="1" applyFont="1" applyFill="1" applyBorder="1" applyAlignment="1">
      <alignment horizontal="center" vertical="center"/>
    </xf>
    <xf numFmtId="171" fontId="35" fillId="0" borderId="94" xfId="31" applyNumberFormat="1" applyFont="1" applyFill="1" applyBorder="1" applyAlignment="1">
      <alignment horizontal="center" vertical="center"/>
    </xf>
    <xf numFmtId="0" fontId="45" fillId="0" borderId="0" xfId="23" applyFont="1" applyFill="1" applyAlignment="1">
      <alignment horizontal="right" vertical="center"/>
    </xf>
    <xf numFmtId="0" fontId="44" fillId="0" borderId="36" xfId="17" applyFont="1" applyFill="1" applyBorder="1" applyAlignment="1">
      <alignment horizontal="center" vertical="center"/>
    </xf>
    <xf numFmtId="38" fontId="31" fillId="0" borderId="36" xfId="19" applyFont="1" applyFill="1" applyBorder="1" applyAlignment="1">
      <alignment horizontal="center" vertical="center"/>
    </xf>
    <xf numFmtId="0" fontId="31" fillId="0" borderId="36" xfId="23" applyFill="1" applyBorder="1" applyAlignment="1">
      <alignment horizontal="center" vertical="center"/>
    </xf>
    <xf numFmtId="0" fontId="31" fillId="0" borderId="0" xfId="23" applyFill="1">
      <alignment vertical="center"/>
    </xf>
    <xf numFmtId="0" fontId="81" fillId="0" borderId="0" xfId="0" applyFont="1" applyFill="1" applyAlignment="1">
      <alignment horizontal="left" vertical="center" indent="1"/>
    </xf>
    <xf numFmtId="0" fontId="32" fillId="0" borderId="0" xfId="17" applyFill="1">
      <alignment vertical="center"/>
    </xf>
    <xf numFmtId="0" fontId="35" fillId="0" borderId="46" xfId="18" applyFont="1" applyFill="1" applyBorder="1" applyAlignment="1">
      <alignment horizontal="center" vertical="center"/>
    </xf>
    <xf numFmtId="0" fontId="35" fillId="0" borderId="103" xfId="18" applyFont="1" applyFill="1" applyBorder="1" applyAlignment="1">
      <alignment horizontal="center" vertical="center"/>
    </xf>
    <xf numFmtId="0" fontId="33" fillId="0" borderId="92" xfId="16" applyFont="1" applyFill="1" applyBorder="1" applyAlignment="1">
      <alignment horizontal="center" vertical="center"/>
    </xf>
    <xf numFmtId="0" fontId="35" fillId="0" borderId="106" xfId="18" applyFont="1" applyFill="1" applyBorder="1" applyAlignment="1">
      <alignment horizontal="center" vertical="center"/>
    </xf>
    <xf numFmtId="0" fontId="33" fillId="0" borderId="106" xfId="16" applyFont="1" applyFill="1" applyBorder="1" applyAlignment="1">
      <alignment horizontal="center" vertical="center"/>
    </xf>
    <xf numFmtId="0" fontId="33" fillId="0" borderId="81" xfId="16" applyFont="1" applyFill="1" applyBorder="1" applyAlignment="1">
      <alignment horizontal="center" vertical="center"/>
    </xf>
    <xf numFmtId="0" fontId="33" fillId="0" borderId="93" xfId="16" applyFont="1" applyFill="1" applyBorder="1" applyAlignment="1">
      <alignment horizontal="center" vertical="center"/>
    </xf>
    <xf numFmtId="0" fontId="17" fillId="0" borderId="81" xfId="16" applyFont="1" applyFill="1" applyBorder="1" applyAlignment="1">
      <alignment horizontal="center" vertical="center"/>
    </xf>
    <xf numFmtId="0" fontId="33" fillId="0" borderId="83" xfId="17" applyFont="1" applyFill="1" applyBorder="1" applyAlignment="1">
      <alignment horizontal="center" vertical="center"/>
    </xf>
    <xf numFmtId="0" fontId="33" fillId="0" borderId="46" xfId="17" applyFont="1" applyFill="1" applyBorder="1" applyAlignment="1">
      <alignment horizontal="center" vertical="center"/>
    </xf>
    <xf numFmtId="0" fontId="25" fillId="0" borderId="46" xfId="18" applyFont="1" applyFill="1" applyBorder="1" applyAlignment="1">
      <alignment horizontal="center" vertical="center"/>
    </xf>
    <xf numFmtId="0" fontId="31" fillId="0" borderId="0" xfId="23" applyAlignment="1">
      <alignment horizontal="right" vertical="center"/>
    </xf>
    <xf numFmtId="0" fontId="31" fillId="13" borderId="112" xfId="23" applyFill="1" applyBorder="1" applyAlignment="1">
      <alignment horizontal="right" vertical="center"/>
    </xf>
    <xf numFmtId="10" fontId="31" fillId="17" borderId="50" xfId="23" applyNumberFormat="1" applyFill="1" applyBorder="1" applyAlignment="1">
      <alignment horizontal="right" vertical="center"/>
    </xf>
    <xf numFmtId="0" fontId="31" fillId="13" borderId="53" xfId="23" applyFill="1" applyBorder="1" applyAlignment="1">
      <alignment horizontal="right" vertical="center"/>
    </xf>
    <xf numFmtId="0" fontId="31" fillId="13" borderId="46" xfId="23" applyFill="1" applyBorder="1" applyAlignment="1">
      <alignment horizontal="right" vertical="center"/>
    </xf>
    <xf numFmtId="10" fontId="31" fillId="17" borderId="57" xfId="23" applyNumberFormat="1" applyFill="1" applyBorder="1" applyAlignment="1">
      <alignment horizontal="right" vertical="center"/>
    </xf>
    <xf numFmtId="0" fontId="31" fillId="0" borderId="59" xfId="23" applyBorder="1" applyAlignment="1">
      <alignment horizontal="right" vertical="center"/>
    </xf>
    <xf numFmtId="0" fontId="31" fillId="0" borderId="46" xfId="23" applyBorder="1" applyAlignment="1">
      <alignment horizontal="right" vertical="center"/>
    </xf>
    <xf numFmtId="171" fontId="31" fillId="13" borderId="59" xfId="31" applyNumberFormat="1" applyFont="1" applyFill="1" applyBorder="1" applyAlignment="1">
      <alignment horizontal="right" vertical="center"/>
    </xf>
    <xf numFmtId="0" fontId="31" fillId="13" borderId="59" xfId="23" applyFill="1" applyBorder="1" applyAlignment="1">
      <alignment horizontal="right" vertical="center"/>
    </xf>
    <xf numFmtId="0" fontId="31" fillId="19" borderId="59" xfId="23" applyFill="1" applyBorder="1" applyAlignment="1">
      <alignment horizontal="right" vertical="center"/>
    </xf>
    <xf numFmtId="0" fontId="31" fillId="19" borderId="46" xfId="23" applyFill="1" applyBorder="1" applyAlignment="1">
      <alignment horizontal="right" vertical="center"/>
    </xf>
    <xf numFmtId="10" fontId="31" fillId="19" borderId="57" xfId="23" applyNumberFormat="1" applyFill="1" applyBorder="1" applyAlignment="1">
      <alignment horizontal="right" vertical="center"/>
    </xf>
    <xf numFmtId="0" fontId="31" fillId="19" borderId="57" xfId="23" applyFill="1" applyBorder="1" applyAlignment="1">
      <alignment horizontal="right" vertical="center"/>
    </xf>
    <xf numFmtId="38" fontId="44" fillId="13" borderId="80" xfId="19" applyFont="1" applyFill="1" applyBorder="1" applyAlignment="1">
      <alignment horizontal="right" vertical="center"/>
    </xf>
    <xf numFmtId="0" fontId="31" fillId="13" borderId="78" xfId="23" applyFill="1" applyBorder="1" applyAlignment="1">
      <alignment horizontal="right" vertical="center"/>
    </xf>
    <xf numFmtId="0" fontId="31" fillId="0" borderId="38" xfId="23" applyBorder="1" applyAlignment="1">
      <alignment horizontal="right" vertical="center"/>
    </xf>
    <xf numFmtId="0" fontId="31" fillId="19" borderId="38" xfId="23" applyFill="1" applyBorder="1" applyAlignment="1">
      <alignment horizontal="right" vertical="center"/>
    </xf>
    <xf numFmtId="38" fontId="31" fillId="0" borderId="38" xfId="23" applyNumberFormat="1" applyBorder="1" applyAlignment="1">
      <alignment horizontal="right" vertical="center"/>
    </xf>
    <xf numFmtId="10" fontId="31" fillId="0" borderId="38" xfId="23" applyNumberFormat="1" applyFill="1" applyBorder="1" applyAlignment="1">
      <alignment horizontal="right" vertical="center"/>
    </xf>
    <xf numFmtId="10" fontId="31" fillId="19" borderId="38" xfId="23" applyNumberFormat="1" applyFill="1" applyBorder="1" applyAlignment="1">
      <alignment horizontal="right" vertical="center"/>
    </xf>
    <xf numFmtId="0" fontId="33" fillId="0" borderId="46" xfId="16" applyFont="1" applyFill="1" applyBorder="1">
      <alignment vertical="center"/>
    </xf>
    <xf numFmtId="0" fontId="47" fillId="0" borderId="46" xfId="16" applyFont="1" applyFill="1" applyBorder="1">
      <alignment vertical="center"/>
    </xf>
    <xf numFmtId="171" fontId="35" fillId="0" borderId="46" xfId="31" applyNumberFormat="1" applyFont="1" applyFill="1" applyBorder="1" applyAlignment="1">
      <alignment vertical="center"/>
    </xf>
    <xf numFmtId="171" fontId="35" fillId="0" borderId="133" xfId="31" applyNumberFormat="1" applyFont="1" applyFill="1" applyBorder="1" applyAlignment="1">
      <alignment vertical="center"/>
    </xf>
    <xf numFmtId="0" fontId="35" fillId="15" borderId="36" xfId="18" applyFont="1" applyFill="1" applyBorder="1" applyAlignment="1">
      <alignment horizontal="center" vertical="center"/>
    </xf>
    <xf numFmtId="0" fontId="35" fillId="14" borderId="101" xfId="18" applyFont="1" applyFill="1" applyBorder="1" applyAlignment="1">
      <alignment horizontal="center" vertical="center"/>
    </xf>
    <xf numFmtId="0" fontId="35" fillId="14" borderId="99" xfId="18" applyFont="1" applyFill="1" applyBorder="1" applyAlignment="1">
      <alignment horizontal="center" vertical="center"/>
    </xf>
    <xf numFmtId="0" fontId="35" fillId="14" borderId="96" xfId="18" applyFont="1" applyFill="1" applyBorder="1" applyAlignment="1">
      <alignment horizontal="center" vertical="center"/>
    </xf>
    <xf numFmtId="0" fontId="35" fillId="14" borderId="85" xfId="18" applyFont="1" applyFill="1" applyBorder="1" applyAlignment="1">
      <alignment horizontal="center" vertical="center"/>
    </xf>
    <xf numFmtId="0" fontId="35" fillId="14" borderId="0" xfId="18" applyFont="1" applyFill="1" applyAlignment="1">
      <alignment horizontal="center" vertical="center"/>
    </xf>
    <xf numFmtId="0" fontId="35" fillId="0" borderId="119" xfId="18" applyFont="1" applyBorder="1" applyAlignment="1">
      <alignment horizontal="center" vertical="top"/>
    </xf>
    <xf numFmtId="0" fontId="35" fillId="0" borderId="105" xfId="18" applyFont="1" applyBorder="1" applyAlignment="1">
      <alignment horizontal="center" vertical="top"/>
    </xf>
    <xf numFmtId="0" fontId="35" fillId="0" borderId="108" xfId="18" applyFont="1" applyBorder="1" applyAlignment="1">
      <alignment horizontal="center" vertical="top"/>
    </xf>
    <xf numFmtId="0" fontId="35" fillId="0" borderId="107" xfId="18" applyFont="1" applyBorder="1" applyAlignment="1">
      <alignment horizontal="center" vertical="top"/>
    </xf>
    <xf numFmtId="0" fontId="40" fillId="19" borderId="36" xfId="18" applyFont="1" applyFill="1" applyBorder="1" applyAlignment="1">
      <alignment horizontal="center" vertical="center"/>
    </xf>
    <xf numFmtId="0" fontId="40" fillId="14" borderId="96" xfId="18" applyFont="1" applyFill="1" applyBorder="1" applyAlignment="1">
      <alignment horizontal="center" vertical="center"/>
    </xf>
    <xf numFmtId="0" fontId="40" fillId="14" borderId="85" xfId="18" applyFont="1" applyFill="1" applyBorder="1" applyAlignment="1">
      <alignment horizontal="center" vertical="center"/>
    </xf>
    <xf numFmtId="0" fontId="33" fillId="20" borderId="16" xfId="16" applyFont="1" applyFill="1" applyBorder="1" applyAlignment="1">
      <alignment horizontal="center" vertical="center"/>
    </xf>
    <xf numFmtId="0" fontId="33" fillId="20" borderId="38" xfId="16" applyFont="1" applyFill="1" applyBorder="1" applyAlignment="1">
      <alignment horizontal="center" vertical="center"/>
    </xf>
    <xf numFmtId="0" fontId="33" fillId="0" borderId="107" xfId="16" applyFont="1" applyBorder="1" applyAlignment="1">
      <alignment horizontal="center" vertical="top"/>
    </xf>
    <xf numFmtId="0" fontId="33" fillId="0" borderId="105" xfId="16" applyFont="1" applyBorder="1" applyAlignment="1">
      <alignment horizontal="center" vertical="top"/>
    </xf>
    <xf numFmtId="0" fontId="33" fillId="0" borderId="108" xfId="16" applyFont="1" applyBorder="1" applyAlignment="1">
      <alignment horizontal="center" vertical="top"/>
    </xf>
    <xf numFmtId="0" fontId="33" fillId="14" borderId="0" xfId="16" applyFont="1" applyFill="1" applyAlignment="1">
      <alignment horizontal="center" vertical="center"/>
    </xf>
    <xf numFmtId="0" fontId="33" fillId="14" borderId="85" xfId="16" applyFont="1" applyFill="1" applyBorder="1" applyAlignment="1">
      <alignment horizontal="center" vertical="center"/>
    </xf>
    <xf numFmtId="0" fontId="33" fillId="20" borderId="37" xfId="16" applyFont="1" applyFill="1" applyBorder="1" applyAlignment="1">
      <alignment horizontal="center" vertical="center"/>
    </xf>
    <xf numFmtId="0" fontId="33" fillId="20" borderId="60" xfId="16" applyFont="1" applyFill="1" applyBorder="1" applyAlignment="1">
      <alignment horizontal="center" vertical="center"/>
    </xf>
    <xf numFmtId="0" fontId="41" fillId="20" borderId="37" xfId="16" applyFont="1" applyFill="1" applyBorder="1" applyAlignment="1">
      <alignment horizontal="center" vertical="center"/>
    </xf>
    <xf numFmtId="0" fontId="41" fillId="20" borderId="16" xfId="16" applyFont="1" applyFill="1" applyBorder="1" applyAlignment="1">
      <alignment horizontal="center" vertical="center"/>
    </xf>
    <xf numFmtId="0" fontId="41" fillId="20" borderId="38" xfId="16" applyFont="1" applyFill="1" applyBorder="1" applyAlignment="1">
      <alignment horizontal="center" vertical="center"/>
    </xf>
    <xf numFmtId="0" fontId="41" fillId="0" borderId="107" xfId="16" applyFont="1" applyBorder="1" applyAlignment="1">
      <alignment horizontal="center" vertical="top"/>
    </xf>
    <xf numFmtId="0" fontId="41" fillId="0" borderId="105" xfId="16" applyFont="1" applyBorder="1" applyAlignment="1">
      <alignment horizontal="center" vertical="top"/>
    </xf>
    <xf numFmtId="0" fontId="41" fillId="0" borderId="108" xfId="16" applyFont="1" applyBorder="1" applyAlignment="1">
      <alignment horizontal="center" vertical="top"/>
    </xf>
    <xf numFmtId="0" fontId="41" fillId="14" borderId="0" xfId="16" applyFont="1" applyFill="1" applyAlignment="1">
      <alignment horizontal="center" vertical="center"/>
    </xf>
    <xf numFmtId="0" fontId="41" fillId="14" borderId="85" xfId="16" applyFont="1" applyFill="1" applyBorder="1" applyAlignment="1">
      <alignment horizontal="center" vertical="center"/>
    </xf>
    <xf numFmtId="0" fontId="33" fillId="15" borderId="37" xfId="16" applyFont="1" applyFill="1" applyBorder="1" applyAlignment="1">
      <alignment horizontal="center" vertical="center"/>
    </xf>
    <xf numFmtId="0" fontId="33" fillId="15" borderId="16" xfId="16" applyFont="1" applyFill="1" applyBorder="1" applyAlignment="1">
      <alignment horizontal="center" vertical="center"/>
    </xf>
    <xf numFmtId="0" fontId="33" fillId="15" borderId="38" xfId="16" applyFont="1" applyFill="1" applyBorder="1" applyAlignment="1">
      <alignment horizontal="center" vertical="center"/>
    </xf>
    <xf numFmtId="0" fontId="17" fillId="19" borderId="37" xfId="16" applyFont="1" applyFill="1" applyBorder="1" applyAlignment="1">
      <alignment horizontal="center" vertical="center"/>
    </xf>
    <xf numFmtId="0" fontId="17" fillId="19" borderId="16" xfId="16" applyFont="1" applyFill="1" applyBorder="1" applyAlignment="1">
      <alignment horizontal="center" vertical="center"/>
    </xf>
    <xf numFmtId="0" fontId="17" fillId="19" borderId="38" xfId="16" applyFont="1" applyFill="1" applyBorder="1" applyAlignment="1">
      <alignment horizontal="center" vertical="center"/>
    </xf>
    <xf numFmtId="0" fontId="17" fillId="0" borderId="107" xfId="16" applyFont="1" applyBorder="1" applyAlignment="1">
      <alignment horizontal="center" vertical="top"/>
    </xf>
    <xf numFmtId="0" fontId="17" fillId="0" borderId="108" xfId="16" applyFont="1" applyBorder="1" applyAlignment="1">
      <alignment horizontal="center" vertical="top"/>
    </xf>
    <xf numFmtId="0" fontId="17" fillId="14" borderId="96" xfId="16" applyFont="1" applyFill="1" applyBorder="1" applyAlignment="1">
      <alignment horizontal="center" vertical="center"/>
    </xf>
    <xf numFmtId="0" fontId="17" fillId="14" borderId="85" xfId="16" applyFont="1" applyFill="1" applyBorder="1" applyAlignment="1">
      <alignment horizontal="center" vertical="center"/>
    </xf>
    <xf numFmtId="0" fontId="33" fillId="0" borderId="14" xfId="9" applyFont="1" applyBorder="1" applyAlignment="1">
      <alignment vertical="center" wrapText="1"/>
    </xf>
    <xf numFmtId="0" fontId="33" fillId="0" borderId="14" xfId="9" applyFont="1" applyBorder="1">
      <alignment vertical="center"/>
    </xf>
    <xf numFmtId="0" fontId="8" fillId="0" borderId="40" xfId="9" applyFont="1" applyBorder="1" applyAlignment="1">
      <alignment vertical="center"/>
    </xf>
    <xf numFmtId="0" fontId="5" fillId="0" borderId="44" xfId="9" applyFont="1" applyBorder="1" applyAlignment="1">
      <alignment vertical="center"/>
    </xf>
    <xf numFmtId="0" fontId="5" fillId="0" borderId="48" xfId="9" applyFont="1" applyBorder="1" applyAlignment="1">
      <alignment vertical="center"/>
    </xf>
    <xf numFmtId="0" fontId="5" fillId="0" borderId="14" xfId="9" applyBorder="1" applyAlignment="1">
      <alignment vertical="center" wrapText="1"/>
    </xf>
    <xf numFmtId="0" fontId="5" fillId="0" borderId="14" xfId="9" applyBorder="1">
      <alignment vertical="center"/>
    </xf>
    <xf numFmtId="0" fontId="5" fillId="0" borderId="12" xfId="9" applyBorder="1" applyAlignment="1">
      <alignment vertical="center" wrapText="1"/>
    </xf>
    <xf numFmtId="0" fontId="5" fillId="0" borderId="20" xfId="9" applyBorder="1">
      <alignment vertical="center"/>
    </xf>
    <xf numFmtId="0" fontId="5" fillId="19" borderId="12" xfId="9" applyFill="1" applyBorder="1">
      <alignment vertical="center"/>
    </xf>
    <xf numFmtId="0" fontId="5" fillId="19" borderId="14" xfId="9" applyFill="1" applyBorder="1">
      <alignment vertical="center"/>
    </xf>
    <xf numFmtId="0" fontId="5" fillId="19" borderId="20" xfId="9" applyFill="1" applyBorder="1">
      <alignment vertical="center"/>
    </xf>
    <xf numFmtId="0" fontId="75" fillId="0" borderId="12" xfId="9" applyFont="1" applyBorder="1" applyAlignment="1">
      <alignment vertical="center" wrapText="1"/>
    </xf>
    <xf numFmtId="0" fontId="75" fillId="0" borderId="14" xfId="9" applyFont="1" applyBorder="1">
      <alignment vertical="center"/>
    </xf>
    <xf numFmtId="0" fontId="75" fillId="0" borderId="20" xfId="9" applyFont="1" applyBorder="1">
      <alignment vertical="center"/>
    </xf>
    <xf numFmtId="38" fontId="44" fillId="0" borderId="39" xfId="19" applyFont="1" applyBorder="1" applyAlignment="1">
      <alignment horizontal="center" vertical="center"/>
    </xf>
    <xf numFmtId="38" fontId="44" fillId="0" borderId="43" xfId="19" applyFont="1" applyBorder="1" applyAlignment="1">
      <alignment horizontal="center" vertical="center"/>
    </xf>
    <xf numFmtId="38" fontId="44" fillId="0" borderId="47" xfId="19" applyFont="1" applyBorder="1" applyAlignment="1">
      <alignment horizontal="center" vertical="center"/>
    </xf>
    <xf numFmtId="0" fontId="54" fillId="0" borderId="40" xfId="23" applyFont="1" applyBorder="1">
      <alignment vertical="center"/>
    </xf>
    <xf numFmtId="0" fontId="55" fillId="0" borderId="44" xfId="23" applyFont="1" applyBorder="1">
      <alignment vertical="center"/>
    </xf>
    <xf numFmtId="0" fontId="55" fillId="0" borderId="48" xfId="23" applyFont="1" applyBorder="1">
      <alignment vertical="center"/>
    </xf>
    <xf numFmtId="38" fontId="93" fillId="0" borderId="51" xfId="19" applyFont="1" applyFill="1" applyBorder="1" applyAlignment="1">
      <alignment horizontal="center" vertical="center"/>
    </xf>
    <xf numFmtId="38" fontId="93" fillId="0" borderId="54" xfId="19" applyFont="1" applyFill="1" applyBorder="1" applyAlignment="1">
      <alignment horizontal="center" vertical="center"/>
    </xf>
    <xf numFmtId="38" fontId="93" fillId="0" borderId="55" xfId="19" applyFont="1" applyFill="1" applyBorder="1" applyAlignment="1">
      <alignment horizontal="center" vertical="center"/>
    </xf>
    <xf numFmtId="0" fontId="77" fillId="0" borderId="14" xfId="23" applyFont="1" applyBorder="1" applyAlignment="1">
      <alignment horizontal="left" vertical="center"/>
    </xf>
    <xf numFmtId="38" fontId="93" fillId="0" borderId="62" xfId="19" applyFont="1" applyFill="1" applyBorder="1" applyAlignment="1">
      <alignment horizontal="center" vertical="center"/>
    </xf>
    <xf numFmtId="38" fontId="93" fillId="0" borderId="63" xfId="19" applyFont="1" applyFill="1" applyBorder="1" applyAlignment="1">
      <alignment horizontal="center" vertical="center"/>
    </xf>
    <xf numFmtId="0" fontId="77" fillId="0" borderId="12" xfId="23" applyFont="1" applyBorder="1" applyAlignment="1">
      <alignment horizontal="left" vertical="center"/>
    </xf>
    <xf numFmtId="0" fontId="77" fillId="0" borderId="20" xfId="23" applyFont="1" applyBorder="1" applyAlignment="1">
      <alignment horizontal="left" vertical="center"/>
    </xf>
    <xf numFmtId="0" fontId="102" fillId="0" borderId="12" xfId="23" applyFont="1" applyBorder="1" applyAlignment="1">
      <alignment horizontal="left" vertical="center"/>
    </xf>
    <xf numFmtId="0" fontId="102" fillId="0" borderId="14" xfId="23" applyFont="1" applyBorder="1" applyAlignment="1">
      <alignment horizontal="left" vertical="center"/>
    </xf>
    <xf numFmtId="0" fontId="102" fillId="0" borderId="20" xfId="23" applyFont="1" applyBorder="1" applyAlignment="1">
      <alignment horizontal="left" vertical="center"/>
    </xf>
    <xf numFmtId="38" fontId="93" fillId="0" borderId="120" xfId="19" applyFont="1" applyFill="1" applyBorder="1" applyAlignment="1">
      <alignment horizontal="center" vertical="center"/>
    </xf>
    <xf numFmtId="38" fontId="93" fillId="0" borderId="121" xfId="19" applyFont="1" applyFill="1" applyBorder="1" applyAlignment="1">
      <alignment horizontal="center" vertical="center"/>
    </xf>
    <xf numFmtId="38" fontId="93" fillId="0" borderId="122" xfId="19" applyFont="1" applyFill="1" applyBorder="1" applyAlignment="1">
      <alignment horizontal="center" vertical="center"/>
    </xf>
    <xf numFmtId="38" fontId="93" fillId="0" borderId="12" xfId="19" applyFont="1" applyFill="1" applyBorder="1" applyAlignment="1">
      <alignment horizontal="left" vertical="center"/>
    </xf>
    <xf numFmtId="38" fontId="93" fillId="0" borderId="14" xfId="19" applyFont="1" applyFill="1" applyBorder="1" applyAlignment="1">
      <alignment horizontal="left" vertical="center"/>
    </xf>
    <xf numFmtId="38" fontId="93" fillId="0" borderId="20" xfId="19" applyFont="1" applyFill="1" applyBorder="1" applyAlignment="1">
      <alignment horizontal="left" vertical="center"/>
    </xf>
    <xf numFmtId="0" fontId="77" fillId="0" borderId="12" xfId="29" applyFont="1" applyFill="1" applyBorder="1" applyAlignment="1">
      <alignment horizontal="left" vertical="center"/>
    </xf>
    <xf numFmtId="38" fontId="1" fillId="0" borderId="120" xfId="19" applyFont="1" applyFill="1" applyBorder="1" applyAlignment="1">
      <alignment horizontal="center" vertical="center"/>
    </xf>
    <xf numFmtId="38" fontId="93" fillId="0" borderId="120" xfId="8" applyFont="1" applyFill="1" applyBorder="1" applyAlignment="1">
      <alignment horizontal="center" vertical="center"/>
    </xf>
    <xf numFmtId="38" fontId="93" fillId="0" borderId="121" xfId="8" applyFont="1" applyFill="1" applyBorder="1" applyAlignment="1">
      <alignment horizontal="center" vertical="center"/>
    </xf>
    <xf numFmtId="38" fontId="93" fillId="0" borderId="122" xfId="8" applyFont="1" applyFill="1" applyBorder="1" applyAlignment="1">
      <alignment horizontal="center" vertical="center"/>
    </xf>
    <xf numFmtId="0" fontId="77" fillId="0" borderId="12" xfId="23" applyFont="1" applyBorder="1" applyAlignment="1">
      <alignment horizontal="center" vertical="center"/>
    </xf>
    <xf numFmtId="0" fontId="77" fillId="0" borderId="14" xfId="23" applyFont="1" applyBorder="1" applyAlignment="1">
      <alignment horizontal="center" vertical="center"/>
    </xf>
    <xf numFmtId="0" fontId="77" fillId="0" borderId="20" xfId="23" applyFont="1" applyBorder="1" applyAlignment="1">
      <alignment horizontal="center" vertical="center"/>
    </xf>
    <xf numFmtId="38" fontId="2" fillId="0" borderId="120" xfId="8" applyFont="1" applyFill="1" applyBorder="1" applyAlignment="1">
      <alignment horizontal="center" vertical="center"/>
    </xf>
    <xf numFmtId="38" fontId="44" fillId="0" borderId="120" xfId="8" applyFont="1" applyBorder="1" applyAlignment="1">
      <alignment horizontal="center" vertical="center"/>
    </xf>
    <xf numFmtId="38" fontId="44" fillId="0" borderId="121" xfId="8" applyFont="1" applyBorder="1" applyAlignment="1">
      <alignment horizontal="center" vertical="center"/>
    </xf>
    <xf numFmtId="38" fontId="44" fillId="0" borderId="122" xfId="8" applyFont="1" applyBorder="1" applyAlignment="1">
      <alignment horizontal="center" vertical="center"/>
    </xf>
    <xf numFmtId="38" fontId="9" fillId="0" borderId="37" xfId="8" applyFont="1" applyFill="1" applyBorder="1" applyAlignment="1">
      <alignment horizontal="center" vertical="center" wrapText="1"/>
    </xf>
    <xf numFmtId="38" fontId="9" fillId="0" borderId="38" xfId="8" applyFont="1" applyFill="1" applyBorder="1" applyAlignment="1">
      <alignment horizontal="center" vertical="center" wrapText="1"/>
    </xf>
    <xf numFmtId="38" fontId="10" fillId="0" borderId="36" xfId="8" applyFont="1" applyBorder="1" applyAlignment="1">
      <alignment horizontal="center" vertical="center" textRotation="255"/>
    </xf>
    <xf numFmtId="38" fontId="10" fillId="0" borderId="37" xfId="8" applyFont="1" applyBorder="1" applyAlignment="1">
      <alignment horizontal="center" vertical="center" textRotation="255"/>
    </xf>
    <xf numFmtId="38" fontId="10" fillId="0" borderId="16" xfId="8" applyFont="1" applyBorder="1" applyAlignment="1">
      <alignment horizontal="center" vertical="center" textRotation="255"/>
    </xf>
    <xf numFmtId="38" fontId="10" fillId="0" borderId="38" xfId="8" applyFont="1" applyBorder="1" applyAlignment="1">
      <alignment horizontal="center" vertical="center" textRotation="255"/>
    </xf>
    <xf numFmtId="10" fontId="51" fillId="21" borderId="146" xfId="35" applyNumberFormat="1" applyFont="1" applyFill="1" applyBorder="1" applyAlignment="1" applyProtection="1">
      <alignment horizontal="center" vertical="center"/>
    </xf>
    <xf numFmtId="10" fontId="51" fillId="21" borderId="147" xfId="35" applyNumberFormat="1" applyFont="1" applyFill="1" applyBorder="1" applyAlignment="1" applyProtection="1">
      <alignment horizontal="center" vertical="center"/>
    </xf>
    <xf numFmtId="0" fontId="51" fillId="20" borderId="139" xfId="26" applyFont="1" applyFill="1" applyBorder="1" applyAlignment="1" applyProtection="1">
      <alignment horizontal="center" vertical="center"/>
      <protection locked="0"/>
    </xf>
    <xf numFmtId="0" fontId="51" fillId="20" borderId="3" xfId="26" applyFont="1" applyFill="1" applyBorder="1" applyAlignment="1" applyProtection="1">
      <alignment horizontal="center" vertical="center"/>
      <protection locked="0"/>
    </xf>
    <xf numFmtId="0" fontId="51" fillId="20" borderId="32" xfId="26" applyFont="1" applyFill="1" applyBorder="1" applyAlignment="1" applyProtection="1">
      <alignment horizontal="center" vertical="center"/>
      <protection locked="0"/>
    </xf>
    <xf numFmtId="0" fontId="51" fillId="21" borderId="143" xfId="26" applyFont="1" applyFill="1" applyBorder="1" applyAlignment="1" applyProtection="1">
      <alignment horizontal="center" vertical="center"/>
    </xf>
    <xf numFmtId="0" fontId="51" fillId="21" borderId="144" xfId="26" applyFont="1" applyFill="1" applyBorder="1" applyAlignment="1" applyProtection="1">
      <alignment horizontal="center" vertical="center"/>
    </xf>
    <xf numFmtId="0" fontId="51" fillId="21" borderId="145" xfId="26" applyFont="1" applyFill="1" applyBorder="1" applyAlignment="1" applyProtection="1">
      <alignment horizontal="center" vertical="center"/>
    </xf>
    <xf numFmtId="0" fontId="31" fillId="0" borderId="5" xfId="27" applyBorder="1" applyAlignment="1">
      <alignment horizontal="center" vertical="center" wrapText="1"/>
    </xf>
    <xf numFmtId="0" fontId="31" fillId="0" borderId="7" xfId="27" applyBorder="1" applyAlignment="1">
      <alignment horizontal="center" vertical="center" wrapText="1"/>
    </xf>
    <xf numFmtId="0" fontId="31" fillId="0" borderId="9" xfId="27" applyBorder="1" applyAlignment="1">
      <alignment horizontal="center" vertical="center" wrapText="1"/>
    </xf>
    <xf numFmtId="0" fontId="31" fillId="0" borderId="4" xfId="27" applyBorder="1" applyAlignment="1">
      <alignment horizontal="center" vertical="center"/>
    </xf>
    <xf numFmtId="0" fontId="31" fillId="0" borderId="16" xfId="27" applyBorder="1" applyAlignment="1">
      <alignment horizontal="center" vertical="center"/>
    </xf>
    <xf numFmtId="0" fontId="31" fillId="0" borderId="13" xfId="27" applyBorder="1" applyAlignment="1">
      <alignment horizontal="center" vertical="center"/>
    </xf>
    <xf numFmtId="0" fontId="31" fillId="0" borderId="12" xfId="27" applyBorder="1" applyAlignment="1">
      <alignment horizontal="center" vertical="center" wrapText="1"/>
    </xf>
    <xf numFmtId="0" fontId="31" fillId="0" borderId="14" xfId="27" applyBorder="1" applyAlignment="1">
      <alignment horizontal="center" vertical="center" wrapText="1"/>
    </xf>
    <xf numFmtId="0" fontId="31" fillId="0" borderId="20" xfId="27" applyBorder="1" applyAlignment="1">
      <alignment horizontal="center" vertical="center" wrapText="1"/>
    </xf>
    <xf numFmtId="0" fontId="31" fillId="0" borderId="4" xfId="27" applyBorder="1" applyAlignment="1">
      <alignment horizontal="left" vertical="center" wrapText="1"/>
    </xf>
    <xf numFmtId="0" fontId="31" fillId="0" borderId="13" xfId="27" applyBorder="1" applyAlignment="1">
      <alignment horizontal="left" vertical="center" wrapText="1"/>
    </xf>
    <xf numFmtId="0" fontId="33" fillId="0" borderId="4" xfId="27" applyFont="1" applyBorder="1" applyAlignment="1">
      <alignment horizontal="left" vertical="center"/>
    </xf>
    <xf numFmtId="0" fontId="33" fillId="0" borderId="13" xfId="27" applyFont="1" applyBorder="1" applyAlignment="1">
      <alignment horizontal="left" vertical="center"/>
    </xf>
    <xf numFmtId="0" fontId="33" fillId="0" borderId="4" xfId="27" applyFont="1" applyBorder="1" applyAlignment="1">
      <alignment horizontal="left" vertical="center" wrapText="1"/>
    </xf>
    <xf numFmtId="0" fontId="33" fillId="0" borderId="13" xfId="27" applyFont="1" applyBorder="1" applyAlignment="1">
      <alignment horizontal="left" vertical="center" wrapText="1"/>
    </xf>
    <xf numFmtId="0" fontId="31" fillId="0" borderId="4" xfId="27" applyBorder="1" applyAlignment="1">
      <alignment horizontal="center" vertical="center" wrapText="1"/>
    </xf>
    <xf numFmtId="0" fontId="31" fillId="0" borderId="13" xfId="27" applyBorder="1" applyAlignment="1">
      <alignment horizontal="center" vertical="center" wrapText="1"/>
    </xf>
    <xf numFmtId="0" fontId="31" fillId="18" borderId="4" xfId="27" applyFill="1" applyBorder="1" applyAlignment="1">
      <alignment horizontal="center" vertical="center" wrapText="1"/>
    </xf>
    <xf numFmtId="0" fontId="31" fillId="18" borderId="13" xfId="27" applyFill="1" applyBorder="1" applyAlignment="1">
      <alignment horizontal="center" vertical="center" wrapText="1"/>
    </xf>
    <xf numFmtId="0" fontId="33" fillId="0" borderId="4" xfId="26" applyFont="1" applyBorder="1" applyAlignment="1">
      <alignment horizontal="left" vertical="center" wrapText="1"/>
    </xf>
    <xf numFmtId="0" fontId="33" fillId="0" borderId="13" xfId="26" applyFont="1" applyBorder="1" applyAlignment="1">
      <alignment horizontal="left" vertical="center" wrapText="1"/>
    </xf>
    <xf numFmtId="0" fontId="33" fillId="0" borderId="4" xfId="27" applyFont="1" applyBorder="1" applyAlignment="1">
      <alignment vertical="center" wrapText="1"/>
    </xf>
    <xf numFmtId="0" fontId="33" fillId="0" borderId="13" xfId="27" applyFont="1" applyBorder="1" applyAlignment="1">
      <alignment vertical="center" wrapText="1"/>
    </xf>
    <xf numFmtId="0" fontId="31" fillId="17" borderId="4" xfId="27" applyFill="1" applyBorder="1" applyAlignment="1">
      <alignment horizontal="center" vertical="center" wrapText="1"/>
    </xf>
    <xf numFmtId="0" fontId="31" fillId="17" borderId="16" xfId="27" applyFill="1" applyBorder="1" applyAlignment="1">
      <alignment horizontal="center" vertical="center" wrapText="1"/>
    </xf>
    <xf numFmtId="0" fontId="31" fillId="17" borderId="13" xfId="27" applyFill="1" applyBorder="1" applyAlignment="1">
      <alignment horizontal="center" vertical="center" wrapText="1"/>
    </xf>
    <xf numFmtId="0" fontId="31" fillId="0" borderId="16" xfId="27" applyBorder="1" applyAlignment="1">
      <alignment horizontal="center" vertical="center" wrapText="1"/>
    </xf>
    <xf numFmtId="0" fontId="31" fillId="0" borderId="126" xfId="27" applyBorder="1" applyAlignment="1">
      <alignment horizontal="center" vertical="center" wrapText="1"/>
    </xf>
    <xf numFmtId="0" fontId="31" fillId="0" borderId="127" xfId="27" applyBorder="1" applyAlignment="1">
      <alignment horizontal="center" vertical="center" wrapText="1"/>
    </xf>
    <xf numFmtId="0" fontId="31" fillId="0" borderId="128" xfId="27" applyBorder="1" applyAlignment="1">
      <alignment horizontal="center" vertical="center" wrapText="1"/>
    </xf>
  </cellXfs>
  <cellStyles count="36">
    <cellStyle name="Comma" xfId="31" builtinId="3"/>
    <cellStyle name="Comma [0]" xfId="1" builtinId="6"/>
    <cellStyle name="Hyperlink" xfId="29" builtinId="8"/>
    <cellStyle name="Normal" xfId="0" builtinId="0"/>
    <cellStyle name="Percent" xfId="30" builtinId="5"/>
    <cellStyle name="パーセント 2" xfId="13" xr:uid="{00000000-0005-0000-0000-00003D000000}"/>
    <cellStyle name="パーセント 2 2" xfId="5" xr:uid="{00000000-0005-0000-0000-000015000000}"/>
    <cellStyle name="パーセント 2 2 2" xfId="25" xr:uid="{1984494C-4DBF-43BB-9344-1EDEC4679DCB}"/>
    <cellStyle name="パーセント 3" xfId="4" xr:uid="{00000000-0005-0000-0000-000010000000}"/>
    <cellStyle name="パーセント 4" xfId="20" xr:uid="{3A1A76DD-BDBD-49D3-B2F1-187043A79B72}"/>
    <cellStyle name="パーセント 4 2" xfId="34" xr:uid="{42A2B438-795F-4FAB-9F40-301587523615}"/>
    <cellStyle name="パーセント 5" xfId="35" xr:uid="{9D1FF87E-8A8E-4D9F-8522-4694B7DAB389}"/>
    <cellStyle name="一般 2" xfId="7" xr:uid="{00000000-0005-0000-0000-000024000000}"/>
    <cellStyle name="一般_机械别稼动率1" xfId="15" xr:uid="{ABCA587A-2991-4EC0-B421-CD30F80C914F}"/>
    <cellStyle name="千分位 2" xfId="3" xr:uid="{00000000-0005-0000-0000-00000A000000}"/>
    <cellStyle name="桁区切り [0.00] 2" xfId="22" xr:uid="{879A4616-90AA-420F-8D3A-A3EC7E6D065F}"/>
    <cellStyle name="桁区切り [0.00] 3" xfId="24" xr:uid="{1574B25C-828A-4986-8A1B-38B954684548}"/>
    <cellStyle name="桁区切り 2" xfId="8" xr:uid="{00000000-0005-0000-0000-000028000000}"/>
    <cellStyle name="桁区切り 2 2" xfId="19" xr:uid="{5CFB8413-5421-4DC6-91FF-F4434AAB870C}"/>
    <cellStyle name="桁区切り 3" xfId="6" xr:uid="{00000000-0005-0000-0000-000020000000}"/>
    <cellStyle name="桁区切り 3 2" xfId="28" xr:uid="{3F0155F7-807F-4E91-BA3F-5D9D3707CB8F}"/>
    <cellStyle name="桁区切り 4" xfId="21" xr:uid="{B7D72BDB-C225-4489-B98B-BB25881B6704}"/>
    <cellStyle name="桁区切り 4 2" xfId="33" xr:uid="{E5C6873F-2F00-4F81-BC5B-0E24E2E8DE72}"/>
    <cellStyle name="標準 2" xfId="9" xr:uid="{00000000-0005-0000-0000-00002E000000}"/>
    <cellStyle name="標準 2 2" xfId="23" xr:uid="{112C8013-2511-4D43-BAD0-0EC6489385C6}"/>
    <cellStyle name="標準 3" xfId="2" xr:uid="{00000000-0005-0000-0000-000006000000}"/>
    <cellStyle name="標準 3 2" xfId="14" xr:uid="{00000000-0005-0000-0000-00003E000000}"/>
    <cellStyle name="標準 3 2 2" xfId="16" xr:uid="{4BAA3AC9-0136-41FB-A81E-9F911D02339C}"/>
    <cellStyle name="標準 3 3" xfId="18" xr:uid="{16137488-DE15-4415-9B19-BC7B15A2A3B4}"/>
    <cellStyle name="標準 4" xfId="11" xr:uid="{00000000-0005-0000-0000-000034000000}"/>
    <cellStyle name="標準 5" xfId="17" xr:uid="{B5DA2B7D-614E-4A05-B684-00BFBD994B97}"/>
    <cellStyle name="標準 6" xfId="32" xr:uid="{A9ADFBB0-63F8-489A-B0EC-35FE723F97C2}"/>
    <cellStyle name="標準_Du lieu tinh san xuat VNM-VDM" xfId="12" xr:uid="{00000000-0005-0000-0000-000036000000}"/>
    <cellStyle name="標準_Du lieu tinh san xuat VNM-VDM 2" xfId="26" xr:uid="{C645E4E2-0766-49AC-9034-09A86354EA6A}"/>
    <cellStyle name="標準_Sheet1" xfId="10" xr:uid="{00000000-0005-0000-0000-000030000000}"/>
    <cellStyle name="標準_Sheet1 2" xfId="27" xr:uid="{D302C5B6-5018-4A5D-B762-FD72C060050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CC"/>
      <color rgb="FFFF9999"/>
      <color rgb="FFCCFFFF"/>
      <color rgb="FFC0C0C0"/>
      <color rgb="FFFF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機械別実績!$J$10:$K$10</c:f>
              <c:strCache>
                <c:ptCount val="2"/>
                <c:pt idx="0">
                  <c:v>LA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機械別実績!$L$10:$W$10</c:f>
              <c:numCache>
                <c:formatCode>#,##0_);[Red]\(#,##0\)</c:formatCode>
                <c:ptCount val="12"/>
                <c:pt idx="0">
                  <c:v>45133</c:v>
                </c:pt>
                <c:pt idx="1">
                  <c:v>32367</c:v>
                </c:pt>
                <c:pt idx="2">
                  <c:v>50689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4-45C7-B231-7658E601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711808"/>
        <c:axId val="98721792"/>
      </c:barChart>
      <c:lineChart>
        <c:grouping val="standard"/>
        <c:varyColors val="0"/>
        <c:ser>
          <c:idx val="3"/>
          <c:order val="1"/>
          <c:tx>
            <c:strRef>
              <c:f>機械別実績!$J$11:$K$11</c:f>
              <c:strCache>
                <c:ptCount val="2"/>
                <c:pt idx="0">
                  <c:v>LA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機械別実績!$L$11:$W$11</c:f>
              <c:numCache>
                <c:formatCode>0.00%</c:formatCode>
                <c:ptCount val="12"/>
                <c:pt idx="0">
                  <c:v>0.75146520146520146</c:v>
                </c:pt>
                <c:pt idx="1">
                  <c:v>0.79040293040293041</c:v>
                </c:pt>
                <c:pt idx="2">
                  <c:v>0.84397269397269392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4-45C7-B231-7658E6018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24864"/>
        <c:axId val="98723328"/>
      </c:lineChart>
      <c:catAx>
        <c:axId val="987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721792"/>
        <c:crossesAt val="0"/>
        <c:auto val="1"/>
        <c:lblAlgn val="ctr"/>
        <c:lblOffset val="100"/>
        <c:noMultiLvlLbl val="0"/>
      </c:catAx>
      <c:valAx>
        <c:axId val="987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1808"/>
        <c:crosses val="autoZero"/>
        <c:crossBetween val="between"/>
      </c:valAx>
      <c:valAx>
        <c:axId val="9872332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24864"/>
        <c:crosses val="max"/>
        <c:crossBetween val="between"/>
      </c:valAx>
      <c:catAx>
        <c:axId val="9872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723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機械別実績!$J$17:$K$17</c:f>
              <c:strCache>
                <c:ptCount val="2"/>
                <c:pt idx="0">
                  <c:v>MA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機械別実績!$L$17:$W$17</c:f>
              <c:numCache>
                <c:formatCode>#,##0_);[Red]\(#,##0\)</c:formatCode>
                <c:ptCount val="12"/>
                <c:pt idx="0">
                  <c:v>56798</c:v>
                </c:pt>
                <c:pt idx="1">
                  <c:v>38270</c:v>
                </c:pt>
                <c:pt idx="2">
                  <c:v>63708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2-4BDA-9F11-CEC084E2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437376"/>
        <c:axId val="98439168"/>
      </c:barChart>
      <c:lineChart>
        <c:grouping val="standard"/>
        <c:varyColors val="0"/>
        <c:ser>
          <c:idx val="3"/>
          <c:order val="1"/>
          <c:tx>
            <c:strRef>
              <c:f>機械別実績!$J$18:$K$18</c:f>
              <c:strCache>
                <c:ptCount val="2"/>
                <c:pt idx="0">
                  <c:v>MA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機械別実績!$L$18:$W$18</c:f>
              <c:numCache>
                <c:formatCode>0.00%</c:formatCode>
                <c:ptCount val="12"/>
                <c:pt idx="0">
                  <c:v>0.70926573426573425</c:v>
                </c:pt>
                <c:pt idx="1">
                  <c:v>0.70091575091575087</c:v>
                </c:pt>
                <c:pt idx="2">
                  <c:v>0.79555444555444554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2-4BDA-9F11-CEC084E2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42240"/>
        <c:axId val="98440704"/>
      </c:lineChart>
      <c:catAx>
        <c:axId val="9843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439168"/>
        <c:crossesAt val="0"/>
        <c:auto val="1"/>
        <c:lblAlgn val="ctr"/>
        <c:lblOffset val="100"/>
        <c:noMultiLvlLbl val="0"/>
      </c:catAx>
      <c:valAx>
        <c:axId val="984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7376"/>
        <c:crosses val="autoZero"/>
        <c:crossBetween val="between"/>
      </c:valAx>
      <c:valAx>
        <c:axId val="984407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2240"/>
        <c:crosses val="max"/>
        <c:crossBetween val="between"/>
      </c:valAx>
      <c:catAx>
        <c:axId val="98442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440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機械別実績!$J$26:$K$26</c:f>
              <c:strCache>
                <c:ptCount val="2"/>
                <c:pt idx="0">
                  <c:v>BJ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機械別実績!$L$26:$W$26</c:f>
              <c:numCache>
                <c:formatCode>#,##0_);[Red]\(#,##0\)</c:formatCode>
                <c:ptCount val="12"/>
                <c:pt idx="0">
                  <c:v>88979</c:v>
                </c:pt>
                <c:pt idx="1">
                  <c:v>66083</c:v>
                </c:pt>
                <c:pt idx="2">
                  <c:v>100145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9-4451-9F18-706C74B7B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492416"/>
        <c:axId val="98493952"/>
      </c:barChart>
      <c:lineChart>
        <c:grouping val="standard"/>
        <c:varyColors val="0"/>
        <c:ser>
          <c:idx val="3"/>
          <c:order val="1"/>
          <c:tx>
            <c:strRef>
              <c:f>機械別実績!$J$27:$K$27</c:f>
              <c:strCache>
                <c:ptCount val="2"/>
                <c:pt idx="0">
                  <c:v>BJ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機械別実績!$L$27:$W$27</c:f>
              <c:numCache>
                <c:formatCode>0.00%</c:formatCode>
                <c:ptCount val="12"/>
                <c:pt idx="0">
                  <c:v>0.88890109890109892</c:v>
                </c:pt>
                <c:pt idx="1">
                  <c:v>0.96824908424908429</c:v>
                </c:pt>
                <c:pt idx="2">
                  <c:v>1.0004495504495505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9-4451-9F18-706C74B7B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97280"/>
        <c:axId val="98495488"/>
      </c:lineChart>
      <c:catAx>
        <c:axId val="984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493952"/>
        <c:crossesAt val="0"/>
        <c:auto val="1"/>
        <c:lblAlgn val="ctr"/>
        <c:lblOffset val="100"/>
        <c:noMultiLvlLbl val="0"/>
      </c:catAx>
      <c:valAx>
        <c:axId val="984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2416"/>
        <c:crosses val="autoZero"/>
        <c:crossBetween val="between"/>
      </c:valAx>
      <c:valAx>
        <c:axId val="9849548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7280"/>
        <c:crosses val="max"/>
        <c:crossBetween val="between"/>
      </c:valAx>
      <c:catAx>
        <c:axId val="98497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495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機械別実績!$J$31:$K$31</c:f>
              <c:strCache>
                <c:ptCount val="2"/>
                <c:pt idx="0">
                  <c:v>DA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機械別実績!$L$31:$W$31</c:f>
              <c:numCache>
                <c:formatCode>#,##0_);[Red]\(#,##0\)</c:formatCode>
                <c:ptCount val="12"/>
                <c:pt idx="0">
                  <c:v>8420</c:v>
                </c:pt>
                <c:pt idx="1">
                  <c:v>6820</c:v>
                </c:pt>
                <c:pt idx="2">
                  <c:v>9833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B-4B27-AC2B-64441B514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540544"/>
        <c:axId val="98550528"/>
      </c:barChart>
      <c:lineChart>
        <c:grouping val="standard"/>
        <c:varyColors val="0"/>
        <c:ser>
          <c:idx val="3"/>
          <c:order val="1"/>
          <c:tx>
            <c:strRef>
              <c:f>機械別実績!$J$32:$K$32</c:f>
              <c:strCache>
                <c:ptCount val="2"/>
                <c:pt idx="0">
                  <c:v>DA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機械別実績!$L$32:$W$32</c:f>
              <c:numCache>
                <c:formatCode>0.00%</c:formatCode>
                <c:ptCount val="12"/>
                <c:pt idx="0">
                  <c:v>0.2102897102897103</c:v>
                </c:pt>
                <c:pt idx="1">
                  <c:v>0.24981684981684982</c:v>
                </c:pt>
                <c:pt idx="2">
                  <c:v>0.24557942057942059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B-4B27-AC2B-64441B514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2048"/>
        <c:axId val="98552064"/>
      </c:lineChart>
      <c:catAx>
        <c:axId val="985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550528"/>
        <c:crossesAt val="0"/>
        <c:auto val="1"/>
        <c:lblAlgn val="ctr"/>
        <c:lblOffset val="100"/>
        <c:noMultiLvlLbl val="0"/>
      </c:catAx>
      <c:valAx>
        <c:axId val="985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544"/>
        <c:crosses val="autoZero"/>
        <c:crossBetween val="between"/>
      </c:valAx>
      <c:valAx>
        <c:axId val="985520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2048"/>
        <c:crosses val="max"/>
        <c:crossBetween val="between"/>
      </c:valAx>
      <c:catAx>
        <c:axId val="98562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55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機械別実績!$J$42:$K$42</c:f>
              <c:strCache>
                <c:ptCount val="2"/>
                <c:pt idx="0">
                  <c:v>LN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機械別実績!$L$42:$W$42</c:f>
              <c:numCache>
                <c:formatCode>#,##0_);[Red]\(#,##0\)</c:formatCode>
                <c:ptCount val="12"/>
                <c:pt idx="0">
                  <c:v>48637</c:v>
                </c:pt>
                <c:pt idx="1">
                  <c:v>35111</c:v>
                </c:pt>
                <c:pt idx="2">
                  <c:v>57797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5-415D-98F5-9633E1C5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785536"/>
        <c:axId val="98795520"/>
      </c:barChart>
      <c:lineChart>
        <c:grouping val="standard"/>
        <c:varyColors val="0"/>
        <c:ser>
          <c:idx val="3"/>
          <c:order val="1"/>
          <c:tx>
            <c:strRef>
              <c:f>機械別実績!$J$43:$K$43</c:f>
              <c:strCache>
                <c:ptCount val="2"/>
                <c:pt idx="0">
                  <c:v>LN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機械別実績!$L$43:$W$43</c:f>
              <c:numCache>
                <c:formatCode>0.00%</c:formatCode>
                <c:ptCount val="12"/>
                <c:pt idx="0">
                  <c:v>1.2147102897102897</c:v>
                </c:pt>
                <c:pt idx="1">
                  <c:v>1.2861172161172161</c:v>
                </c:pt>
                <c:pt idx="2">
                  <c:v>1.4434815184815184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5-415D-98F5-9633E1C5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98592"/>
        <c:axId val="98797056"/>
      </c:lineChart>
      <c:catAx>
        <c:axId val="9878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795520"/>
        <c:crossesAt val="0"/>
        <c:auto val="1"/>
        <c:lblAlgn val="ctr"/>
        <c:lblOffset val="100"/>
        <c:noMultiLvlLbl val="0"/>
      </c:catAx>
      <c:valAx>
        <c:axId val="987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5536"/>
        <c:crosses val="autoZero"/>
        <c:crossBetween val="between"/>
      </c:valAx>
      <c:valAx>
        <c:axId val="9879705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8592"/>
        <c:crosses val="max"/>
        <c:crossBetween val="between"/>
      </c:valAx>
      <c:catAx>
        <c:axId val="9879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797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機械別実績!$J$49:$K$49</c:f>
              <c:strCache>
                <c:ptCount val="2"/>
                <c:pt idx="0">
                  <c:v>MC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機械別実績!$L$49:$W$49</c:f>
              <c:numCache>
                <c:formatCode>#,##0_);[Red]\(#,##0\)</c:formatCode>
                <c:ptCount val="12"/>
                <c:pt idx="0">
                  <c:v>69255</c:v>
                </c:pt>
                <c:pt idx="1">
                  <c:v>48039</c:v>
                </c:pt>
                <c:pt idx="2">
                  <c:v>85994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A-4FA6-8609-15013806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機械別実績!$J$50:$K$50</c:f>
              <c:strCache>
                <c:ptCount val="2"/>
                <c:pt idx="0">
                  <c:v>MC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機械別実績!$L$50:$W$50</c:f>
              <c:numCache>
                <c:formatCode>0.00%</c:formatCode>
                <c:ptCount val="12"/>
                <c:pt idx="0">
                  <c:v>1.1530969030969032</c:v>
                </c:pt>
                <c:pt idx="1">
                  <c:v>1.173113553113553</c:v>
                </c:pt>
                <c:pt idx="2">
                  <c:v>1.4318015318015318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A-4FA6-8609-15013806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機械別実績!$J$37:$K$37</c:f>
              <c:strCache>
                <c:ptCount val="2"/>
                <c:pt idx="0">
                  <c:v>HT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機械別実績!$L$37:$W$37</c:f>
              <c:numCache>
                <c:formatCode>#,##0_);[Red]\(#,##0\)</c:formatCode>
                <c:ptCount val="12"/>
                <c:pt idx="0">
                  <c:v>14010</c:v>
                </c:pt>
                <c:pt idx="1">
                  <c:v>9620</c:v>
                </c:pt>
                <c:pt idx="2">
                  <c:v>15035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0-467C-B5B0-FCFE9FA6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540544"/>
        <c:axId val="98550528"/>
      </c:barChart>
      <c:lineChart>
        <c:grouping val="standard"/>
        <c:varyColors val="0"/>
        <c:ser>
          <c:idx val="3"/>
          <c:order val="1"/>
          <c:tx>
            <c:strRef>
              <c:f>機械別実績!$J$38:$K$38</c:f>
              <c:strCache>
                <c:ptCount val="2"/>
                <c:pt idx="0">
                  <c:v>HT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機械別実績!$L$38:$W$38</c:f>
              <c:numCache>
                <c:formatCode>0.00%</c:formatCode>
                <c:ptCount val="12"/>
                <c:pt idx="0">
                  <c:v>0.43320964749536178</c:v>
                </c:pt>
                <c:pt idx="1">
                  <c:v>0.43628117913832198</c:v>
                </c:pt>
                <c:pt idx="2">
                  <c:v>0.46490414347557207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0-467C-B5B0-FCFE9FA6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2048"/>
        <c:axId val="98552064"/>
      </c:lineChart>
      <c:catAx>
        <c:axId val="985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550528"/>
        <c:crossesAt val="0"/>
        <c:auto val="1"/>
        <c:lblAlgn val="ctr"/>
        <c:lblOffset val="100"/>
        <c:noMultiLvlLbl val="0"/>
      </c:catAx>
      <c:valAx>
        <c:axId val="985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544"/>
        <c:crosses val="autoZero"/>
        <c:crossBetween val="between"/>
      </c:valAx>
      <c:valAx>
        <c:axId val="985520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2048"/>
        <c:crosses val="max"/>
        <c:crossBetween val="between"/>
      </c:valAx>
      <c:catAx>
        <c:axId val="98562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55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機械別実績!$C$39</c:f>
              <c:strCache>
                <c:ptCount val="1"/>
                <c:pt idx="0">
                  <c:v>LN01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機械別実績!$L$39:$W$39</c:f>
              <c:numCache>
                <c:formatCode>#,##0_);[Red]\(#,##0\)</c:formatCode>
                <c:ptCount val="12"/>
                <c:pt idx="0">
                  <c:v>23009</c:v>
                </c:pt>
                <c:pt idx="1">
                  <c:v>14812</c:v>
                </c:pt>
                <c:pt idx="2">
                  <c:v>27047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B-4CB5-A60A-1846E6D47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機械別実績!$C$40</c15:sqref>
                        </c15:formulaRef>
                      </c:ext>
                    </c:extLst>
                    <c:strCache>
                      <c:ptCount val="1"/>
                      <c:pt idx="0">
                        <c:v>LN02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機械別実績!$L$40:$W$40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25628</c:v>
                      </c:pt>
                      <c:pt idx="1">
                        <c:v>20299</c:v>
                      </c:pt>
                      <c:pt idx="2">
                        <c:v>30750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2BB-4CB5-A60A-1846E6D47C3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機械別実績!$C$41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機械別実績!$L$41:$W$41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2BB-4CB5-A60A-1846E6D47C34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8.691037037037036E-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機械別実績!$C$44</c:f>
              <c:strCache>
                <c:ptCount val="1"/>
                <c:pt idx="0">
                  <c:v>MC1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機械別実績!$L$44:$W$44</c:f>
              <c:numCache>
                <c:formatCode>#,##0_);[Red]\(#,##0\)</c:formatCode>
                <c:ptCount val="12"/>
                <c:pt idx="0">
                  <c:v>24069</c:v>
                </c:pt>
                <c:pt idx="1">
                  <c:v>15339</c:v>
                </c:pt>
                <c:pt idx="2">
                  <c:v>31366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6-4C6D-ABDC-AB7EBB9ED0E1}"/>
            </c:ext>
          </c:extLst>
        </c:ser>
        <c:ser>
          <c:idx val="1"/>
          <c:order val="1"/>
          <c:tx>
            <c:strRef>
              <c:f>機械別実績!$C$45</c:f>
              <c:strCache>
                <c:ptCount val="1"/>
                <c:pt idx="0">
                  <c:v>MC2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機械別実績!$L$45:$W$45</c:f>
              <c:numCache>
                <c:formatCode>#,##0_);[Red]\(#,##0\)</c:formatCode>
                <c:ptCount val="12"/>
                <c:pt idx="0">
                  <c:v>20892</c:v>
                </c:pt>
                <c:pt idx="1">
                  <c:v>15143</c:v>
                </c:pt>
                <c:pt idx="2">
                  <c:v>24112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336-4C6D-ABDC-AB7EBB9ED0E1}"/>
            </c:ext>
          </c:extLst>
        </c:ser>
        <c:ser>
          <c:idx val="2"/>
          <c:order val="2"/>
          <c:tx>
            <c:strRef>
              <c:f>機械別実績!$C$46</c:f>
              <c:strCache>
                <c:ptCount val="1"/>
                <c:pt idx="0">
                  <c:v>MC3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機械別実績!$L$46:$W$46</c:f>
              <c:numCache>
                <c:formatCode>#,##0_);[Red]\(#,##0\)</c:formatCode>
                <c:ptCount val="12"/>
                <c:pt idx="0">
                  <c:v>24294</c:v>
                </c:pt>
                <c:pt idx="1">
                  <c:v>17557</c:v>
                </c:pt>
                <c:pt idx="2">
                  <c:v>30516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6-4C6D-ABDC-AB7EBB9ED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機械別実績!$C$47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機械別実績!$L$47:$W$47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336-4C6D-ABDC-AB7EBB9ED0E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機械別実績!$L$48:$W$48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336-4C6D-ABDC-AB7EBB9ED0E1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7858166666666667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機械別実績!$C$51</c:f>
              <c:strCache>
                <c:ptCount val="1"/>
                <c:pt idx="0">
                  <c:v>ED01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機械別実績!$L$51:$W$51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A-4C11-BF33-37644E3CCC7D}"/>
            </c:ext>
          </c:extLst>
        </c:ser>
        <c:ser>
          <c:idx val="1"/>
          <c:order val="1"/>
          <c:tx>
            <c:strRef>
              <c:f>機械別実績!$C$52</c:f>
              <c:strCache>
                <c:ptCount val="1"/>
                <c:pt idx="0">
                  <c:v>ED02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  <c:extLst xmlns:c15="http://schemas.microsoft.com/office/drawing/2012/chart"/>
            </c:strRef>
          </c:cat>
          <c:val>
            <c:numRef>
              <c:f>機械別実績!$L$52:$W$52</c:f>
              <c:numCache>
                <c:formatCode>#,##0_);[Red]\(#,##0\)</c:formatCode>
                <c:ptCount val="12"/>
                <c:pt idx="0">
                  <c:v>9745</c:v>
                </c:pt>
                <c:pt idx="1">
                  <c:v>4140</c:v>
                </c:pt>
                <c:pt idx="2">
                  <c:v>9329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72A-4C11-BF33-37644E3C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機械別実績!$C$53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機械別実績!$L$53:$W$53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8B5-40CD-9B39-05194A3A7EF5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758978124069637"/>
          <c:h val="9.0663984716475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機械別実績!$J$54:$K$54</c:f>
              <c:strCache>
                <c:ptCount val="2"/>
                <c:pt idx="0">
                  <c:v>ED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機械別実績!$L$54:$W$54</c:f>
              <c:numCache>
                <c:formatCode>#,##0_);[Red]\(#,##0\)</c:formatCode>
                <c:ptCount val="12"/>
                <c:pt idx="0">
                  <c:v>9745</c:v>
                </c:pt>
                <c:pt idx="1">
                  <c:v>4140</c:v>
                </c:pt>
                <c:pt idx="2">
                  <c:v>9329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1-484C-9541-32CBD748E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機械別実績!$J$55:$K$55</c:f>
              <c:strCache>
                <c:ptCount val="2"/>
                <c:pt idx="0">
                  <c:v>ED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機械別実績!$L$55:$W$55</c:f>
              <c:numCache>
                <c:formatCode>0.00%</c:formatCode>
                <c:ptCount val="12"/>
                <c:pt idx="0">
                  <c:v>0.24338161838161837</c:v>
                </c:pt>
                <c:pt idx="1">
                  <c:v>0.15164835164835164</c:v>
                </c:pt>
                <c:pt idx="2">
                  <c:v>0.232992007992008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1-484C-9541-32CBD748E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機械別実績!$J$65:$K$65</c:f>
              <c:strCache>
                <c:ptCount val="2"/>
                <c:pt idx="0">
                  <c:v>EN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機械別実績!$L$65:$W$65</c:f>
              <c:numCache>
                <c:formatCode>#,##0_);[Red]\(#,##0\)</c:formatCode>
                <c:ptCount val="12"/>
                <c:pt idx="0">
                  <c:v>89769</c:v>
                </c:pt>
                <c:pt idx="1">
                  <c:v>59099</c:v>
                </c:pt>
                <c:pt idx="2">
                  <c:v>97880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D-482C-BA97-EB0F41AE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機械別実績!$J$66:$K$66</c:f>
              <c:strCache>
                <c:ptCount val="2"/>
                <c:pt idx="0">
                  <c:v>EN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機械別実績!$L$66:$W$66</c:f>
              <c:numCache>
                <c:formatCode>0.00%</c:formatCode>
                <c:ptCount val="12"/>
                <c:pt idx="0">
                  <c:v>1.1209915084915085</c:v>
                </c:pt>
                <c:pt idx="1">
                  <c:v>1.0823992673992675</c:v>
                </c:pt>
                <c:pt idx="2">
                  <c:v>1.2222777222777224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D-482C-BA97-EB0F41AE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機械別実績!$J$72:$K$72</c:f>
              <c:strCache>
                <c:ptCount val="2"/>
                <c:pt idx="0">
                  <c:v>EW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機械別実績!$L$72:$W$72</c:f>
              <c:numCache>
                <c:formatCode>#,##0_);[Red]\(#,##0\)</c:formatCode>
                <c:ptCount val="12"/>
                <c:pt idx="0">
                  <c:v>102209</c:v>
                </c:pt>
                <c:pt idx="1">
                  <c:v>72836</c:v>
                </c:pt>
                <c:pt idx="2">
                  <c:v>123844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C-4A9F-ACDB-9FA9F93D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機械別実績!$J$73:$K$73</c:f>
              <c:strCache>
                <c:ptCount val="2"/>
                <c:pt idx="0">
                  <c:v>EW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機械別実績!$L$73:$W$73</c:f>
              <c:numCache>
                <c:formatCode>0.00%</c:formatCode>
                <c:ptCount val="12"/>
                <c:pt idx="0">
                  <c:v>1.2763361638361639</c:v>
                </c:pt>
                <c:pt idx="1">
                  <c:v>1.333992673992674</c:v>
                </c:pt>
                <c:pt idx="2">
                  <c:v>1.5465034965034965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C-4A9F-ACDB-9FA9F93D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機械別実績!$J$77:$K$77</c:f>
              <c:strCache>
                <c:ptCount val="2"/>
                <c:pt idx="0">
                  <c:v>GC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機械別実績!$L$77:$W$77</c:f>
              <c:numCache>
                <c:formatCode>#,##0_);[Red]\(#,##0\)</c:formatCode>
                <c:ptCount val="12"/>
                <c:pt idx="0">
                  <c:v>24212</c:v>
                </c:pt>
                <c:pt idx="1">
                  <c:v>16319</c:v>
                </c:pt>
                <c:pt idx="2">
                  <c:v>35459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0-463D-A06F-60B46505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機械別実績!$J$78:$K$78</c:f>
              <c:strCache>
                <c:ptCount val="2"/>
                <c:pt idx="0">
                  <c:v>GC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機械別実績!$L$78:$W$78</c:f>
              <c:numCache>
                <c:formatCode>0.00%</c:formatCode>
                <c:ptCount val="12"/>
                <c:pt idx="0">
                  <c:v>0.60469530469530475</c:v>
                </c:pt>
                <c:pt idx="1">
                  <c:v>0.59776556776556777</c:v>
                </c:pt>
                <c:pt idx="2">
                  <c:v>0.88558941058941054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0-463D-A06F-60B46505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機械別実績!$J$82:$K$82</c:f>
              <c:strCache>
                <c:ptCount val="2"/>
                <c:pt idx="0">
                  <c:v>GJ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機械別実績!$L$82:$W$82</c:f>
              <c:numCache>
                <c:formatCode>#,##0_);[Red]\(#,##0\)</c:formatCode>
                <c:ptCount val="12"/>
                <c:pt idx="0">
                  <c:v>34124</c:v>
                </c:pt>
                <c:pt idx="1">
                  <c:v>21730</c:v>
                </c:pt>
                <c:pt idx="2">
                  <c:v>23596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D-49FE-97D6-504F483D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機械別実績!$J$83:$K$83</c:f>
              <c:strCache>
                <c:ptCount val="2"/>
                <c:pt idx="0">
                  <c:v>GJ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機械別実績!$L$83:$W$83</c:f>
              <c:numCache>
                <c:formatCode>0.00%</c:formatCode>
                <c:ptCount val="12"/>
                <c:pt idx="0">
                  <c:v>0.85224775224775229</c:v>
                </c:pt>
                <c:pt idx="1">
                  <c:v>0.79597069597069592</c:v>
                </c:pt>
                <c:pt idx="2">
                  <c:v>0.58931068931068931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D-49FE-97D6-504F483D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機械別実績!$C$84</c:f>
              <c:strCache>
                <c:ptCount val="1"/>
                <c:pt idx="0">
                  <c:v>GP02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機械別実績!$L$84:$W$84</c:f>
              <c:numCache>
                <c:formatCode>#,##0_);[Red]\(#,##0\)</c:formatCode>
                <c:ptCount val="12"/>
                <c:pt idx="0">
                  <c:v>19083</c:v>
                </c:pt>
                <c:pt idx="1">
                  <c:v>11551</c:v>
                </c:pt>
                <c:pt idx="2">
                  <c:v>21417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C-41D1-AEE5-CF559C242337}"/>
            </c:ext>
          </c:extLst>
        </c:ser>
        <c:ser>
          <c:idx val="1"/>
          <c:order val="1"/>
          <c:tx>
            <c:strRef>
              <c:f>機械別実績!$C$85</c:f>
              <c:strCache>
                <c:ptCount val="1"/>
                <c:pt idx="0">
                  <c:v>GP03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機械別実績!$L$85:$W$85</c:f>
              <c:numCache>
                <c:formatCode>#,##0_);[Red]\(#,##0\)</c:formatCode>
                <c:ptCount val="12"/>
                <c:pt idx="0">
                  <c:v>22024</c:v>
                </c:pt>
                <c:pt idx="1">
                  <c:v>15204</c:v>
                </c:pt>
                <c:pt idx="2">
                  <c:v>24031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D8C-41D1-AEE5-CF559C24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機械別実績!$C$86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機械別実績!$L$86:$W$86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D8C-41D1-AEE5-CF559C2423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機械別実績!$C$87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機械別実績!$L$87:$W$87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8C-41D1-AEE5-CF559C24233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804248148148148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機械別実績!$J$88:$K$88</c:f>
              <c:strCache>
                <c:ptCount val="2"/>
                <c:pt idx="0">
                  <c:v>GP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機械別実績!$L$88:$W$88</c:f>
              <c:numCache>
                <c:formatCode>#,##0_);[Red]\(#,##0\)</c:formatCode>
                <c:ptCount val="12"/>
                <c:pt idx="0">
                  <c:v>41107</c:v>
                </c:pt>
                <c:pt idx="1">
                  <c:v>26755</c:v>
                </c:pt>
                <c:pt idx="2">
                  <c:v>45448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7-4ED9-85F5-6DB4DDC4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機械別実績!$J$89:$K$89</c:f>
              <c:strCache>
                <c:ptCount val="2"/>
                <c:pt idx="0">
                  <c:v>GP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機械別実績!$L$89:$W$89</c:f>
              <c:numCache>
                <c:formatCode>0.00%</c:formatCode>
                <c:ptCount val="12"/>
                <c:pt idx="0">
                  <c:v>1.0266483516483516</c:v>
                </c:pt>
                <c:pt idx="1">
                  <c:v>0.98003663003663</c:v>
                </c:pt>
                <c:pt idx="2">
                  <c:v>1.1350649350649351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7-4ED9-85F5-6DB4DDC4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機械別実績!$C$90</c:f>
              <c:strCache>
                <c:ptCount val="1"/>
                <c:pt idx="0">
                  <c:v>GR02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機械別実績!$L$90:$W$90</c:f>
              <c:numCache>
                <c:formatCode>_(* #,##0_);_(* \(#,##0\);_(* "-"??_);_(@_)</c:formatCode>
                <c:ptCount val="12"/>
                <c:pt idx="0">
                  <c:v>21736</c:v>
                </c:pt>
                <c:pt idx="1">
                  <c:v>15067</c:v>
                </c:pt>
                <c:pt idx="2">
                  <c:v>20638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D-40F6-A877-44E5D5DC97E1}"/>
            </c:ext>
          </c:extLst>
        </c:ser>
        <c:ser>
          <c:idx val="1"/>
          <c:order val="1"/>
          <c:tx>
            <c:strRef>
              <c:f>機械別実績!$C$91</c:f>
              <c:strCache>
                <c:ptCount val="1"/>
                <c:pt idx="0">
                  <c:v>GR04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機械別実績!$L$91:$W$91</c:f>
              <c:numCache>
                <c:formatCode>_(* #,##0_);_(* \(#,##0\);_(* "-"??_);_(@_)</c:formatCode>
                <c:ptCount val="12"/>
                <c:pt idx="0">
                  <c:v>21282</c:v>
                </c:pt>
                <c:pt idx="1">
                  <c:v>15244</c:v>
                </c:pt>
                <c:pt idx="2">
                  <c:v>20283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A0D-40F6-A877-44E5D5DC9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機械別実績!$C$92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機械別実績!$L$92:$W$92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A0D-40F6-A877-44E5D5DC97E1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804248148148148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機械別実績!$J$93:$K$93</c:f>
              <c:strCache>
                <c:ptCount val="2"/>
                <c:pt idx="0">
                  <c:v>GR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機械別実績!$L$93:$W$93</c:f>
              <c:numCache>
                <c:formatCode>#,##0_);[Red]\(#,##0\)</c:formatCode>
                <c:ptCount val="12"/>
                <c:pt idx="0">
                  <c:v>43018</c:v>
                </c:pt>
                <c:pt idx="1">
                  <c:v>30311</c:v>
                </c:pt>
                <c:pt idx="2">
                  <c:v>40921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D-4F9E-9E21-4AFAAAD4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機械別実績!$J$94:$K$94</c:f>
              <c:strCache>
                <c:ptCount val="2"/>
                <c:pt idx="0">
                  <c:v>GR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機械別実績!$L$94:$W$94</c:f>
              <c:numCache>
                <c:formatCode>0.00%</c:formatCode>
                <c:ptCount val="12"/>
                <c:pt idx="0">
                  <c:v>1.0743756243756244</c:v>
                </c:pt>
                <c:pt idx="1">
                  <c:v>1.1102930402930402</c:v>
                </c:pt>
                <c:pt idx="2">
                  <c:v>1.0220029970029969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D-4F9E-9E21-4AFAAAD4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機械別実績!$C$95</c:f>
              <c:strCache>
                <c:ptCount val="1"/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機械別実績!$L$95:$W$95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741D-44D3-AB8B-DFD5D90F2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機械別実績!$C$96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機械別実績!$L$96:$W$96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1-741D-44D3-AB8B-DFD5D90F252A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18042481481481482"/>
          <c:h val="0.10575119325555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機械別実績!$J$97:$K$97</c:f>
              <c:strCache>
                <c:ptCount val="2"/>
                <c:pt idx="0">
                  <c:v>GX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機械別実績!$L$97:$W$97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F-414D-9EB9-C5ED3F53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機械別実績!$J$98:$K$98</c:f>
              <c:strCache>
                <c:ptCount val="2"/>
                <c:pt idx="0">
                  <c:v>GX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機械別実績!$L$98:$W$98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F-414D-9EB9-C5ED3F53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8.7474697409116675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257713777237927E-2"/>
          <c:y val="0.28885373101186673"/>
          <c:w val="0.8317073856191497"/>
          <c:h val="0.562973099510757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機械別実績!$J$107:$K$107</c:f>
              <c:strCache>
                <c:ptCount val="2"/>
                <c:pt idx="0">
                  <c:v>GS</c:v>
                </c:pt>
                <c:pt idx="1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prstClr val="black"/>
              </a:solidFill>
            </a:ln>
            <a:effectLst/>
          </c:spPr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機械別実績!$L$107:$W$107</c:f>
              <c:numCache>
                <c:formatCode>#,##0_);[Red]\(#,##0\)</c:formatCode>
                <c:ptCount val="12"/>
                <c:pt idx="0">
                  <c:v>130317</c:v>
                </c:pt>
                <c:pt idx="1">
                  <c:v>89896</c:v>
                </c:pt>
                <c:pt idx="2">
                  <c:v>145294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9-4E9A-9613-F29097E8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26112"/>
        <c:axId val="98827648"/>
      </c:barChart>
      <c:lineChart>
        <c:grouping val="standard"/>
        <c:varyColors val="0"/>
        <c:ser>
          <c:idx val="3"/>
          <c:order val="1"/>
          <c:tx>
            <c:strRef>
              <c:f>機械別実績!$J$108:$K$108</c:f>
              <c:strCache>
                <c:ptCount val="2"/>
                <c:pt idx="0">
                  <c:v>GS</c:v>
                </c:pt>
                <c:pt idx="1">
                  <c:v>稼働率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機械別実績!$L$108:$W$108</c:f>
              <c:numCache>
                <c:formatCode>0.00%</c:formatCode>
                <c:ptCount val="12"/>
                <c:pt idx="0">
                  <c:v>0.92990580847723703</c:v>
                </c:pt>
                <c:pt idx="1">
                  <c:v>0.9408267922553637</c:v>
                </c:pt>
                <c:pt idx="2">
                  <c:v>1.0367775082060797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9-4E9A-9613-F29097E8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30976"/>
        <c:axId val="98829440"/>
      </c:lineChart>
      <c:catAx>
        <c:axId val="988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27648"/>
        <c:crossesAt val="0"/>
        <c:auto val="1"/>
        <c:lblAlgn val="ctr"/>
        <c:lblOffset val="100"/>
        <c:noMultiLvlLbl val="0"/>
      </c:catAx>
      <c:valAx>
        <c:axId val="988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112"/>
        <c:crosses val="autoZero"/>
        <c:crossBetween val="between"/>
      </c:valAx>
      <c:valAx>
        <c:axId val="9882944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0976"/>
        <c:crosses val="max"/>
        <c:crossBetween val="between"/>
      </c:valAx>
      <c:catAx>
        <c:axId val="9883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829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837605727054118"/>
          <c:y val="7.6339028071487444E-2"/>
          <c:w val="0.32162394272946176"/>
          <c:h val="0.10575119325555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機械別実績!$C$5</c:f>
              <c:strCache>
                <c:ptCount val="1"/>
                <c:pt idx="0">
                  <c:v>LA03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機械別実績!$L$5:$W$5</c:f>
              <c:numCache>
                <c:formatCode>#,##0_);[Red]\(#,##0\)</c:formatCode>
                <c:ptCount val="12"/>
                <c:pt idx="0">
                  <c:v>21317</c:v>
                </c:pt>
                <c:pt idx="1">
                  <c:v>15533</c:v>
                </c:pt>
                <c:pt idx="2">
                  <c:v>24601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B-499E-A62F-D10CCFA0C6D7}"/>
            </c:ext>
          </c:extLst>
        </c:ser>
        <c:ser>
          <c:idx val="1"/>
          <c:order val="1"/>
          <c:tx>
            <c:strRef>
              <c:f>機械別実績!$C$6</c:f>
              <c:strCache>
                <c:ptCount val="1"/>
                <c:pt idx="0">
                  <c:v>LA04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機械別実績!$L$6:$W$6</c:f>
              <c:numCache>
                <c:formatCode>#,##0_);[Red]\(#,##0\)</c:formatCode>
                <c:ptCount val="12"/>
                <c:pt idx="0">
                  <c:v>3020</c:v>
                </c:pt>
                <c:pt idx="1">
                  <c:v>1811</c:v>
                </c:pt>
                <c:pt idx="2">
                  <c:v>2553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0EB-499E-A62F-D10CCFA0C6D7}"/>
            </c:ext>
          </c:extLst>
        </c:ser>
        <c:ser>
          <c:idx val="2"/>
          <c:order val="2"/>
          <c:tx>
            <c:strRef>
              <c:f>機械別実績!$C$7</c:f>
              <c:strCache>
                <c:ptCount val="1"/>
                <c:pt idx="0">
                  <c:v>LA05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機械別実績!$L$7:$W$7</c:f>
              <c:numCache>
                <c:formatCode>#,##0_);[Red]\(#,##0\)</c:formatCode>
                <c:ptCount val="12"/>
                <c:pt idx="0">
                  <c:v>20796</c:v>
                </c:pt>
                <c:pt idx="1">
                  <c:v>15023</c:v>
                </c:pt>
                <c:pt idx="2">
                  <c:v>23535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0EB-499E-A62F-D10CCFA0C6D7}"/>
            </c:ext>
          </c:extLst>
        </c:ser>
        <c:ser>
          <c:idx val="3"/>
          <c:order val="3"/>
          <c:tx>
            <c:strRef>
              <c:f>機械別実績!$C$8</c:f>
              <c:strCache>
                <c:ptCount val="1"/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機械別実績!$L$8:$W$8</c:f>
              <c:numCache>
                <c:formatCode>#,##0_);[Red]\(#,##0\)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50EB-499E-A62F-D10CCFA0C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機械別実績!$C$9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機械別実績!$L$9:$W$9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0EB-499E-A62F-D10CCFA0C6D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43280611087788384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機械別実績!$C$12</c:f>
              <c:strCache>
                <c:ptCount val="1"/>
                <c:pt idx="0">
                  <c:v>MA01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機械別実績!$L$12:$W$12</c:f>
              <c:numCache>
                <c:formatCode>_(* #,##0_);_(* \(#,##0\);_(* "-"??_);_(@_)</c:formatCode>
                <c:ptCount val="12"/>
                <c:pt idx="0">
                  <c:v>21082</c:v>
                </c:pt>
                <c:pt idx="1">
                  <c:v>15201</c:v>
                </c:pt>
                <c:pt idx="2">
                  <c:v>25078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A-4B96-A7FF-0FD895DA9295}"/>
            </c:ext>
          </c:extLst>
        </c:ser>
        <c:ser>
          <c:idx val="1"/>
          <c:order val="1"/>
          <c:tx>
            <c:strRef>
              <c:f>機械別実績!$C$13</c:f>
              <c:strCache>
                <c:ptCount val="1"/>
                <c:pt idx="0">
                  <c:v>MA02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機械別実績!$L$13:$W$13</c:f>
              <c:numCache>
                <c:formatCode>_(* #,##0_);_(* \(#,##0\);_(* "-"??_);_(@_)</c:formatCode>
                <c:ptCount val="12"/>
                <c:pt idx="0">
                  <c:v>20751</c:v>
                </c:pt>
                <c:pt idx="1">
                  <c:v>12066</c:v>
                </c:pt>
                <c:pt idx="2">
                  <c:v>22910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06A-4B96-A7FF-0FD895DA9295}"/>
            </c:ext>
          </c:extLst>
        </c:ser>
        <c:ser>
          <c:idx val="2"/>
          <c:order val="2"/>
          <c:tx>
            <c:strRef>
              <c:f>機械別実績!$C$14</c:f>
              <c:strCache>
                <c:ptCount val="1"/>
                <c:pt idx="0">
                  <c:v>MA03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機械別実績!$L$14:$W$14</c:f>
              <c:numCache>
                <c:formatCode>_(* #,##0_);_(* \(#,##0\);_(* "-"??_);_(@_)</c:formatCode>
                <c:ptCount val="12"/>
                <c:pt idx="0">
                  <c:v>14965</c:v>
                </c:pt>
                <c:pt idx="1">
                  <c:v>11003</c:v>
                </c:pt>
                <c:pt idx="2">
                  <c:v>15720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06A-4B96-A7FF-0FD895DA9295}"/>
            </c:ext>
          </c:extLst>
        </c:ser>
        <c:ser>
          <c:idx val="3"/>
          <c:order val="3"/>
          <c:tx>
            <c:strRef>
              <c:f>機械別実績!$C$15</c:f>
              <c:strCache>
                <c:ptCount val="1"/>
                <c:pt idx="0">
                  <c:v>MA04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機械別実績!$L$15:$W$15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A-4B96-A7FF-0FD895DA9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機械別実績!$C$16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機械別実績!$L$16:$W$16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06A-4B96-A7FF-0FD895DA9295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4701067590599932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87416684239335"/>
          <c:y val="0.28281096183190124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機械別実績!$C$28</c:f>
              <c:strCache>
                <c:ptCount val="1"/>
                <c:pt idx="0">
                  <c:v>DA01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機械別実績!$L$28:$W$28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B-4032-A125-AAEA25CB4737}"/>
            </c:ext>
          </c:extLst>
        </c:ser>
        <c:ser>
          <c:idx val="1"/>
          <c:order val="1"/>
          <c:tx>
            <c:strRef>
              <c:f>機械別実績!$C$29</c:f>
              <c:strCache>
                <c:ptCount val="1"/>
                <c:pt idx="0">
                  <c:v>DA04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機械別実績!$L$29:$W$29</c:f>
              <c:numCache>
                <c:formatCode>_(* #,##0_);_(* \(#,##0\);_(* "-"??_);_(@_)</c:formatCode>
                <c:ptCount val="12"/>
                <c:pt idx="0">
                  <c:v>8420</c:v>
                </c:pt>
                <c:pt idx="1">
                  <c:v>6820</c:v>
                </c:pt>
                <c:pt idx="2">
                  <c:v>9833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5BB-4032-A125-AAEA25CB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機械別実績!$L$30:$W$30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5BB-4032-A125-AAEA25CB473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7327406433412802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87416684239335"/>
          <c:y val="0.28281096183190124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機械別実績!$C$33</c:f>
              <c:strCache>
                <c:ptCount val="1"/>
                <c:pt idx="0">
                  <c:v>HT01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機械別実績!$L$33:$W$33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4-4588-A14A-9EB387CA5F76}"/>
            </c:ext>
          </c:extLst>
        </c:ser>
        <c:ser>
          <c:idx val="1"/>
          <c:order val="1"/>
          <c:tx>
            <c:strRef>
              <c:f>機械別実績!$C$34</c:f>
              <c:strCache>
                <c:ptCount val="1"/>
                <c:pt idx="0">
                  <c:v>HT02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機械別実績!$L$34:$W$34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2F4-4588-A14A-9EB387CA5F76}"/>
            </c:ext>
          </c:extLst>
        </c:ser>
        <c:ser>
          <c:idx val="2"/>
          <c:order val="2"/>
          <c:tx>
            <c:strRef>
              <c:f>機械別実績!#REF!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E2F4-4588-A14A-9EB387CA5F76}"/>
            </c:ext>
          </c:extLst>
        </c:ser>
        <c:ser>
          <c:idx val="3"/>
          <c:order val="3"/>
          <c:tx>
            <c:strRef>
              <c:f>機械別実績!$C$35</c:f>
              <c:strCache>
                <c:ptCount val="1"/>
                <c:pt idx="0">
                  <c:v>HT05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機械別実績!$L$35:$W$35</c:f>
              <c:numCache>
                <c:formatCode>_(* #,##0_);_(* \(#,##0\);_(* "-"??_);_(@_)</c:formatCode>
                <c:ptCount val="12"/>
                <c:pt idx="0" formatCode="#,##0_);[Red]\(#,##0\)">
                  <c:v>14010</c:v>
                </c:pt>
                <c:pt idx="1">
                  <c:v>9620</c:v>
                </c:pt>
                <c:pt idx="2">
                  <c:v>15035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4-4588-A14A-9EB387CA5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機械別実績!#REF!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機械別実績!#REF!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2F4-4588-A14A-9EB387CA5F76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5361923479025276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機械別実績!$C$60</c:f>
              <c:strCache>
                <c:ptCount val="1"/>
                <c:pt idx="0">
                  <c:v>EN0１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機械別実績!$L$60:$W$60</c:f>
              <c:numCache>
                <c:formatCode>#,##0_);[Red]\(#,##0\)</c:formatCode>
                <c:ptCount val="12"/>
                <c:pt idx="0">
                  <c:v>19667</c:v>
                </c:pt>
                <c:pt idx="1">
                  <c:v>13014</c:v>
                </c:pt>
                <c:pt idx="2">
                  <c:v>17333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0-4A1C-ADB2-EAC3FD4031F0}"/>
            </c:ext>
          </c:extLst>
        </c:ser>
        <c:ser>
          <c:idx val="1"/>
          <c:order val="1"/>
          <c:tx>
            <c:strRef>
              <c:f>機械別実績!$C$61</c:f>
              <c:strCache>
                <c:ptCount val="1"/>
                <c:pt idx="0">
                  <c:v>EN02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機械別実績!$L$61:$W$61</c:f>
              <c:numCache>
                <c:formatCode>#,##0_);[Red]\(#,##0\)</c:formatCode>
                <c:ptCount val="12"/>
                <c:pt idx="0">
                  <c:v>21497</c:v>
                </c:pt>
                <c:pt idx="1">
                  <c:v>13307</c:v>
                </c:pt>
                <c:pt idx="2">
                  <c:v>25482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A30-4A1C-ADB2-EAC3FD4031F0}"/>
            </c:ext>
          </c:extLst>
        </c:ser>
        <c:ser>
          <c:idx val="2"/>
          <c:order val="2"/>
          <c:tx>
            <c:strRef>
              <c:f>機械別実績!$C$62</c:f>
              <c:strCache>
                <c:ptCount val="1"/>
                <c:pt idx="0">
                  <c:v>EN03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機械別実績!$L$62:$W$62</c:f>
              <c:numCache>
                <c:formatCode>#,##0_);[Red]\(#,##0\)</c:formatCode>
                <c:ptCount val="12"/>
                <c:pt idx="0">
                  <c:v>24023</c:v>
                </c:pt>
                <c:pt idx="1">
                  <c:v>15658</c:v>
                </c:pt>
                <c:pt idx="2">
                  <c:v>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30-4A1C-ADB2-EAC3FD403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機械別実績!$C$63</c15:sqref>
                        </c15:formulaRef>
                      </c:ext>
                    </c:extLst>
                    <c:strCache>
                      <c:ptCount val="1"/>
                      <c:pt idx="0">
                        <c:v>EN04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機械別実績!$L$63:$W$63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24582</c:v>
                      </c:pt>
                      <c:pt idx="1">
                        <c:v>17120</c:v>
                      </c:pt>
                      <c:pt idx="2">
                        <c:v>28995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A30-4A1C-ADB2-EAC3FD4031F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機械別実績!$C$64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機械別実績!$L$64:$W$64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30-4A1C-ADB2-EAC3FD4031F0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6840562587299721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機械別実績!$C$67</c:f>
              <c:strCache>
                <c:ptCount val="1"/>
                <c:pt idx="0">
                  <c:v>EW0１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機械別実績!$L$67:$W$67</c:f>
              <c:numCache>
                <c:formatCode>#,##0_);[Red]\(#,##0\)</c:formatCode>
                <c:ptCount val="12"/>
                <c:pt idx="0">
                  <c:v>23148</c:v>
                </c:pt>
                <c:pt idx="1">
                  <c:v>16109</c:v>
                </c:pt>
                <c:pt idx="2">
                  <c:v>28692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5-4853-86E4-99A865555467}"/>
            </c:ext>
          </c:extLst>
        </c:ser>
        <c:ser>
          <c:idx val="1"/>
          <c:order val="1"/>
          <c:tx>
            <c:strRef>
              <c:f>機械別実績!$C$68</c:f>
              <c:strCache>
                <c:ptCount val="1"/>
                <c:pt idx="0">
                  <c:v>EW02</c:v>
                </c:pt>
              </c:strCache>
              <c:extLst xmlns:c15="http://schemas.microsoft.com/office/drawing/2012/chart"/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  <c:extLst xmlns:c15="http://schemas.microsoft.com/office/drawing/2012/chart"/>
            </c:strRef>
          </c:cat>
          <c:val>
            <c:numRef>
              <c:f>機械別実績!$L$68:$W$68</c:f>
              <c:numCache>
                <c:formatCode>#,##0_);[Red]\(#,##0\)</c:formatCode>
                <c:ptCount val="12"/>
                <c:pt idx="0">
                  <c:v>27835</c:v>
                </c:pt>
                <c:pt idx="1">
                  <c:v>19930</c:v>
                </c:pt>
                <c:pt idx="2">
                  <c:v>32356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D5-4853-86E4-99A865555467}"/>
            </c:ext>
          </c:extLst>
        </c:ser>
        <c:ser>
          <c:idx val="2"/>
          <c:order val="2"/>
          <c:tx>
            <c:strRef>
              <c:f>機械別実績!$C$69</c:f>
              <c:strCache>
                <c:ptCount val="1"/>
                <c:pt idx="0">
                  <c:v>EW03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機械別実績!$L$69:$W$69</c:f>
              <c:numCache>
                <c:formatCode>#,##0_);[Red]\(#,##0\)</c:formatCode>
                <c:ptCount val="12"/>
                <c:pt idx="0">
                  <c:v>26471</c:v>
                </c:pt>
                <c:pt idx="1">
                  <c:v>17275</c:v>
                </c:pt>
                <c:pt idx="2">
                  <c:v>31957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D5-4853-86E4-99A865555467}"/>
            </c:ext>
          </c:extLst>
        </c:ser>
        <c:ser>
          <c:idx val="3"/>
          <c:order val="3"/>
          <c:tx>
            <c:strRef>
              <c:f>機械別実績!$C$70</c:f>
              <c:strCache>
                <c:ptCount val="1"/>
                <c:pt idx="0">
                  <c:v>EW04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機械別実績!$L$70:$W$70</c:f>
              <c:numCache>
                <c:formatCode>#,##0_);[Red]\(#,##0\)</c:formatCode>
                <c:ptCount val="12"/>
                <c:pt idx="0">
                  <c:v>24755</c:v>
                </c:pt>
                <c:pt idx="1">
                  <c:v>19522</c:v>
                </c:pt>
                <c:pt idx="2">
                  <c:v>30839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5-4853-86E4-99A865555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機械別実績!$C$71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機械別実績!$L$71:$W$71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8D5-4853-86E4-99A865555467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9753960856718501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機械別実績!$C$74</c:f>
              <c:strCache>
                <c:ptCount val="1"/>
                <c:pt idx="0">
                  <c:v>GC01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機械別実績!$L$74:$W$74</c:f>
              <c:numCache>
                <c:formatCode>#,##0_);[Red]\(#,##0\)</c:formatCode>
                <c:ptCount val="12"/>
                <c:pt idx="0">
                  <c:v>3897</c:v>
                </c:pt>
                <c:pt idx="1">
                  <c:v>5002</c:v>
                </c:pt>
                <c:pt idx="2">
                  <c:v>11523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C-4C94-8D85-6544287E8A7A}"/>
            </c:ext>
          </c:extLst>
        </c:ser>
        <c:ser>
          <c:idx val="1"/>
          <c:order val="1"/>
          <c:tx>
            <c:strRef>
              <c:f>機械別実績!$C$75</c:f>
              <c:strCache>
                <c:ptCount val="1"/>
                <c:pt idx="0">
                  <c:v>GC02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機械別実績!$L$75:$W$75</c:f>
              <c:numCache>
                <c:formatCode>#,##0_);[Red]\(#,##0\)</c:formatCode>
                <c:ptCount val="12"/>
                <c:pt idx="0">
                  <c:v>20315</c:v>
                </c:pt>
                <c:pt idx="1">
                  <c:v>11317</c:v>
                </c:pt>
                <c:pt idx="2">
                  <c:v>23936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63FC-4C94-8D85-6544287E8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機械別実績!$C$76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機械別実績!$L$76:$W$76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3FC-4C94-8D85-6544287E8A7A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0931327986053538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機械別実績!$C$79</c:f>
              <c:strCache>
                <c:ptCount val="1"/>
                <c:pt idx="0">
                  <c:v>GJ02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機械別実績!$L$79:$W$79</c:f>
              <c:numCache>
                <c:formatCode>#,##0_);[Red]\(#,##0\)</c:formatCode>
                <c:ptCount val="12"/>
                <c:pt idx="0">
                  <c:v>18055</c:v>
                </c:pt>
                <c:pt idx="1">
                  <c:v>13250</c:v>
                </c:pt>
                <c:pt idx="2">
                  <c:v>12050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7-4941-B9F6-27CDCE6728BF}"/>
            </c:ext>
          </c:extLst>
        </c:ser>
        <c:ser>
          <c:idx val="1"/>
          <c:order val="1"/>
          <c:tx>
            <c:strRef>
              <c:f>機械別実績!$C$80</c:f>
              <c:strCache>
                <c:ptCount val="1"/>
                <c:pt idx="0">
                  <c:v>GJ03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機械別実績!$L$80:$W$80</c:f>
              <c:numCache>
                <c:formatCode>#,##0_);[Red]\(#,##0\)</c:formatCode>
                <c:ptCount val="12"/>
                <c:pt idx="0">
                  <c:v>16069</c:v>
                </c:pt>
                <c:pt idx="1">
                  <c:v>8480</c:v>
                </c:pt>
                <c:pt idx="2">
                  <c:v>11546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8A7-4941-B9F6-27CDCE67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機械別実績!$C$81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機械別実績!$L$81:$W$81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8A7-4941-B9F6-27CDCE6728BF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20931327986053538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機械別実績!$C$99</c:f>
              <c:strCache>
                <c:ptCount val="1"/>
                <c:pt idx="0">
                  <c:v>GS01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機械別実績!$L$99:$W$99</c:f>
              <c:numCache>
                <c:formatCode>_(* #,##0_);_(* \(#,##0\);_(* "-"??_);_(@_)</c:formatCode>
                <c:ptCount val="12"/>
                <c:pt idx="0">
                  <c:v>21508</c:v>
                </c:pt>
                <c:pt idx="1">
                  <c:v>15192</c:v>
                </c:pt>
                <c:pt idx="2">
                  <c:v>24106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9-47B2-9AA3-58150FFE73A5}"/>
            </c:ext>
          </c:extLst>
        </c:ser>
        <c:ser>
          <c:idx val="1"/>
          <c:order val="1"/>
          <c:tx>
            <c:strRef>
              <c:f>機械別実績!$C$100</c:f>
              <c:strCache>
                <c:ptCount val="1"/>
                <c:pt idx="0">
                  <c:v>GS02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機械別実績!$L$100:$W$100</c:f>
              <c:numCache>
                <c:formatCode>_(* #,##0_);_(* \(#,##0\);_(* "-"??_);_(@_)</c:formatCode>
                <c:ptCount val="12"/>
                <c:pt idx="0">
                  <c:v>21883</c:v>
                </c:pt>
                <c:pt idx="1">
                  <c:v>15609</c:v>
                </c:pt>
                <c:pt idx="2">
                  <c:v>25656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829-47B2-9AA3-58150FFE73A5}"/>
            </c:ext>
          </c:extLst>
        </c:ser>
        <c:ser>
          <c:idx val="2"/>
          <c:order val="2"/>
          <c:tx>
            <c:strRef>
              <c:f>機械別実績!$C$101</c:f>
              <c:strCache>
                <c:ptCount val="1"/>
                <c:pt idx="0">
                  <c:v>GS03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機械別実績!$L$101:$W$101</c:f>
              <c:numCache>
                <c:formatCode>_(* #,##0_);_(* \(#,##0\);_(* "-"??_);_(@_)</c:formatCode>
                <c:ptCount val="12"/>
                <c:pt idx="0">
                  <c:v>21072</c:v>
                </c:pt>
                <c:pt idx="1">
                  <c:v>14268</c:v>
                </c:pt>
                <c:pt idx="2">
                  <c:v>22814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29-47B2-9AA3-58150FFE73A5}"/>
            </c:ext>
          </c:extLst>
        </c:ser>
        <c:ser>
          <c:idx val="3"/>
          <c:order val="3"/>
          <c:tx>
            <c:strRef>
              <c:f>機械別実績!$C$102</c:f>
              <c:strCache>
                <c:ptCount val="1"/>
                <c:pt idx="0">
                  <c:v>GS04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機械別実績!$L$102:$W$102</c:f>
              <c:numCache>
                <c:formatCode>_(* #,##0_);_(* \(#,##0\);_(* "-"??_);_(@_)</c:formatCode>
                <c:ptCount val="12"/>
                <c:pt idx="0">
                  <c:v>21830</c:v>
                </c:pt>
                <c:pt idx="1">
                  <c:v>15348</c:v>
                </c:pt>
                <c:pt idx="2">
                  <c:v>24721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29-47B2-9AA3-58150FFE73A5}"/>
            </c:ext>
          </c:extLst>
        </c:ser>
        <c:ser>
          <c:idx val="4"/>
          <c:order val="4"/>
          <c:tx>
            <c:strRef>
              <c:f>機械別実績!$C$103</c:f>
              <c:strCache>
                <c:ptCount val="1"/>
                <c:pt idx="0">
                  <c:v>GS05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機械別実績!$L$103:$W$103</c:f>
              <c:numCache>
                <c:formatCode>_(* #,##0_);_(* \(#,##0\);_(* "-"??_);_(@_)</c:formatCode>
                <c:ptCount val="12"/>
                <c:pt idx="0">
                  <c:v>23003</c:v>
                </c:pt>
                <c:pt idx="1">
                  <c:v>14490</c:v>
                </c:pt>
                <c:pt idx="2">
                  <c:v>22897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29-47B2-9AA3-58150FFE73A5}"/>
            </c:ext>
          </c:extLst>
        </c:ser>
        <c:ser>
          <c:idx val="5"/>
          <c:order val="5"/>
          <c:tx>
            <c:strRef>
              <c:f>機械別実績!$C$104</c:f>
              <c:strCache>
                <c:ptCount val="1"/>
                <c:pt idx="0">
                  <c:v>GS07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機械別実績!$L$104:$W$104</c:f>
              <c:numCache>
                <c:formatCode>_(* #,##0_);_(* \(#,##0\);_(* "-"??_);_(@_)</c:formatCode>
                <c:ptCount val="12"/>
                <c:pt idx="0">
                  <c:v>243</c:v>
                </c:pt>
                <c:pt idx="1">
                  <c:v>436</c:v>
                </c:pt>
                <c:pt idx="2">
                  <c:v>1644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29-47B2-9AA3-58150FFE73A5}"/>
            </c:ext>
          </c:extLst>
        </c:ser>
        <c:ser>
          <c:idx val="6"/>
          <c:order val="6"/>
          <c:tx>
            <c:strRef>
              <c:f>機械別実績!$C$105</c:f>
              <c:strCache>
                <c:ptCount val="1"/>
                <c:pt idx="0">
                  <c:v>GS08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機械別実績!$L$105:$W$105</c:f>
              <c:numCache>
                <c:formatCode>_(* #,##0_);_(* \(#,##0\);_(* "-"??_);_(@_)</c:formatCode>
                <c:ptCount val="12"/>
                <c:pt idx="0">
                  <c:v>20778</c:v>
                </c:pt>
                <c:pt idx="1">
                  <c:v>14553</c:v>
                </c:pt>
                <c:pt idx="2">
                  <c:v>23456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29-47B2-9AA3-58150FFE7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機械別実績!$C$106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機械別実績!$L$106:$W$106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829-47B2-9AA3-58150FFE73A5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099072422497123"/>
          <c:y val="8.9641064958978528E-2"/>
          <c:w val="0.40900927577502882"/>
          <c:h val="0.15650447797979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c:rich>
      </c:tx>
      <c:layout>
        <c:manualLayout>
          <c:xMode val="edge"/>
          <c:yMode val="edge"/>
          <c:x val="7.3186261377497494E-2"/>
          <c:y val="4.65571291062183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460941121336376E-2"/>
          <c:y val="0.28885373101186723"/>
          <c:w val="0.8820448508269465"/>
          <c:h val="0.56297309951075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機械別実績!$C$19</c:f>
              <c:strCache>
                <c:ptCount val="1"/>
                <c:pt idx="0">
                  <c:v>BJ01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機械別実績!$L$19:$W$19</c:f>
              <c:numCache>
                <c:formatCode>_(* #,##0_);_(* \(#,##0\);_(* "-"??_);_(@_)</c:formatCode>
                <c:ptCount val="12"/>
                <c:pt idx="0">
                  <c:v>15951</c:v>
                </c:pt>
                <c:pt idx="1">
                  <c:v>14279</c:v>
                </c:pt>
                <c:pt idx="2">
                  <c:v>23510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C-4A24-91EC-32D33A6D427B}"/>
            </c:ext>
          </c:extLst>
        </c:ser>
        <c:ser>
          <c:idx val="1"/>
          <c:order val="1"/>
          <c:tx>
            <c:strRef>
              <c:f>機械別実績!$C$20</c:f>
              <c:strCache>
                <c:ptCount val="1"/>
                <c:pt idx="0">
                  <c:v>BJ04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機械別実績!$L$20:$W$20</c:f>
              <c:numCache>
                <c:formatCode>_(* #,##0_);_(* \(#,##0\);_(* "-"??_);_(@_)</c:formatCode>
                <c:ptCount val="12"/>
                <c:pt idx="0">
                  <c:v>8213</c:v>
                </c:pt>
                <c:pt idx="1">
                  <c:v>7268</c:v>
                </c:pt>
                <c:pt idx="2">
                  <c:v>6272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26C-4A24-91EC-32D33A6D427B}"/>
            </c:ext>
          </c:extLst>
        </c:ser>
        <c:ser>
          <c:idx val="2"/>
          <c:order val="2"/>
          <c:tx>
            <c:strRef>
              <c:f>機械別実績!$C$21</c:f>
              <c:strCache>
                <c:ptCount val="1"/>
                <c:pt idx="0">
                  <c:v>BJ06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機械別実績!$L$21:$W$21</c:f>
              <c:numCache>
                <c:formatCode>_(* #,##0_);_(* \(#,##0\);_(* "-"??_);_(@_)</c:formatCode>
                <c:ptCount val="12"/>
                <c:pt idx="0">
                  <c:v>20771</c:v>
                </c:pt>
                <c:pt idx="1">
                  <c:v>14098</c:v>
                </c:pt>
                <c:pt idx="2">
                  <c:v>22062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26C-4A24-91EC-32D33A6D427B}"/>
            </c:ext>
          </c:extLst>
        </c:ser>
        <c:ser>
          <c:idx val="3"/>
          <c:order val="3"/>
          <c:tx>
            <c:strRef>
              <c:f>機械別実績!$C$22</c:f>
              <c:strCache>
                <c:ptCount val="1"/>
                <c:pt idx="0">
                  <c:v>BJ07</c:v>
                </c:pt>
              </c:strCache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機械別実績!$L$22:$W$22</c:f>
              <c:numCache>
                <c:formatCode>_(* #,##0_);_(* \(#,##0\);_(* "-"??_);_(@_)</c:formatCode>
                <c:ptCount val="12"/>
                <c:pt idx="0">
                  <c:v>22592</c:v>
                </c:pt>
                <c:pt idx="1">
                  <c:v>15368</c:v>
                </c:pt>
                <c:pt idx="2">
                  <c:v>24459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6C-4A24-91EC-32D33A6D427B}"/>
            </c:ext>
          </c:extLst>
        </c:ser>
        <c:ser>
          <c:idx val="4"/>
          <c:order val="4"/>
          <c:tx>
            <c:strRef>
              <c:f>機械別実績!$C$23</c:f>
              <c:strCache>
                <c:ptCount val="1"/>
                <c:pt idx="0">
                  <c:v>BJ08</c:v>
                </c:pt>
              </c:strCache>
              <c:extLst xmlns:c15="http://schemas.microsoft.com/office/drawing/2012/chart"/>
            </c:strRef>
          </c:tx>
          <c:invertIfNegative val="0"/>
          <c:cat>
            <c:strRef>
              <c:f>機械別実績!$L$4:$W$4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  <c:extLst xmlns:c15="http://schemas.microsoft.com/office/drawing/2012/chart"/>
            </c:strRef>
          </c:cat>
          <c:val>
            <c:numRef>
              <c:f>機械別実績!$L$23:$W$23</c:f>
              <c:numCache>
                <c:formatCode>_(* #,##0_);_(* \(#,##0\);_(* "-"??_);_(@_)</c:formatCode>
                <c:ptCount val="12"/>
                <c:pt idx="0">
                  <c:v>21452</c:v>
                </c:pt>
                <c:pt idx="1">
                  <c:v>15070</c:v>
                </c:pt>
                <c:pt idx="2">
                  <c:v>23842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26C-4A24-91EC-32D33A6D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878208"/>
        <c:axId val="9887974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機械別実績!$C$24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機械別実績!$L$24:$W$24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26C-4A24-91EC-32D33A6D427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機械別実績!$C$25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機械別実績!$L$4:$W$4</c15:sqref>
                        </c15:formulaRef>
                      </c:ext>
                    </c:extLst>
                    <c:strCache>
                      <c:ptCount val="12"/>
                      <c:pt idx="0">
                        <c:v>T1</c:v>
                      </c:pt>
                      <c:pt idx="1">
                        <c:v>T2</c:v>
                      </c:pt>
                      <c:pt idx="2">
                        <c:v>T3</c:v>
                      </c:pt>
                      <c:pt idx="3">
                        <c:v>T4</c:v>
                      </c:pt>
                      <c:pt idx="4">
                        <c:v>T5</c:v>
                      </c:pt>
                      <c:pt idx="5">
                        <c:v>T6</c:v>
                      </c:pt>
                      <c:pt idx="6">
                        <c:v>T7</c:v>
                      </c:pt>
                      <c:pt idx="7">
                        <c:v>T8</c:v>
                      </c:pt>
                      <c:pt idx="8">
                        <c:v>T9</c:v>
                      </c:pt>
                      <c:pt idx="9">
                        <c:v>T10</c:v>
                      </c:pt>
                      <c:pt idx="10">
                        <c:v>T11</c:v>
                      </c:pt>
                      <c:pt idx="11">
                        <c:v>T12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機械別実績!$L$25:$W$25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6C-4A24-91EC-32D33A6D427B}"/>
                  </c:ext>
                </c:extLst>
              </c15:ser>
            </c15:filteredBarSeries>
          </c:ext>
        </c:extLst>
      </c:barChart>
      <c:catAx>
        <c:axId val="9887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98879744"/>
        <c:crossesAt val="0"/>
        <c:auto val="1"/>
        <c:lblAlgn val="ctr"/>
        <c:lblOffset val="100"/>
        <c:noMultiLvlLbl val="0"/>
      </c:catAx>
      <c:valAx>
        <c:axId val="988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20488729625758"/>
          <c:y val="8.9641064958978528E-2"/>
          <c:w val="0.37327406433412802"/>
          <c:h val="9.607803860535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【Pcs】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48228204013521E-2"/>
          <c:y val="0.22093968253968255"/>
          <c:w val="0.90213351232807781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指標1!$A$4</c:f>
              <c:strCache>
                <c:ptCount val="1"/>
                <c:pt idx="0">
                  <c:v>số pcs nhận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指標1!$B$3:$M$3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指標1!$B$4:$M$4</c:f>
              <c:numCache>
                <c:formatCode>#,##0_ </c:formatCode>
                <c:ptCount val="12"/>
                <c:pt idx="0">
                  <c:v>37419</c:v>
                </c:pt>
                <c:pt idx="1">
                  <c:v>18771</c:v>
                </c:pt>
                <c:pt idx="2">
                  <c:v>42119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E-4627-A67E-E74DFAB737C3}"/>
            </c:ext>
          </c:extLst>
        </c:ser>
        <c:ser>
          <c:idx val="10"/>
          <c:order val="2"/>
          <c:tx>
            <c:strRef>
              <c:f>指標1!$A$14</c:f>
              <c:strCache>
                <c:ptCount val="1"/>
                <c:pt idx="0">
                  <c:v>số pcs hoàn thành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指標1!$B$3:$M$3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指標1!$B$14:$M$14</c:f>
              <c:numCache>
                <c:formatCode>#,##0_ </c:formatCode>
                <c:ptCount val="12"/>
                <c:pt idx="0">
                  <c:v>34099</c:v>
                </c:pt>
                <c:pt idx="1">
                  <c:v>19956</c:v>
                </c:pt>
                <c:pt idx="2">
                  <c:v>35124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E-4627-A67E-E74DFAB7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lineChart>
        <c:grouping val="standard"/>
        <c:varyColors val="0"/>
        <c:ser>
          <c:idx val="5"/>
          <c:order val="1"/>
          <c:tx>
            <c:strRef>
              <c:f>指標1!$A$9</c:f>
              <c:strCache>
                <c:ptCount val="1"/>
                <c:pt idx="0">
                  <c:v>số pcs tồn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指標1!$B$3:$M$3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指標1!$B$9:$M$9</c:f>
              <c:numCache>
                <c:formatCode>#,##0_ </c:formatCode>
                <c:ptCount val="12"/>
                <c:pt idx="0">
                  <c:v>33772</c:v>
                </c:pt>
                <c:pt idx="1">
                  <c:v>31704</c:v>
                </c:pt>
                <c:pt idx="2" formatCode="#,##0_);[Red]\(#,##0\)">
                  <c:v>35107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E-4627-A67E-E74DFAB7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732704"/>
        <c:axId val="982736968"/>
      </c:line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(Pcs)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64520911891701"/>
          <c:y val="2.797063492063492E-2"/>
          <c:w val="0.30367617621973508"/>
          <c:h val="0.25099665132933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en-US" altLang="ja-JP" sz="1400" b="0" i="0" u="none" strike="noStrike" baseline="0">
                <a:effectLst/>
              </a:rPr>
              <a:t>Số Bản vẽ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28386434203658E-2"/>
          <c:y val="0.22093968253968255"/>
          <c:w val="0.90465335409788772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指標1!$A$19</c:f>
              <c:strCache>
                <c:ptCount val="1"/>
                <c:pt idx="0">
                  <c:v>bản vẽ nhận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指標1!$B$18:$M$18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指標1!$B$19:$M$19</c:f>
              <c:numCache>
                <c:formatCode>#,##0_ </c:formatCode>
                <c:ptCount val="12"/>
                <c:pt idx="0">
                  <c:v>2874</c:v>
                </c:pt>
                <c:pt idx="1">
                  <c:v>1546</c:v>
                </c:pt>
                <c:pt idx="2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7-45AE-80E2-0FAFB4C63EAF}"/>
            </c:ext>
          </c:extLst>
        </c:ser>
        <c:ser>
          <c:idx val="10"/>
          <c:order val="2"/>
          <c:tx>
            <c:strRef>
              <c:f>指標1!$A$29</c:f>
              <c:strCache>
                <c:ptCount val="1"/>
                <c:pt idx="0">
                  <c:v>bản vẽ hoàn thành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指標1!$B$18:$M$18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指標1!$B$29:$M$29</c:f>
              <c:numCache>
                <c:formatCode>#,##0_ </c:formatCode>
                <c:ptCount val="12"/>
                <c:pt idx="0">
                  <c:v>2412</c:v>
                </c:pt>
                <c:pt idx="1">
                  <c:v>1563</c:v>
                </c:pt>
                <c:pt idx="2">
                  <c:v>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7-45AE-80E2-0FAFB4C63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lineChart>
        <c:grouping val="standard"/>
        <c:varyColors val="0"/>
        <c:ser>
          <c:idx val="5"/>
          <c:order val="1"/>
          <c:tx>
            <c:strRef>
              <c:f>指標1!$A$24</c:f>
              <c:strCache>
                <c:ptCount val="1"/>
                <c:pt idx="0">
                  <c:v>bản vẽ tồn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指標1!$B$18:$M$18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指標1!$B$24:$M$24</c:f>
              <c:numCache>
                <c:formatCode>#,##0_ </c:formatCode>
                <c:ptCount val="12"/>
                <c:pt idx="0">
                  <c:v>2586</c:v>
                </c:pt>
                <c:pt idx="1">
                  <c:v>2542</c:v>
                </c:pt>
                <c:pt idx="2">
                  <c:v>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67-45AE-80E2-0FAFB4C63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732704"/>
        <c:axId val="982736968"/>
      </c:line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857307650313868"/>
          <c:y val="2.797063492063492E-2"/>
          <c:w val="0.31874830883551353"/>
          <c:h val="0.25717178092196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88702894583903E-2"/>
          <c:y val="0.22093968253968255"/>
          <c:w val="0.90969303763750742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指標1!$A$29</c:f>
              <c:strCache>
                <c:ptCount val="1"/>
                <c:pt idx="0">
                  <c:v>bản vẽ hoàn thành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指標1!$B$28:$M$28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指標1!$B$29:$M$29</c:f>
              <c:numCache>
                <c:formatCode>#,##0_ </c:formatCode>
                <c:ptCount val="12"/>
                <c:pt idx="0">
                  <c:v>2412</c:v>
                </c:pt>
                <c:pt idx="1">
                  <c:v>1563</c:v>
                </c:pt>
                <c:pt idx="2">
                  <c:v>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6-42CA-B964-6AF7856C7854}"/>
            </c:ext>
          </c:extLst>
        </c:ser>
        <c:ser>
          <c:idx val="10"/>
          <c:order val="1"/>
          <c:tx>
            <c:strRef>
              <c:f>指標1!$A$34</c:f>
              <c:strCache>
                <c:ptCount val="1"/>
                <c:pt idx="0">
                  <c:v>bản vẽ GCN hoàn thành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指標1!$B$28:$M$28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指標1!$B$34:$M$34</c:f>
              <c:numCache>
                <c:formatCode>#,##0_ </c:formatCode>
                <c:ptCount val="12"/>
                <c:pt idx="0">
                  <c:v>2076</c:v>
                </c:pt>
                <c:pt idx="1">
                  <c:v>1771</c:v>
                </c:pt>
                <c:pt idx="2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6-42CA-B964-6AF7856C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857307650313868"/>
          <c:y val="2.797063492063492E-2"/>
          <c:w val="0.31874830883551353"/>
          <c:h val="0.20159561458828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【L/T</a:t>
            </a:r>
            <a:r>
              <a:rPr lang="ja-JP" altLang="en-US"/>
              <a:t>＆納期遵守率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20371075470451486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78786106901999E-2"/>
          <c:y val="0.22093968253968255"/>
          <c:w val="0.83056167273049053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指標1!$A$44</c:f>
              <c:strCache>
                <c:ptCount val="1"/>
                <c:pt idx="0">
                  <c:v>L/T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指標1!$B$43:$M$43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指標1!$B$44:$M$44</c:f>
              <c:numCache>
                <c:formatCode>General</c:formatCode>
                <c:ptCount val="12"/>
                <c:pt idx="0" formatCode="0.0">
                  <c:v>21.7</c:v>
                </c:pt>
                <c:pt idx="1">
                  <c:v>21.2</c:v>
                </c:pt>
                <c:pt idx="2" formatCode="0.0">
                  <c:v>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0-46F3-9D87-653EB9B9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732704"/>
        <c:axId val="982736968"/>
      </c:barChart>
      <c:lineChart>
        <c:grouping val="standard"/>
        <c:varyColors val="0"/>
        <c:ser>
          <c:idx val="10"/>
          <c:order val="1"/>
          <c:tx>
            <c:strRef>
              <c:f>指標1!$A$39</c:f>
              <c:strCache>
                <c:ptCount val="1"/>
                <c:pt idx="0">
                  <c:v>Tỷ lệ giao hàng đúng hạn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指標1!$B$43:$M$43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指標1!$B$39:$M$39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0-46F3-9D87-653EB9B9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780592"/>
        <c:axId val="982777312"/>
      </c:line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(ngày)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valAx>
        <c:axId val="98277731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0592"/>
        <c:crosses val="max"/>
        <c:crossBetween val="between"/>
      </c:valAx>
      <c:catAx>
        <c:axId val="982780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277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080428587386625"/>
          <c:y val="2.797063492063492E-2"/>
          <c:w val="0.34666494973510914"/>
          <c:h val="0.1354420634920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検査合格率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4503968253968"/>
          <c:y val="0.22093968253968255"/>
          <c:w val="0.8517367063492064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指標1!$A$79</c:f>
              <c:strCache>
                <c:ptCount val="1"/>
                <c:pt idx="0">
                  <c:v>Độ chính xác cao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指標1!$B$78:$M$78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指標1!$B$79:$M$79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8-48F3-BC02-CDBC83F314A5}"/>
            </c:ext>
          </c:extLst>
        </c:ser>
        <c:ser>
          <c:idx val="10"/>
          <c:order val="1"/>
          <c:tx>
            <c:strRef>
              <c:f>指標1!$A$84</c:f>
              <c:strCache>
                <c:ptCount val="1"/>
                <c:pt idx="0">
                  <c:v>0.02㎜～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指標1!$B$78:$M$78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指標1!$B$84:$M$84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8-48F3-BC02-CDBC83F31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732704"/>
        <c:axId val="982736968"/>
      </c:barChart>
      <c:catAx>
        <c:axId val="9827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639953896816241"/>
          <c:y val="2.797063492063492E-2"/>
          <c:w val="0.27106969664081282"/>
          <c:h val="0.1354420634920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【Số Khiếu nại】</a:t>
            </a:r>
            <a:endParaRPr lang="ja-JP" altLang="en-US"/>
          </a:p>
        </c:rich>
      </c:tx>
      <c:layout>
        <c:manualLayout>
          <c:xMode val="edge"/>
          <c:yMode val="edge"/>
          <c:x val="0.37757976190476183"/>
          <c:y val="4.535714285714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78710317460317E-2"/>
          <c:y val="0.22093968253968255"/>
          <c:w val="0.88449464285714285"/>
          <c:h val="0.64938095238095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指標1!$A$89</c:f>
              <c:strCache>
                <c:ptCount val="1"/>
                <c:pt idx="0">
                  <c:v>Số Khiếu nại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指標1!$B$88:$M$88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指標1!$B$89:$M$89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0-4B0D-84C4-643F1DEDC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732704"/>
        <c:axId val="982736968"/>
      </c:barChart>
      <c:catAx>
        <c:axId val="98273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件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718253968253968E-2"/>
              <c:y val="0.104297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6968"/>
        <c:crosses val="autoZero"/>
        <c:auto val="1"/>
        <c:lblAlgn val="ctr"/>
        <c:lblOffset val="100"/>
        <c:noMultiLvlLbl val="0"/>
      </c:catAx>
      <c:valAx>
        <c:axId val="98273696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663769841269841"/>
          <c:y val="2.797063492063492E-2"/>
          <c:w val="0.24083154761904763"/>
          <c:h val="0.1354420634920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en-US" altLang="ja-JP" sz="1400" b="0" i="0" u="none" strike="noStrike" baseline="0">
                <a:effectLst/>
              </a:rPr>
              <a:t>Số phế phẩm</a:t>
            </a:r>
            <a:r>
              <a:rPr lang="en-US" altLang="ja-JP" sz="1400" b="0" i="0" u="none" strike="noStrike" baseline="0"/>
              <a:t> 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102E-2"/>
          <c:y val="9.25925925925930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2394014460785582E-2"/>
          <c:y val="0.12236111111111125"/>
          <c:w val="0.95402572938467189"/>
          <c:h val="0.57874888888888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'指標２(内作)'!$C$64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'指標２(内作)'!$C$65:$C$80</c15:sqref>
                  </c15:fullRef>
                </c:ext>
              </c:extLst>
              <c:f>('指標２(内作)'!$C$65:$C$72,'指標２(内作)'!$C$74:$C$77,'指標２(内作)'!$C$79:$C$80)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A-4650-BA7D-0C06998B759D}"/>
            </c:ext>
          </c:extLst>
        </c:ser>
        <c:ser>
          <c:idx val="1"/>
          <c:order val="1"/>
          <c:tx>
            <c:strRef>
              <c:f>'指標２(内作)'!$D$64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'指標２(内作)'!$D$65:$D$80</c15:sqref>
                  </c15:fullRef>
                </c:ext>
              </c:extLst>
              <c:f>('指標２(内作)'!$D$65:$D$72,'指標２(内作)'!$D$74:$D$77,'指標２(内作)'!$D$79:$D$80)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A-4650-BA7D-0C06998B759D}"/>
            </c:ext>
          </c:extLst>
        </c:ser>
        <c:ser>
          <c:idx val="2"/>
          <c:order val="2"/>
          <c:tx>
            <c:strRef>
              <c:f>'指標２(内作)'!$E$64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'指標２(内作)'!$E$65:$E$80</c15:sqref>
                  </c15:fullRef>
                </c:ext>
              </c:extLst>
              <c:f>('指標２(内作)'!$E$65:$E$72,'指標２(内作)'!$E$74:$E$77,'指標２(内作)'!$E$79:$E$80)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A-4650-BA7D-0C06998B759D}"/>
            </c:ext>
          </c:extLst>
        </c:ser>
        <c:ser>
          <c:idx val="3"/>
          <c:order val="3"/>
          <c:tx>
            <c:strRef>
              <c:f>'指標２(内作)'!$F$64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'指標２(内作)'!$F$65:$F$80</c15:sqref>
                  </c15:fullRef>
                </c:ext>
              </c:extLst>
              <c:f>('指標２(内作)'!$F$65:$F$72,'指標２(内作)'!$F$74:$F$77,'指標２(内作)'!$F$79:$F$80)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A-4650-BA7D-0C06998B759D}"/>
            </c:ext>
          </c:extLst>
        </c:ser>
        <c:ser>
          <c:idx val="4"/>
          <c:order val="4"/>
          <c:tx>
            <c:strRef>
              <c:f>'指標２(内作)'!$G$64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'指標２(内作)'!$G$65:$G$80</c15:sqref>
                  </c15:fullRef>
                </c:ext>
              </c:extLst>
              <c:f>('指標２(内作)'!$G$65:$G$72,'指標２(内作)'!$G$74:$G$77,'指標２(内作)'!$G$79:$G$80)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A-4650-BA7D-0C06998B759D}"/>
            </c:ext>
          </c:extLst>
        </c:ser>
        <c:ser>
          <c:idx val="5"/>
          <c:order val="5"/>
          <c:tx>
            <c:strRef>
              <c:f>'指標２(内作)'!$H$64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'指標２(内作)'!$H$65:$H$80</c15:sqref>
                  </c15:fullRef>
                </c:ext>
              </c:extLst>
              <c:f>('指標２(内作)'!$H$65:$H$72,'指標２(内作)'!$H$74:$H$77,'指標２(内作)'!$H$79:$H$80)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5A-4650-BA7D-0C06998B759D}"/>
            </c:ext>
          </c:extLst>
        </c:ser>
        <c:ser>
          <c:idx val="6"/>
          <c:order val="6"/>
          <c:tx>
            <c:strRef>
              <c:f>'指標２(内作)'!$I$64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'指標２(内作)'!$I$65:$I$80</c15:sqref>
                  </c15:fullRef>
                </c:ext>
              </c:extLst>
              <c:f>('指標２(内作)'!$I$65:$I$72,'指標２(内作)'!$I$74:$I$77,'指標２(内作)'!$I$79:$I$80)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A-4650-BA7D-0C06998B759D}"/>
            </c:ext>
          </c:extLst>
        </c:ser>
        <c:ser>
          <c:idx val="7"/>
          <c:order val="7"/>
          <c:tx>
            <c:strRef>
              <c:f>'指標２(内作)'!$J$64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'指標２(内作)'!$J$65:$J$80</c15:sqref>
                  </c15:fullRef>
                </c:ext>
              </c:extLst>
              <c:f>('指標２(内作)'!$J$65:$J$72,'指標２(内作)'!$J$74:$J$77,'指標２(内作)'!$J$79:$J$80)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5A-4650-BA7D-0C06998B759D}"/>
            </c:ext>
          </c:extLst>
        </c:ser>
        <c:ser>
          <c:idx val="8"/>
          <c:order val="8"/>
          <c:tx>
            <c:strRef>
              <c:f>'指標２(内作)'!$K$64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'指標２(内作)'!$K$65:$K$80</c15:sqref>
                  </c15:fullRef>
                </c:ext>
              </c:extLst>
              <c:f>('指標２(内作)'!$K$65:$K$72,'指標２(内作)'!$K$74:$K$77,'指標２(内作)'!$K$79:$K$80)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5A-4650-BA7D-0C06998B759D}"/>
            </c:ext>
          </c:extLst>
        </c:ser>
        <c:ser>
          <c:idx val="9"/>
          <c:order val="9"/>
          <c:tx>
            <c:strRef>
              <c:f>'指標２(内作)'!$L$64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'指標２(内作)'!$L$65:$L$80</c15:sqref>
                  </c15:fullRef>
                </c:ext>
              </c:extLst>
              <c:f>('指標２(内作)'!$L$65:$L$72,'指標２(内作)'!$L$74:$L$77,'指標２(内作)'!$L$79:$L$80)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5A-4650-BA7D-0C06998B759D}"/>
            </c:ext>
          </c:extLst>
        </c:ser>
        <c:ser>
          <c:idx val="10"/>
          <c:order val="10"/>
          <c:tx>
            <c:strRef>
              <c:f>'指標２(内作)'!$M$64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'指標２(内作)'!$M$65:$M$80</c15:sqref>
                  </c15:fullRef>
                </c:ext>
              </c:extLst>
              <c:f>('指標２(内作)'!$M$65:$M$72,'指標２(内作)'!$M$74:$M$77,'指標２(内作)'!$M$79:$M$80)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5A-4650-BA7D-0C06998B759D}"/>
            </c:ext>
          </c:extLst>
        </c:ser>
        <c:ser>
          <c:idx val="11"/>
          <c:order val="11"/>
          <c:tx>
            <c:strRef>
              <c:f>'指標２(内作)'!$N$64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'指標２(内作)'!$N$65:$N$80</c15:sqref>
                  </c15:fullRef>
                </c:ext>
              </c:extLst>
              <c:f>('指標２(内作)'!$N$65:$N$72,'指標２(内作)'!$N$74:$N$77,'指標２(内作)'!$N$79:$N$80)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5A-4650-BA7D-0C06998B7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43424"/>
        <c:axId val="102753408"/>
      </c:barChart>
      <c:catAx>
        <c:axId val="10274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2753408"/>
        <c:crosses val="autoZero"/>
        <c:auto val="1"/>
        <c:lblAlgn val="ctr"/>
        <c:lblOffset val="100"/>
        <c:noMultiLvlLbl val="0"/>
      </c:catAx>
      <c:valAx>
        <c:axId val="10275340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2743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218666666666659"/>
          <c:y val="5.7815689705453539E-4"/>
          <c:w val="0.52599736111111106"/>
          <c:h val="0.14591666666666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</a:t>
            </a:r>
            <a:r>
              <a:rPr lang="ja-JP" altLang="en-US"/>
              <a:t>率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51925638341E-2"/>
          <c:y val="1.3888888888888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2394014460785582E-2"/>
          <c:y val="0.1177314814814818"/>
          <c:w val="0.95402572938467189"/>
          <c:h val="0.59260305555555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'指標２(内作)'!$C$99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'指標２(内作)'!$C$100:$C$114</c15:sqref>
                  </c15:fullRef>
                </c:ext>
              </c:extLst>
              <c:f>('指標２(内作)'!$C$100:$C$107,'指標２(内作)'!$C$109:$C$112,'指標２(内作)'!$C$114)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9-4556-9995-B2A53D952D74}"/>
            </c:ext>
          </c:extLst>
        </c:ser>
        <c:ser>
          <c:idx val="1"/>
          <c:order val="1"/>
          <c:tx>
            <c:strRef>
              <c:f>'指標２(内作)'!$D$99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'指標２(内作)'!$D$100:$D$114</c15:sqref>
                  </c15:fullRef>
                </c:ext>
              </c:extLst>
              <c:f>('指標２(内作)'!$D$100:$D$107,'指標２(内作)'!$D$109:$D$112,'指標２(内作)'!$D$114)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9-4556-9995-B2A53D952D74}"/>
            </c:ext>
          </c:extLst>
        </c:ser>
        <c:ser>
          <c:idx val="2"/>
          <c:order val="2"/>
          <c:tx>
            <c:strRef>
              <c:f>'指標２(内作)'!$E$99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'指標２(内作)'!$E$100:$E$114</c15:sqref>
                  </c15:fullRef>
                </c:ext>
              </c:extLst>
              <c:f>('指標２(内作)'!$E$100:$E$107,'指標２(内作)'!$E$109:$E$112,'指標２(内作)'!$E$114)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7.8431372549019605E-4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9-4556-9995-B2A53D952D74}"/>
            </c:ext>
          </c:extLst>
        </c:ser>
        <c:ser>
          <c:idx val="3"/>
          <c:order val="3"/>
          <c:tx>
            <c:strRef>
              <c:f>'指標２(内作)'!$F$99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'指標２(内作)'!$F$100:$F$114</c15:sqref>
                  </c15:fullRef>
                </c:ext>
              </c:extLst>
              <c:f>('指標２(内作)'!$F$100:$F$107,'指標２(内作)'!$F$109:$F$112,'指標２(内作)'!$F$114)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9-4556-9995-B2A53D952D74}"/>
            </c:ext>
          </c:extLst>
        </c:ser>
        <c:ser>
          <c:idx val="4"/>
          <c:order val="4"/>
          <c:tx>
            <c:strRef>
              <c:f>'指標２(内作)'!$G$99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'指標２(内作)'!$G$100:$G$114</c15:sqref>
                  </c15:fullRef>
                </c:ext>
              </c:extLst>
              <c:f>('指標２(内作)'!$G$100:$G$107,'指標２(内作)'!$G$109:$G$112,'指標２(内作)'!$G$114)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9-4556-9995-B2A53D952D74}"/>
            </c:ext>
          </c:extLst>
        </c:ser>
        <c:ser>
          <c:idx val="5"/>
          <c:order val="5"/>
          <c:tx>
            <c:strRef>
              <c:f>'指標２(内作)'!$H$99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'指標２(内作)'!$H$100:$H$114</c15:sqref>
                  </c15:fullRef>
                </c:ext>
              </c:extLst>
              <c:f>('指標２(内作)'!$H$100:$H$107,'指標２(内作)'!$H$109:$H$112,'指標２(内作)'!$H$114)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9-4556-9995-B2A53D952D74}"/>
            </c:ext>
          </c:extLst>
        </c:ser>
        <c:ser>
          <c:idx val="6"/>
          <c:order val="6"/>
          <c:tx>
            <c:strRef>
              <c:f>'指標２(内作)'!$I$99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'指標２(内作)'!$I$100:$I$114</c15:sqref>
                  </c15:fullRef>
                </c:ext>
              </c:extLst>
              <c:f>('指標２(内作)'!$I$100:$I$107,'指標２(内作)'!$I$109:$I$112,'指標２(内作)'!$I$114)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9-4556-9995-B2A53D952D74}"/>
            </c:ext>
          </c:extLst>
        </c:ser>
        <c:ser>
          <c:idx val="7"/>
          <c:order val="7"/>
          <c:tx>
            <c:strRef>
              <c:f>'指標２(内作)'!$J$99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'指標２(内作)'!$J$100:$J$114</c15:sqref>
                  </c15:fullRef>
                </c:ext>
              </c:extLst>
              <c:f>('指標２(内作)'!$J$100:$J$107,'指標２(内作)'!$J$109:$J$112,'指標２(内作)'!$J$114)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9-4556-9995-B2A53D952D74}"/>
            </c:ext>
          </c:extLst>
        </c:ser>
        <c:ser>
          <c:idx val="8"/>
          <c:order val="8"/>
          <c:tx>
            <c:strRef>
              <c:f>'指標２(内作)'!$K$99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'指標２(内作)'!$K$100:$K$114</c15:sqref>
                  </c15:fullRef>
                </c:ext>
              </c:extLst>
              <c:f>('指標２(内作)'!$K$100:$K$107,'指標２(内作)'!$K$109:$K$112,'指標２(内作)'!$K$114)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9-4556-9995-B2A53D952D74}"/>
            </c:ext>
          </c:extLst>
        </c:ser>
        <c:ser>
          <c:idx val="9"/>
          <c:order val="9"/>
          <c:tx>
            <c:strRef>
              <c:f>'指標２(内作)'!$L$99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'指標２(内作)'!$L$100:$L$114</c15:sqref>
                  </c15:fullRef>
                </c:ext>
              </c:extLst>
              <c:f>('指標２(内作)'!$L$100:$L$107,'指標２(内作)'!$L$109:$L$112,'指標２(内作)'!$L$114)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69-4556-9995-B2A53D952D74}"/>
            </c:ext>
          </c:extLst>
        </c:ser>
        <c:ser>
          <c:idx val="10"/>
          <c:order val="10"/>
          <c:tx>
            <c:strRef>
              <c:f>'指標２(内作)'!$M$99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'指標２(内作)'!$M$100:$M$114</c15:sqref>
                  </c15:fullRef>
                </c:ext>
              </c:extLst>
              <c:f>('指標２(内作)'!$M$100:$M$107,'指標２(内作)'!$M$109:$M$112,'指標２(内作)'!$M$114)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69-4556-9995-B2A53D952D74}"/>
            </c:ext>
          </c:extLst>
        </c:ser>
        <c:ser>
          <c:idx val="11"/>
          <c:order val="11"/>
          <c:tx>
            <c:strRef>
              <c:f>'指標２(内作)'!$N$99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'指標２(内作)'!$N$100:$N$114</c15:sqref>
                  </c15:fullRef>
                </c:ext>
              </c:extLst>
              <c:f>('指標２(内作)'!$N$100:$N$107,'指標２(内作)'!$N$109:$N$112,'指標２(内作)'!$N$114)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69-4556-9995-B2A53D952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38272"/>
        <c:axId val="103289216"/>
      </c:barChart>
      <c:catAx>
        <c:axId val="1032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3289216"/>
        <c:crosses val="autoZero"/>
        <c:auto val="1"/>
        <c:lblAlgn val="ctr"/>
        <c:lblOffset val="100"/>
        <c:noMultiLvlLbl val="0"/>
      </c:catAx>
      <c:valAx>
        <c:axId val="103289216"/>
        <c:scaling>
          <c:orientation val="minMax"/>
          <c:max val="2.000000000000001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03238272"/>
        <c:crosses val="autoZero"/>
        <c:crossBetween val="between"/>
        <c:majorUnit val="2.5000000000000053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37805555555556"/>
          <c:y val="3.2541111111111104E-2"/>
          <c:w val="0.52619972222222222"/>
          <c:h val="0.10412472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29511222222222228"/>
          <c:y val="2.6898055555555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266694444444441"/>
          <c:y val="0.19332916666666666"/>
          <c:w val="0.66485000000000005"/>
          <c:h val="0.66485000000000005"/>
        </c:manualLayout>
      </c:layout>
      <c:pieChart>
        <c:varyColors val="1"/>
        <c:ser>
          <c:idx val="0"/>
          <c:order val="0"/>
          <c:tx>
            <c:strRef>
              <c:f>'指標２(内作)'!$O$64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C3-4548-A6A1-CE221D9A3E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C3-4548-A6A1-CE221D9A3E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C3-4548-A6A1-CE221D9A3E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9C3-4548-A6A1-CE221D9A3E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9C3-4548-A6A1-CE221D9A3E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9C3-4548-A6A1-CE221D9A3E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C3-4548-A6A1-CE221D9A3E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C3-4548-A6A1-CE221D9A3E0F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0D7-4057-9D7C-9008E1B2CEE0}"/>
              </c:ext>
            </c:extLst>
          </c:dPt>
          <c:dPt>
            <c:idx val="9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0D7-4057-9D7C-9008E1B2CEE0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9C3-4548-A6A1-CE221D9A3E0F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9C3-4548-A6A1-CE221D9A3E0F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9C3-4548-A6A1-CE221D9A3E0F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9C3-4548-A6A1-CE221D9A3E0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'指標２(内作)'!$A$65:$A$80</c15:sqref>
                  </c15:fullRef>
                </c:ext>
              </c:extLst>
              <c:f>('指標２(内作)'!$A$65:$A$72,'指標２(内作)'!$A$74:$A$77,'指標２(内作)'!$A$79:$A$80)</c:f>
              <c:strCache>
                <c:ptCount val="14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  <c:pt idx="13">
                  <c:v>その他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'指標２(内作)'!$O$65:$O$80</c15:sqref>
                  </c15:fullRef>
                </c:ext>
              </c:extLst>
              <c:f>('指標２(内作)'!$O$65:$O$72,'指標２(内作)'!$O$74:$O$77,'指標２(内作)'!$O$79:$O$80)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#,##0_);[Red]\(#,##0\)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'指標２(内作)'!$O$73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'指標２(内作)'!$O$78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69C3-4548-A6A1-CE221D9A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28805666666666668"/>
          <c:y val="9.259166666666667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61138888888888"/>
          <c:y val="0.15688861111111113"/>
          <c:w val="0.6895444444444444"/>
          <c:h val="0.6895444444444444"/>
        </c:manualLayout>
      </c:layout>
      <c:pieChart>
        <c:varyColors val="1"/>
        <c:ser>
          <c:idx val="0"/>
          <c:order val="0"/>
          <c:tx>
            <c:strRef>
              <c:f>'指標２(内作)'!$O$99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3-4893-B280-C79DCE8379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3-4893-B280-C79DCE8379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3-4893-B280-C79DCE8379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33-4893-B280-C79DCE8379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33-4893-B280-C79DCE8379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33-4893-B280-C79DCE8379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33-4893-B280-C79DCE8379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B33-4893-B280-C79DCE837902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026-46FA-B88E-16D8E6CA60C7}"/>
              </c:ext>
            </c:extLst>
          </c:dPt>
          <c:dPt>
            <c:idx val="9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026-46FA-B88E-16D8E6CA60C7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B33-4893-B280-C79DCE837902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B33-4893-B280-C79DCE837902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B33-4893-B280-C79DCE83790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'指標２(内作)'!$A$100:$A$114</c15:sqref>
                  </c15:fullRef>
                </c:ext>
              </c:extLst>
              <c:f>('指標２(内作)'!$A$100:$A$107,'指標２(内作)'!$A$109:$A$112,'指標２(内作)'!$A$114)</c:f>
              <c:strCache>
                <c:ptCount val="13"/>
                <c:pt idx="0">
                  <c:v>LA（旋盤）</c:v>
                </c:pt>
                <c:pt idx="1">
                  <c:v>LN（NC旋盤）</c:v>
                </c:pt>
                <c:pt idx="2">
                  <c:v>MA（ﾌﾗｲｽ盤）</c:v>
                </c:pt>
                <c:pt idx="3">
                  <c:v>DA（ﾎﾞｰﾙ盤）</c:v>
                </c:pt>
                <c:pt idx="4">
                  <c:v>BJ（精密ﾌﾗｲｽ盤）</c:v>
                </c:pt>
                <c:pt idx="5">
                  <c:v>MC（ﾏｼﾆﾝｸﾞｾﾝﾀ）</c:v>
                </c:pt>
                <c:pt idx="6">
                  <c:v>GS（成形研削盤）</c:v>
                </c:pt>
                <c:pt idx="7">
                  <c:v>GR（円筒研削盤）</c:v>
                </c:pt>
                <c:pt idx="8">
                  <c:v>GC（ｾﾝﾀｰﾚｽ）</c:v>
                </c:pt>
                <c:pt idx="9">
                  <c:v>GJ（ｼﾞｸﾞ研削盤）</c:v>
                </c:pt>
                <c:pt idx="10">
                  <c:v>GP（ﾌﾟﾛﾌｧｲﾙ）</c:v>
                </c:pt>
                <c:pt idx="11">
                  <c:v>EN（NC放電）</c:v>
                </c:pt>
                <c:pt idx="12">
                  <c:v>EW（ﾜｲﾔｰｶｯﾄ）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'指標２(内作)'!$O$100:$O$114</c15:sqref>
                  </c15:fullRef>
                </c:ext>
              </c:extLst>
              <c:f>('指標２(内作)'!$O$100:$O$107,'指標２(内作)'!$O$109:$O$112,'指標２(内作)'!$O$114)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2.8498147620404675E-4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'指標２(内作)'!$O$108</c15:sqref>
                  <c15:spPr xmlns:c15="http://schemas.microsoft.com/office/drawing/2012/chart"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  <c15:categoryFilterException>
                  <c15:sqref>'指標２(内作)'!$O$113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DB33-4893-B280-C79DCE83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【Số phế phẩm】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2394014460785575E-2"/>
          <c:y val="0.12236111111111111"/>
          <c:w val="0.95402572938467056"/>
          <c:h val="0.72437462617903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'指標２(外作)'!$D$120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'指標２(外作)'!$D$121:$D$154</c15:sqref>
                  </c15:fullRef>
                </c:ext>
              </c:extLst>
              <c:f>('指標２(外作)'!$D$121:$D$145,'指標２(外作)'!$D$147:$D$154)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8-4D56-B3EA-3E150736E044}"/>
            </c:ext>
          </c:extLst>
        </c:ser>
        <c:ser>
          <c:idx val="1"/>
          <c:order val="1"/>
          <c:tx>
            <c:strRef>
              <c:f>'指標２(外作)'!$E$120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'指標２(外作)'!$E$121:$E$154</c15:sqref>
                  </c15:fullRef>
                </c:ext>
              </c:extLst>
              <c:f>('指標２(外作)'!$E$121:$E$145,'指標２(外作)'!$E$147:$E$154)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8-4D56-B3EA-3E150736E044}"/>
            </c:ext>
          </c:extLst>
        </c:ser>
        <c:ser>
          <c:idx val="2"/>
          <c:order val="2"/>
          <c:tx>
            <c:strRef>
              <c:f>'指標２(外作)'!$F$120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'指標２(外作)'!$F$121:$F$154</c15:sqref>
                  </c15:fullRef>
                </c:ext>
              </c:extLst>
              <c:f>('指標２(外作)'!$F$121:$F$145,'指標２(外作)'!$F$147:$F$154)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8-4D56-B3EA-3E150736E044}"/>
            </c:ext>
          </c:extLst>
        </c:ser>
        <c:ser>
          <c:idx val="3"/>
          <c:order val="3"/>
          <c:tx>
            <c:strRef>
              <c:f>'指標２(外作)'!$G$120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'指標２(外作)'!$G$121:$G$154</c15:sqref>
                  </c15:fullRef>
                </c:ext>
              </c:extLst>
              <c:f>('指標２(外作)'!$G$121:$G$145,'指標２(外作)'!$G$147:$G$154)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E8-4D56-B3EA-3E150736E044}"/>
            </c:ext>
          </c:extLst>
        </c:ser>
        <c:ser>
          <c:idx val="4"/>
          <c:order val="4"/>
          <c:tx>
            <c:strRef>
              <c:f>'指標２(外作)'!$H$120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'指標２(外作)'!$H$121:$H$154</c15:sqref>
                  </c15:fullRef>
                </c:ext>
              </c:extLst>
              <c:f>('指標２(外作)'!$H$121:$H$145,'指標２(外作)'!$H$147:$H$154)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E8-4D56-B3EA-3E150736E044}"/>
            </c:ext>
          </c:extLst>
        </c:ser>
        <c:ser>
          <c:idx val="5"/>
          <c:order val="5"/>
          <c:tx>
            <c:strRef>
              <c:f>'指標２(外作)'!$I$120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'指標２(外作)'!$I$121:$I$154</c15:sqref>
                  </c15:fullRef>
                </c:ext>
              </c:extLst>
              <c:f>('指標２(外作)'!$I$121:$I$145,'指標２(外作)'!$I$147:$I$154)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E8-4D56-B3EA-3E150736E044}"/>
            </c:ext>
          </c:extLst>
        </c:ser>
        <c:ser>
          <c:idx val="6"/>
          <c:order val="6"/>
          <c:tx>
            <c:strRef>
              <c:f>'指標２(外作)'!$J$120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'指標２(外作)'!$J$121:$J$154</c15:sqref>
                  </c15:fullRef>
                </c:ext>
              </c:extLst>
              <c:f>('指標２(外作)'!$J$121:$J$145,'指標２(外作)'!$J$147:$J$154)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E8-4D56-B3EA-3E150736E044}"/>
            </c:ext>
          </c:extLst>
        </c:ser>
        <c:ser>
          <c:idx val="7"/>
          <c:order val="7"/>
          <c:tx>
            <c:strRef>
              <c:f>'指標２(外作)'!$K$120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'指標２(外作)'!$K$121:$K$154</c15:sqref>
                  </c15:fullRef>
                </c:ext>
              </c:extLst>
              <c:f>('指標２(外作)'!$K$121:$K$145,'指標２(外作)'!$K$147:$K$154)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E8-4D56-B3EA-3E150736E044}"/>
            </c:ext>
          </c:extLst>
        </c:ser>
        <c:ser>
          <c:idx val="8"/>
          <c:order val="8"/>
          <c:tx>
            <c:strRef>
              <c:f>'指標２(外作)'!$L$120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'指標２(外作)'!$L$121:$L$154</c15:sqref>
                  </c15:fullRef>
                </c:ext>
              </c:extLst>
              <c:f>('指標２(外作)'!$L$121:$L$145,'指標２(外作)'!$L$147:$L$154)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E8-4D56-B3EA-3E150736E044}"/>
            </c:ext>
          </c:extLst>
        </c:ser>
        <c:ser>
          <c:idx val="9"/>
          <c:order val="9"/>
          <c:tx>
            <c:strRef>
              <c:f>'指標２(外作)'!$M$120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'指標２(外作)'!$M$121:$M$154</c15:sqref>
                  </c15:fullRef>
                </c:ext>
              </c:extLst>
              <c:f>('指標２(外作)'!$M$121:$M$145,'指標２(外作)'!$M$147:$M$154)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E8-4D56-B3EA-3E150736E044}"/>
            </c:ext>
          </c:extLst>
        </c:ser>
        <c:ser>
          <c:idx val="10"/>
          <c:order val="10"/>
          <c:tx>
            <c:strRef>
              <c:f>'指標２(外作)'!$N$120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'指標２(外作)'!$N$121:$N$154</c15:sqref>
                  </c15:fullRef>
                </c:ext>
              </c:extLst>
              <c:f>('指標２(外作)'!$N$121:$N$145,'指標２(外作)'!$N$147:$N$154)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E8-4D56-B3EA-3E150736E044}"/>
            </c:ext>
          </c:extLst>
        </c:ser>
        <c:ser>
          <c:idx val="11"/>
          <c:order val="11"/>
          <c:tx>
            <c:strRef>
              <c:f>'指標２(外作)'!$O$120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'指標２(外作)'!$O$121:$O$154</c15:sqref>
                  </c15:fullRef>
                </c:ext>
              </c:extLst>
              <c:f>('指標２(外作)'!$O$121:$O$145,'指標２(外作)'!$O$147:$O$154)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E8-4D56-B3EA-3E150736E044}"/>
            </c:ext>
          </c:extLst>
        </c:ser>
        <c:ser>
          <c:idx val="12"/>
          <c:order val="12"/>
          <c:tx>
            <c:strRef>
              <c:f>'指標２(外作)'!$P$120</c:f>
              <c:strCache>
                <c:ptCount val="1"/>
                <c:pt idx="0">
                  <c:v>Lũy kế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'指標２(外作)'!$P$121:$P$154</c15:sqref>
                  </c15:fullRef>
                </c:ext>
              </c:extLst>
              <c:f>('指標２(外作)'!$P$121:$P$145,'指標２(外作)'!$P$147:$P$154)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E8-4D56-B3EA-3E150736E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63584"/>
        <c:axId val="111365120"/>
      </c:barChart>
      <c:catAx>
        <c:axId val="1113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11365120"/>
        <c:crosses val="autoZero"/>
        <c:auto val="1"/>
        <c:lblAlgn val="ctr"/>
        <c:lblOffset val="100"/>
        <c:noMultiLvlLbl val="0"/>
      </c:catAx>
      <c:valAx>
        <c:axId val="1113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113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86727777777778"/>
          <c:y val="5.7815689705453398E-4"/>
          <c:w val="0.5613272222222222"/>
          <c:h val="0.10900833333333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【Tỷ lệ phế phẩm】</a:t>
            </a:r>
            <a:endParaRPr lang="ja-JP"/>
          </a:p>
        </c:rich>
      </c:tx>
      <c:layout>
        <c:manualLayout>
          <c:xMode val="edge"/>
          <c:yMode val="edge"/>
          <c:x val="7.6389951925638147E-2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2394014460785575E-2"/>
          <c:y val="0.11773148148148148"/>
          <c:w val="0.95402572938467056"/>
          <c:h val="0.73813555555555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'指標２(外作)'!$D$174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'指標２(外作)'!$D$175:$D$208</c15:sqref>
                  </c15:fullRef>
                </c:ext>
              </c:extLst>
              <c:f>('指標２(外作)'!$D$175:$D$199,'指標２(外作)'!$D$201:$D$208)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267-803F-F2C65F88C3CB}"/>
            </c:ext>
          </c:extLst>
        </c:ser>
        <c:ser>
          <c:idx val="1"/>
          <c:order val="1"/>
          <c:tx>
            <c:strRef>
              <c:f>'指標２(外作)'!$E$174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'指標２(外作)'!$E$175:$E$208</c15:sqref>
                  </c15:fullRef>
                </c:ext>
              </c:extLst>
              <c:f>('指標２(外作)'!$E$175:$E$199,'指標２(外作)'!$E$201:$E$208)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1.6949152542372881E-2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4.1666666666666664E-2</c:v>
                </c:pt>
                <c:pt idx="27">
                  <c:v>0</c:v>
                </c:pt>
                <c:pt idx="28">
                  <c:v>3.125E-2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1-4267-803F-F2C65F88C3CB}"/>
            </c:ext>
          </c:extLst>
        </c:ser>
        <c:ser>
          <c:idx val="2"/>
          <c:order val="2"/>
          <c:tx>
            <c:strRef>
              <c:f>'指標２(外作)'!$F$174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'指標２(外作)'!$F$175:$F$208</c15:sqref>
                  </c15:fullRef>
                </c:ext>
              </c:extLst>
              <c:f>('指標２(外作)'!$F$175:$F$199,'指標２(外作)'!$F$201:$F$208)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6.25E-2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1-4267-803F-F2C65F88C3CB}"/>
            </c:ext>
          </c:extLst>
        </c:ser>
        <c:ser>
          <c:idx val="3"/>
          <c:order val="3"/>
          <c:tx>
            <c:strRef>
              <c:f>'指標２(外作)'!$G$174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'指標２(外作)'!$G$175:$G$208</c15:sqref>
                  </c15:fullRef>
                </c:ext>
              </c:extLst>
              <c:f>('指標２(外作)'!$G$175:$G$199,'指標２(外作)'!$G$201:$G$208)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01-4267-803F-F2C65F88C3CB}"/>
            </c:ext>
          </c:extLst>
        </c:ser>
        <c:ser>
          <c:idx val="4"/>
          <c:order val="4"/>
          <c:tx>
            <c:strRef>
              <c:f>'指標２(外作)'!$H$174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'指標２(外作)'!$H$175:$H$208</c15:sqref>
                  </c15:fullRef>
                </c:ext>
              </c:extLst>
              <c:f>('指標２(外作)'!$H$175:$H$199,'指標２(外作)'!$H$201:$H$208)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01-4267-803F-F2C65F88C3CB}"/>
            </c:ext>
          </c:extLst>
        </c:ser>
        <c:ser>
          <c:idx val="5"/>
          <c:order val="5"/>
          <c:tx>
            <c:strRef>
              <c:f>'指標２(外作)'!$I$174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'指標２(外作)'!$I$175:$I$208</c15:sqref>
                  </c15:fullRef>
                </c:ext>
              </c:extLst>
              <c:f>('指標２(外作)'!$I$175:$I$199,'指標２(外作)'!$I$201:$I$208)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01-4267-803F-F2C65F88C3CB}"/>
            </c:ext>
          </c:extLst>
        </c:ser>
        <c:ser>
          <c:idx val="6"/>
          <c:order val="6"/>
          <c:tx>
            <c:strRef>
              <c:f>'指標２(外作)'!$J$174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'指標２(外作)'!$J$175:$J$208</c15:sqref>
                  </c15:fullRef>
                </c:ext>
              </c:extLst>
              <c:f>('指標２(外作)'!$J$175:$J$199,'指標２(外作)'!$J$201:$J$208)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01-4267-803F-F2C65F88C3CB}"/>
            </c:ext>
          </c:extLst>
        </c:ser>
        <c:ser>
          <c:idx val="7"/>
          <c:order val="7"/>
          <c:tx>
            <c:strRef>
              <c:f>'指標２(外作)'!$K$174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'指標２(外作)'!$K$175:$K$208</c15:sqref>
                  </c15:fullRef>
                </c:ext>
              </c:extLst>
              <c:f>('指標２(外作)'!$K$175:$K$199,'指標２(外作)'!$K$201:$K$208)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01-4267-803F-F2C65F88C3CB}"/>
            </c:ext>
          </c:extLst>
        </c:ser>
        <c:ser>
          <c:idx val="8"/>
          <c:order val="8"/>
          <c:tx>
            <c:strRef>
              <c:f>'指標２(外作)'!$L$174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'指標２(外作)'!$L$175:$L$208</c15:sqref>
                  </c15:fullRef>
                </c:ext>
              </c:extLst>
              <c:f>('指標２(外作)'!$L$175:$L$199,'指標２(外作)'!$L$201:$L$208)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01-4267-803F-F2C65F88C3CB}"/>
            </c:ext>
          </c:extLst>
        </c:ser>
        <c:ser>
          <c:idx val="9"/>
          <c:order val="9"/>
          <c:tx>
            <c:strRef>
              <c:f>'指標２(外作)'!$M$174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'指標２(外作)'!$M$175:$M$208</c15:sqref>
                  </c15:fullRef>
                </c:ext>
              </c:extLst>
              <c:f>('指標２(外作)'!$M$175:$M$199,'指標２(外作)'!$M$201:$M$208)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01-4267-803F-F2C65F88C3CB}"/>
            </c:ext>
          </c:extLst>
        </c:ser>
        <c:ser>
          <c:idx val="10"/>
          <c:order val="10"/>
          <c:tx>
            <c:strRef>
              <c:f>'指標２(外作)'!$N$174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'指標２(外作)'!$N$175:$N$208</c15:sqref>
                  </c15:fullRef>
                </c:ext>
              </c:extLst>
              <c:f>('指標２(外作)'!$N$175:$N$199,'指標２(外作)'!$N$201:$N$208)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01-4267-803F-F2C65F88C3CB}"/>
            </c:ext>
          </c:extLst>
        </c:ser>
        <c:ser>
          <c:idx val="11"/>
          <c:order val="11"/>
          <c:tx>
            <c:strRef>
              <c:f>'指標２(外作)'!$O$174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'指標２(外作)'!$O$175:$O$208</c15:sqref>
                  </c15:fullRef>
                </c:ext>
              </c:extLst>
              <c:f>('指標２(外作)'!$O$175:$O$199,'指標２(外作)'!$O$201:$O$208)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601-4267-803F-F2C65F88C3CB}"/>
            </c:ext>
          </c:extLst>
        </c:ser>
        <c:ser>
          <c:idx val="12"/>
          <c:order val="12"/>
          <c:tx>
            <c:strRef>
              <c:f>'指標２(外作)'!$P$174</c:f>
              <c:strCache>
                <c:ptCount val="1"/>
                <c:pt idx="0">
                  <c:v>Lũy kế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'指標２(外作)'!$P$175:$P$208</c15:sqref>
                  </c15:fullRef>
                </c:ext>
              </c:extLst>
              <c:f>('指標２(外作)'!$P$175:$P$199,'指標２(外作)'!$P$201:$P$208)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2.2123893805309734E-2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1.6129032258064516E-2</c:v>
                </c:pt>
                <c:pt idx="27">
                  <c:v>0</c:v>
                </c:pt>
                <c:pt idx="28">
                  <c:v>1.282051282051282E-2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601-4267-803F-F2C65F88C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42816"/>
        <c:axId val="131844352"/>
      </c:barChart>
      <c:catAx>
        <c:axId val="1318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31844352"/>
        <c:crosses val="autoZero"/>
        <c:auto val="1"/>
        <c:lblAlgn val="ctr"/>
        <c:lblOffset val="100"/>
        <c:noMultiLvlLbl val="0"/>
      </c:catAx>
      <c:valAx>
        <c:axId val="1318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1318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33637783346151"/>
          <c:y val="6.0763342082239678E-2"/>
          <c:w val="0.57366361111111108"/>
          <c:h val="8.4313865468370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15002777777778"/>
          <c:y val="0.17452772929785298"/>
          <c:w val="0.71071111111111107"/>
          <c:h val="0.71071091369141282"/>
        </c:manualLayout>
      </c:layout>
      <c:pieChart>
        <c:varyColors val="1"/>
        <c:ser>
          <c:idx val="0"/>
          <c:order val="0"/>
          <c:tx>
            <c:strRef>
              <c:f>'指標２(外作)'!$P$120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A6-4290-A66D-E3AD8FA526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A6-4290-A66D-E3AD8FA526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A6-4290-A66D-E3AD8FA526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A6-4290-A66D-E3AD8FA526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A6-4290-A66D-E3AD8FA526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A6-4290-A66D-E3AD8FA526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A6-4290-A66D-E3AD8FA526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A6-4290-A66D-E3AD8FA526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A6-4290-A66D-E3AD8FA526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0A6-4290-A66D-E3AD8FA526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0A6-4290-A66D-E3AD8FA526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0A6-4290-A66D-E3AD8FA5266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0A6-4290-A66D-E3AD8FA5266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0A6-4290-A66D-E3AD8FA5266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0A6-4290-A66D-E3AD8FA52663}"/>
              </c:ext>
            </c:extLst>
          </c:dPt>
          <c:dLbls>
            <c:dLbl>
              <c:idx val="0"/>
              <c:layout>
                <c:manualLayout>
                  <c:x val="6.5700485233926714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A6-4290-A66D-E3AD8FA52663}"/>
                </c:ext>
              </c:extLst>
            </c:dLbl>
            <c:dLbl>
              <c:idx val="1"/>
              <c:layout>
                <c:manualLayout>
                  <c:x val="0.15721187538118189"/>
                  <c:y val="-1.38888888888888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A6-4290-A66D-E3AD8FA52663}"/>
                </c:ext>
              </c:extLst>
            </c:dLbl>
            <c:dLbl>
              <c:idx val="2"/>
              <c:layout>
                <c:manualLayout>
                  <c:x val="0.13374741636906526"/>
                  <c:y val="7.407407407407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A6-4290-A66D-E3AD8FA52663}"/>
                </c:ext>
              </c:extLst>
            </c:dLbl>
            <c:dLbl>
              <c:idx val="3"/>
              <c:layout>
                <c:manualLayout>
                  <c:x val="7.9779160641196833E-2"/>
                  <c:y val="6.4814814814814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A6-4290-A66D-E3AD8FA52663}"/>
                </c:ext>
              </c:extLst>
            </c:dLbl>
            <c:dLbl>
              <c:idx val="5"/>
              <c:layout>
                <c:manualLayout>
                  <c:x val="1.6425121308481786E-2"/>
                  <c:y val="7.87037037037037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A6-4290-A66D-E3AD8FA52663}"/>
                </c:ext>
              </c:extLst>
            </c:dLbl>
            <c:dLbl>
              <c:idx val="6"/>
              <c:layout>
                <c:manualLayout>
                  <c:x val="-0.157211875381182"/>
                  <c:y val="-4.16666666666668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0A6-4290-A66D-E3AD8FA52663}"/>
                </c:ext>
              </c:extLst>
            </c:dLbl>
            <c:dLbl>
              <c:idx val="7"/>
              <c:layout>
                <c:manualLayout>
                  <c:x val="-6.5700485233926798E-2"/>
                  <c:y val="0.208333333333333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0A6-4290-A66D-E3AD8FA52663}"/>
                </c:ext>
              </c:extLst>
            </c:dLbl>
            <c:dLbl>
              <c:idx val="8"/>
              <c:layout>
                <c:manualLayout>
                  <c:x val="-7.2739822937561829E-2"/>
                  <c:y val="0.13888888888888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0A6-4290-A66D-E3AD8FA52663}"/>
                </c:ext>
              </c:extLst>
            </c:dLbl>
            <c:dLbl>
              <c:idx val="9"/>
              <c:layout>
                <c:manualLayout>
                  <c:x val="-0.10559006555452521"/>
                  <c:y val="6.94444444444443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0A6-4290-A66D-E3AD8FA52663}"/>
                </c:ext>
              </c:extLst>
            </c:dLbl>
            <c:dLbl>
              <c:idx val="12"/>
              <c:layout>
                <c:manualLayout>
                  <c:x val="-0.15486542947997031"/>
                  <c:y val="3.70370370370369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0A6-4290-A66D-E3AD8FA52663}"/>
                </c:ext>
              </c:extLst>
            </c:dLbl>
            <c:dLbl>
              <c:idx val="13"/>
              <c:layout>
                <c:manualLayout>
                  <c:x val="-0.14782609177633532"/>
                  <c:y val="-0.10648148148148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0A6-4290-A66D-E3AD8FA52663}"/>
                </c:ext>
              </c:extLst>
            </c:dLbl>
            <c:dLbl>
              <c:idx val="14"/>
              <c:layout>
                <c:manualLayout>
                  <c:x val="5.8661147530291786E-2"/>
                  <c:y val="-8.33333333333333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0A6-4290-A66D-E3AD8FA526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'指標２(外作)'!$B$121:$B$154</c15:sqref>
                  </c15:fullRef>
                </c:ext>
              </c:extLst>
              <c:f>('指標２(外作)'!$B$121:$B$145,'指標２(外作)'!$B$147:$B$154)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'指標２(外作)'!$P$121:$P$154</c15:sqref>
                  </c15:fullRef>
                </c:ext>
              </c:extLst>
              <c:f>('指標２(外作)'!$P$121:$P$145,'指標２(外作)'!$P$147:$P$154)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0A6-4290-A66D-E3AD8FA52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972250000000001"/>
          <c:y val="0.18863861111111113"/>
          <c:w val="0.68601666666666672"/>
          <c:h val="0.68601666666666672"/>
        </c:manualLayout>
      </c:layout>
      <c:pieChart>
        <c:varyColors val="1"/>
        <c:ser>
          <c:idx val="0"/>
          <c:order val="0"/>
          <c:tx>
            <c:strRef>
              <c:f>'指標２(外作)'!$P$174</c:f>
              <c:strCache>
                <c:ptCount val="1"/>
                <c:pt idx="0">
                  <c:v>Lũy kế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AF-4976-ADF3-64F91053D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AF-4976-ADF3-64F91053D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AF-4976-ADF3-64F91053D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AF-4976-ADF3-64F91053D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AF-4976-ADF3-64F91053D9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AF-4976-ADF3-64F91053D9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7AF-4976-ADF3-64F91053D9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7AF-4976-ADF3-64F91053D9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7AF-4976-ADF3-64F91053D9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7AF-4976-ADF3-64F91053D9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7AF-4976-ADF3-64F91053D9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7AF-4976-ADF3-64F91053D9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7AF-4976-ADF3-64F91053D9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7AF-4976-ADF3-64F91053D9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7AF-4976-ADF3-64F91053D935}"/>
              </c:ext>
            </c:extLst>
          </c:dPt>
          <c:dLbls>
            <c:dLbl>
              <c:idx val="0"/>
              <c:layout>
                <c:manualLayout>
                  <c:x val="0.16190476718360533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AF-4976-ADF3-64F91053D935}"/>
                </c:ext>
              </c:extLst>
            </c:dLbl>
            <c:dLbl>
              <c:idx val="1"/>
              <c:layout>
                <c:manualLayout>
                  <c:x val="4.4582472123021841E-2"/>
                  <c:y val="-6.48148148148148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AF-4976-ADF3-64F91053D935}"/>
                </c:ext>
              </c:extLst>
            </c:dLbl>
            <c:dLbl>
              <c:idx val="2"/>
              <c:layout>
                <c:manualLayout>
                  <c:x val="6.8046931135138475E-2"/>
                  <c:y val="-0.1620370370370371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AF-4976-ADF3-64F91053D935}"/>
                </c:ext>
              </c:extLst>
            </c:dLbl>
            <c:dLbl>
              <c:idx val="3"/>
              <c:layout>
                <c:manualLayout>
                  <c:x val="0.13844030817148861"/>
                  <c:y val="-0.1296296296296297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AF-4976-ADF3-64F91053D935}"/>
                </c:ext>
              </c:extLst>
            </c:dLbl>
            <c:dLbl>
              <c:idx val="4"/>
              <c:layout>
                <c:manualLayout>
                  <c:x val="0.19944790160299206"/>
                  <c:y val="-1.6975112544026657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AF-4976-ADF3-64F91053D935}"/>
                </c:ext>
              </c:extLst>
            </c:dLbl>
            <c:dLbl>
              <c:idx val="5"/>
              <c:layout>
                <c:manualLayout>
                  <c:x val="-0.20414079340541541"/>
                  <c:y val="-1.6975112544026657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AF-4976-ADF3-64F91053D935}"/>
                </c:ext>
              </c:extLst>
            </c:dLbl>
            <c:dLbl>
              <c:idx val="6"/>
              <c:layout>
                <c:manualLayout>
                  <c:x val="-0.19710145570178039"/>
                  <c:y val="-0.101851851851851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AF-4976-ADF3-64F91053D935}"/>
                </c:ext>
              </c:extLst>
            </c:dLbl>
            <c:dLbl>
              <c:idx val="9"/>
              <c:layout>
                <c:manualLayout>
                  <c:x val="-0.1149758491593719"/>
                  <c:y val="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AF-4976-ADF3-64F91053D935}"/>
                </c:ext>
              </c:extLst>
            </c:dLbl>
            <c:dLbl>
              <c:idx val="10"/>
              <c:layout>
                <c:manualLayout>
                  <c:x val="-0.17598344259087537"/>
                  <c:y val="8.79629629629629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AF-4976-ADF3-64F91053D935}"/>
                </c:ext>
              </c:extLst>
            </c:dLbl>
            <c:dLbl>
              <c:idx val="14"/>
              <c:layout>
                <c:manualLayout>
                  <c:x val="0.11262940325816014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AF-4976-ADF3-64F91053D93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'指標２(外作)'!$B$175:$B$208</c15:sqref>
                  </c15:fullRef>
                </c:ext>
              </c:extLst>
              <c:f>('指標２(外作)'!$B$175:$B$199,'指標２(外作)'!$B$201:$B$208)</c:f>
              <c:strCache>
                <c:ptCount val="33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TKM</c:v>
                </c:pt>
                <c:pt idx="4">
                  <c:v>VNM</c:v>
                </c:pt>
                <c:pt idx="5">
                  <c:v>PUNCH</c:v>
                </c:pt>
                <c:pt idx="6">
                  <c:v>CAO SU VIET</c:v>
                </c:pt>
                <c:pt idx="7">
                  <c:v>VINATECH</c:v>
                </c:pt>
                <c:pt idx="8">
                  <c:v>KA SHIN</c:v>
                </c:pt>
                <c:pt idx="9">
                  <c:v>MINH THINH LOI</c:v>
                </c:pt>
                <c:pt idx="10">
                  <c:v>KIWA</c:v>
                </c:pt>
                <c:pt idx="11">
                  <c:v>LE HOANG ANH</c:v>
                </c:pt>
                <c:pt idx="12">
                  <c:v>ISHISEI</c:v>
                </c:pt>
                <c:pt idx="13">
                  <c:v>TRUNG PHAT</c:v>
                </c:pt>
                <c:pt idx="14">
                  <c:v>AN MI</c:v>
                </c:pt>
                <c:pt idx="15">
                  <c:v>OSG</c:v>
                </c:pt>
                <c:pt idx="16">
                  <c:v>UWC</c:v>
                </c:pt>
                <c:pt idx="17">
                  <c:v>A&amp;D</c:v>
                </c:pt>
                <c:pt idx="18">
                  <c:v>SAKURA</c:v>
                </c:pt>
                <c:pt idx="19">
                  <c:v>PRECEDE ML </c:v>
                </c:pt>
                <c:pt idx="20">
                  <c:v>VIET NHAT TAN</c:v>
                </c:pt>
                <c:pt idx="21">
                  <c:v>YES SAI GON</c:v>
                </c:pt>
                <c:pt idx="22">
                  <c:v>FINECS</c:v>
                </c:pt>
                <c:pt idx="23">
                  <c:v>HUYNH DUC</c:v>
                </c:pt>
                <c:pt idx="24">
                  <c:v>AMERIX</c:v>
                </c:pt>
                <c:pt idx="25">
                  <c:v>HITECH</c:v>
                </c:pt>
                <c:pt idx="26">
                  <c:v>CAM</c:v>
                </c:pt>
                <c:pt idx="27">
                  <c:v>CENTRAL TECH </c:v>
                </c:pt>
                <c:pt idx="28">
                  <c:v>TINH NGUYEN HAO</c:v>
                </c:pt>
                <c:pt idx="29">
                  <c:v>CNCLASER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'指標２(外作)'!$P$175:$P$208</c15:sqref>
                  </c15:fullRef>
                </c:ext>
              </c:extLst>
              <c:f>('指標２(外作)'!$P$175:$P$199,'指標２(外作)'!$P$201:$P$208)</c:f>
              <c:numCache>
                <c:formatCode>0.00%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2.2123893805309734E-2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1.6129032258064516E-2</c:v>
                </c:pt>
                <c:pt idx="27">
                  <c:v>0</c:v>
                </c:pt>
                <c:pt idx="28">
                  <c:v>1.282051282051282E-2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7AF-4976-ADF3-64F91053D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研削工程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6319426104781"/>
          <c:y val="6.511534902083440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370667647576696E-2"/>
          <c:y val="0.13804453992416901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('指標3（工程毎負荷時間)'!$F$47,'指標3（工程毎負荷時間)'!$F$49,'指標3（工程毎負荷時間)'!$F$51,'指標3（工程毎負荷時間)'!$F$53,'指標3（工程毎負荷時間)'!$F$55,'指標3（工程毎負荷時間)'!$F$57)</c:f>
              <c:numCache>
                <c:formatCode>#,##0_);[Red]\(#,##0\)</c:formatCode>
                <c:ptCount val="6"/>
                <c:pt idx="0">
                  <c:v>1317.4285714285716</c:v>
                </c:pt>
                <c:pt idx="1">
                  <c:v>1785.0227272727273</c:v>
                </c:pt>
                <c:pt idx="2">
                  <c:v>0</c:v>
                </c:pt>
                <c:pt idx="3">
                  <c:v>1503.2954545454545</c:v>
                </c:pt>
                <c:pt idx="4">
                  <c:v>1096.6363636363637</c:v>
                </c:pt>
                <c:pt idx="5">
                  <c:v>2053.2045454545455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6-4BF1-A23D-7C8DA2D3F7DB}"/>
            </c:ext>
          </c:extLst>
        </c:ser>
        <c:ser>
          <c:idx val="1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('指標3（工程毎負荷時間)'!$G$47,'指標3（工程毎負荷時間)'!$G$49,'指標3（工程毎負荷時間)'!$G$51,'指標3（工程毎負荷時間)'!$G$53,'指標3（工程毎負荷時間)'!$G$55,'指標3（工程毎負荷時間)'!$G$57)</c:f>
              <c:numCache>
                <c:formatCode>#,##0_);[Red]\(#,##0\)</c:formatCode>
                <c:ptCount val="6"/>
                <c:pt idx="0">
                  <c:v>1926.4476190476191</c:v>
                </c:pt>
                <c:pt idx="1">
                  <c:v>2249.7333333333331</c:v>
                </c:pt>
                <c:pt idx="2">
                  <c:v>0</c:v>
                </c:pt>
                <c:pt idx="3">
                  <c:v>2171.9333333333334</c:v>
                </c:pt>
                <c:pt idx="4">
                  <c:v>1421.5</c:v>
                </c:pt>
                <c:pt idx="5">
                  <c:v>2792.7666666666669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6-4BF1-A23D-7C8DA2D3F7DB}"/>
            </c:ext>
          </c:extLst>
        </c:ser>
        <c:ser>
          <c:idx val="3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('指標3（工程毎負荷時間)'!$H$47,'指標3（工程毎負荷時間)'!$H$49,'指標3（工程毎負荷時間)'!$H$51,'指標3（工程毎負荷時間)'!$H$53,'指標3（工程毎負荷時間)'!$H$55,'指標3（工程毎負荷時間)'!$H$57)</c:f>
              <c:numCache>
                <c:formatCode>#,##0_);[Red]\(#,##0\)</c:formatCode>
                <c:ptCount val="6"/>
                <c:pt idx="0">
                  <c:v>1500.1623376623377</c:v>
                </c:pt>
                <c:pt idx="1">
                  <c:v>1863.75</c:v>
                </c:pt>
                <c:pt idx="2">
                  <c:v>0</c:v>
                </c:pt>
                <c:pt idx="3">
                  <c:v>1560.2954545454545</c:v>
                </c:pt>
                <c:pt idx="4">
                  <c:v>1223.9545454545455</c:v>
                </c:pt>
                <c:pt idx="5">
                  <c:v>1673.340909090909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6-4BF1-A23D-7C8DA2D3F7DB}"/>
            </c:ext>
          </c:extLst>
        </c:ser>
        <c:ser>
          <c:idx val="4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('指標3（工程毎負荷時間)'!$I$47,'指標3（工程毎負荷時間)'!$I$49,'指標3（工程毎負荷時間)'!$I$51,'指標3（工程毎負荷時間)'!$I$53,'指標3（工程毎負荷時間)'!$I$55,'指標3（工程毎負荷時間)'!$I$57)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6-4BF1-A23D-7C8DA2D3F7DB}"/>
            </c:ext>
          </c:extLst>
        </c:ser>
        <c:ser>
          <c:idx val="5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('指標3（工程毎負荷時間)'!$J$47,'指標3（工程毎負荷時間)'!$J$49,'指標3（工程毎負荷時間)'!$J$51,'指標3（工程毎負荷時間)'!$J$53,'指標3（工程毎負荷時間)'!$J$55,'指標3（工程毎負荷時間)'!$J$57)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6-4BF1-A23D-7C8DA2D3F7DB}"/>
            </c:ext>
          </c:extLst>
        </c:ser>
        <c:ser>
          <c:idx val="2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('指標3（工程毎負荷時間)'!$K$47,'指標3（工程毎負荷時間)'!$K$49,'指標3（工程毎負荷時間)'!$K$51,'指標3（工程毎負荷時間)'!$K$53,'指標3（工程毎負荷時間)'!$K$55,'指標3（工程毎負荷時間)'!$K$57)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6-4BF1-A23D-7C8DA2D3F7DB}"/>
            </c:ext>
          </c:extLst>
        </c:ser>
        <c:ser>
          <c:idx val="6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('指標3（工程毎負荷時間)'!$L$47,'指標3（工程毎負荷時間)'!$L$49,'指標3（工程毎負荷時間)'!$L$51,'指標3（工程毎負荷時間)'!$L$53,'指標3（工程毎負荷時間)'!$L$55,'指標3（工程毎負荷時間)'!$L$57)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6-4BF1-A23D-7C8DA2D3F7DB}"/>
            </c:ext>
          </c:extLst>
        </c:ser>
        <c:ser>
          <c:idx val="7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('指標3（工程毎負荷時間)'!$M$47,'指標3（工程毎負荷時間)'!$M$49,'指標3（工程毎負荷時間)'!$M$51,'指標3（工程毎負荷時間)'!$M$53,'指標3（工程毎負荷時間)'!$M$55,'指標3（工程毎負荷時間)'!$M$57)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76-4BF1-A23D-7C8DA2D3F7DB}"/>
            </c:ext>
          </c:extLst>
        </c:ser>
        <c:ser>
          <c:idx val="8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('指標3（工程毎負荷時間)'!$N$47,'指標3（工程毎負荷時間)'!$N$49,'指標3（工程毎負荷時間)'!$N$51,'指標3（工程毎負荷時間)'!$N$53,'指標3（工程毎負荷時間)'!$N$55,'指標3（工程毎負荷時間)'!$N$57)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76-4BF1-A23D-7C8DA2D3F7DB}"/>
            </c:ext>
          </c:extLst>
        </c:ser>
        <c:ser>
          <c:idx val="9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('指標3（工程毎負荷時間)'!$O$47,'指標3（工程毎負荷時間)'!$O$49,'指標3（工程毎負荷時間)'!$O$51,'指標3（工程毎負荷時間)'!$O$53,'指標3（工程毎負荷時間)'!$O$55,'指標3（工程毎負荷時間)'!$O$57)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76-4BF1-A23D-7C8DA2D3F7DB}"/>
            </c:ext>
          </c:extLst>
        </c:ser>
        <c:ser>
          <c:idx val="10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('指標3（工程毎負荷時間)'!$P$47,'指標3（工程毎負荷時間)'!$P$49,'指標3（工程毎負荷時間)'!$P$51,'指標3（工程毎負荷時間)'!$P$53,'指標3（工程毎負荷時間)'!$P$55,'指標3（工程毎負荷時間)'!$P$57)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76-4BF1-A23D-7C8DA2D3F7DB}"/>
            </c:ext>
          </c:extLst>
        </c:ser>
        <c:ser>
          <c:idx val="11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('指標3（工程毎負荷時間)'!$C$47,'指標3（工程毎負荷時間)'!$C$49,'指標3（工程毎負荷時間)'!$C$51,'指標3（工程毎負荷時間)'!$C$53,'指標3（工程毎負荷時間)'!$C$55,'指標3（工程毎負荷時間)'!$C$57)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('指標3（工程毎負荷時間)'!$Q$47,'指標3（工程毎負荷時間)'!$Q$49,'指標3（工程毎負荷時間)'!$Q$51,'指標3（工程毎負荷時間)'!$Q$53,'指標3（工程毎負荷時間)'!$Q$55,'指標3（工程毎負荷時間)'!$Q$57)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76-4BF1-A23D-7C8DA2D3F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55040"/>
        <c:axId val="170856832"/>
      </c:barChart>
      <c:catAx>
        <c:axId val="1708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0856832"/>
        <c:crosses val="autoZero"/>
        <c:auto val="1"/>
        <c:lblAlgn val="ctr"/>
        <c:lblOffset val="100"/>
        <c:noMultiLvlLbl val="0"/>
      </c:catAx>
      <c:valAx>
        <c:axId val="1708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08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568717145805"/>
          <c:y val="0.13455189616409099"/>
          <c:w val="0.81662878216252999"/>
          <c:h val="9.7086985390064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放電工程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8691378412118"/>
          <c:y val="6.67451842298474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01870582800706E-2"/>
          <c:y val="0.14817430899026099"/>
          <c:w val="0.88912427629186297"/>
          <c:h val="0.747324280163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('指標3（工程毎負荷時間)'!$F$59,'指標3（工程毎負荷時間)'!$F$61,'指標3（工程毎負荷時間)'!$F$63)</c:f>
              <c:numCache>
                <c:formatCode>#,##0_);[Red]\(#,##0\)</c:formatCode>
                <c:ptCount val="3"/>
                <c:pt idx="0">
                  <c:v>1660.25</c:v>
                </c:pt>
                <c:pt idx="1">
                  <c:v>0</c:v>
                </c:pt>
                <c:pt idx="2">
                  <c:v>3053.318181818182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8-4511-98AD-E5C8F26A6625}"/>
            </c:ext>
          </c:extLst>
        </c:ser>
        <c:ser>
          <c:idx val="2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('指標3（工程毎負荷時間)'!$G$59,'指標3（工程毎負荷時間)'!$G$61,'指標3（工程毎負荷時間)'!$G$63)</c:f>
              <c:numCache>
                <c:formatCode>#,##0_);[Red]\(#,##0\)</c:formatCode>
                <c:ptCount val="3"/>
                <c:pt idx="0">
                  <c:v>2364.9666666666667</c:v>
                </c:pt>
                <c:pt idx="1">
                  <c:v>0</c:v>
                </c:pt>
                <c:pt idx="2">
                  <c:v>4604.3999999999996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8-4511-98AD-E5C8F26A6625}"/>
            </c:ext>
          </c:extLst>
        </c:ser>
        <c:ser>
          <c:idx val="1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('指標3（工程毎負荷時間)'!$H$59,'指標3（工程毎負荷時間)'!$H$61,'指標3（工程毎負荷時間)'!$H$63)</c:f>
              <c:numCache>
                <c:formatCode>#,##0_);[Red]\(#,##0\)</c:formatCode>
                <c:ptCount val="3"/>
                <c:pt idx="0">
                  <c:v>1800.9318181818182</c:v>
                </c:pt>
                <c:pt idx="1">
                  <c:v>0</c:v>
                </c:pt>
                <c:pt idx="2">
                  <c:v>2933.3522727272725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8-4511-98AD-E5C8F26A6625}"/>
            </c:ext>
          </c:extLst>
        </c:ser>
        <c:ser>
          <c:idx val="3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('指標3（工程毎負荷時間)'!$I$59,'指標3（工程毎負荷時間)'!$I$61,'指標3（工程毎負荷時間)'!$I$63)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18-4511-98AD-E5C8F26A6625}"/>
            </c:ext>
          </c:extLst>
        </c:ser>
        <c:ser>
          <c:idx val="4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('指標3（工程毎負荷時間)'!$J$59,'指標3（工程毎負荷時間)'!$J$61,'指標3（工程毎負荷時間)'!$J$63)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8-4511-98AD-E5C8F26A6625}"/>
            </c:ext>
          </c:extLst>
        </c:ser>
        <c:ser>
          <c:idx val="5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('指標3（工程毎負荷時間)'!$K$59,'指標3（工程毎負荷時間)'!$K$61,'指標3（工程毎負荷時間)'!$K$63)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18-4511-98AD-E5C8F26A6625}"/>
            </c:ext>
          </c:extLst>
        </c:ser>
        <c:ser>
          <c:idx val="6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('指標3（工程毎負荷時間)'!$L$59,'指標3（工程毎負荷時間)'!$L$61,'指標3（工程毎負荷時間)'!$L$63)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18-4511-98AD-E5C8F26A6625}"/>
            </c:ext>
          </c:extLst>
        </c:ser>
        <c:ser>
          <c:idx val="7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('指標3（工程毎負荷時間)'!$M$59,'指標3（工程毎負荷時間)'!$M$61,'指標3（工程毎負荷時間)'!$M$63)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18-4511-98AD-E5C8F26A6625}"/>
            </c:ext>
          </c:extLst>
        </c:ser>
        <c:ser>
          <c:idx val="8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('指標3（工程毎負荷時間)'!$N$59,'指標3（工程毎負荷時間)'!$N$61,'指標3（工程毎負荷時間)'!$N$63)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18-4511-98AD-E5C8F26A6625}"/>
            </c:ext>
          </c:extLst>
        </c:ser>
        <c:ser>
          <c:idx val="9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('指標3（工程毎負荷時間)'!$O$59,'指標3（工程毎負荷時間)'!$O$61,'指標3（工程毎負荷時間)'!$O$63)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18-4511-98AD-E5C8F26A6625}"/>
            </c:ext>
          </c:extLst>
        </c:ser>
        <c:ser>
          <c:idx val="10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('指標3（工程毎負荷時間)'!$P$59,'指標3（工程毎負荷時間)'!$P$61,'指標3（工程毎負荷時間)'!$P$63)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18-4511-98AD-E5C8F26A6625}"/>
            </c:ext>
          </c:extLst>
        </c:ser>
        <c:ser>
          <c:idx val="11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('指標3（工程毎負荷時間)'!$C$59,'指標3（工程毎負荷時間)'!$C$61,'指標3（工程毎負荷時間)'!$C$63)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('指標3（工程毎負荷時間)'!$Q$59,'指標3（工程毎負荷時間)'!$Q$61,'指標3（工程毎負荷時間)'!$Q$63)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18-4511-98AD-E5C8F26A6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98336"/>
        <c:axId val="171199872"/>
      </c:barChart>
      <c:catAx>
        <c:axId val="1711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199872"/>
        <c:crosses val="autoZero"/>
        <c:auto val="1"/>
        <c:lblAlgn val="ctr"/>
        <c:lblOffset val="100"/>
        <c:noMultiLvlLbl val="0"/>
      </c:catAx>
      <c:valAx>
        <c:axId val="1711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1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889986533377"/>
          <c:y val="0.15293686693900799"/>
          <c:w val="0.81703046209194696"/>
          <c:h val="9.9517069686703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u="none" strike="noStrike" baseline="0">
                <a:effectLst/>
              </a:rPr>
              <a:t>【</a:t>
            </a:r>
            <a:r>
              <a:rPr lang="ja-JP" altLang="ja-JP" sz="1100" b="0" i="0" u="none" strike="noStrike" baseline="0">
                <a:effectLst/>
              </a:rPr>
              <a:t>切削工程　負荷</a:t>
            </a:r>
            <a:r>
              <a:rPr lang="ja-JP" altLang="en-US" sz="1100" b="0" i="0" u="none" strike="noStrike" baseline="0">
                <a:effectLst/>
              </a:rPr>
              <a:t>日数＆目標値</a:t>
            </a:r>
            <a:r>
              <a:rPr lang="en-US" altLang="ja-JP" sz="1100" b="0" i="0" u="none" strike="noStrike" baseline="0">
                <a:effectLst/>
              </a:rPr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414413139531301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2815088842138"/>
          <c:w val="0.91641675024435798"/>
          <c:h val="0.767347590890484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'指標3（工程毎負荷時間)'!$F$163:$F$168</c:f>
              <c:numCache>
                <c:formatCode>#,##0_);[Red]\(#,##0\)</c:formatCode>
                <c:ptCount val="6"/>
                <c:pt idx="0">
                  <c:v>7.4822629969418966</c:v>
                </c:pt>
                <c:pt idx="1">
                  <c:v>62.045412844036697</c:v>
                </c:pt>
                <c:pt idx="2">
                  <c:v>7.2628440366972473</c:v>
                </c:pt>
                <c:pt idx="3">
                  <c:v>17.651192660550457</c:v>
                </c:pt>
                <c:pt idx="4">
                  <c:v>3.4669724770642203</c:v>
                </c:pt>
                <c:pt idx="5">
                  <c:v>46.236697247706424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F-4ADD-8EB3-907E0B026A6B}"/>
            </c:ext>
          </c:extLst>
        </c:ser>
        <c:ser>
          <c:idx val="2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'指標3（工程毎負荷時間)'!$G$163:$G$168</c:f>
              <c:numCache>
                <c:formatCode>#,##0_);[Red]\(#,##0\)</c:formatCode>
                <c:ptCount val="6"/>
                <c:pt idx="0">
                  <c:v>7.9348623853211011</c:v>
                </c:pt>
                <c:pt idx="1">
                  <c:v>58.473394495412848</c:v>
                </c:pt>
                <c:pt idx="2">
                  <c:v>8.0107798165137609</c:v>
                </c:pt>
                <c:pt idx="3">
                  <c:v>17.891743119266057</c:v>
                </c:pt>
                <c:pt idx="4">
                  <c:v>3.8045871559633029</c:v>
                </c:pt>
                <c:pt idx="5">
                  <c:v>46.028440366972475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F-4ADD-8EB3-907E0B026A6B}"/>
            </c:ext>
          </c:extLst>
        </c:ser>
        <c:ser>
          <c:idx val="3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'指標3（工程毎負荷時間)'!$H$163:$H$168</c:f>
              <c:numCache>
                <c:formatCode>#,##0_);[Red]\(#,##0\)</c:formatCode>
                <c:ptCount val="6"/>
                <c:pt idx="0">
                  <c:v>12.650458715596331</c:v>
                </c:pt>
                <c:pt idx="1">
                  <c:v>59.901834862385321</c:v>
                </c:pt>
                <c:pt idx="2">
                  <c:v>9.4527522935779817</c:v>
                </c:pt>
                <c:pt idx="3">
                  <c:v>23.440917431192659</c:v>
                </c:pt>
                <c:pt idx="4">
                  <c:v>4.894954128440367</c:v>
                </c:pt>
                <c:pt idx="5">
                  <c:v>45.962996941896023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F-4ADD-8EB3-907E0B026A6B}"/>
            </c:ext>
          </c:extLst>
        </c:ser>
        <c:ser>
          <c:idx val="4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'指標3（工程毎負荷時間)'!$I$163:$I$168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1F-4ADD-8EB3-907E0B026A6B}"/>
            </c:ext>
          </c:extLst>
        </c:ser>
        <c:ser>
          <c:idx val="5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'指標3（工程毎負荷時間)'!$J$163:$J$168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1F-4ADD-8EB3-907E0B026A6B}"/>
            </c:ext>
          </c:extLst>
        </c:ser>
        <c:ser>
          <c:idx val="6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'指標3（工程毎負荷時間)'!$K$163:$K$168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1F-4ADD-8EB3-907E0B026A6B}"/>
            </c:ext>
          </c:extLst>
        </c:ser>
        <c:ser>
          <c:idx val="7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'指標3（工程毎負荷時間)'!$L$163:$L$168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1F-4ADD-8EB3-907E0B026A6B}"/>
            </c:ext>
          </c:extLst>
        </c:ser>
        <c:ser>
          <c:idx val="8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'指標3（工程毎負荷時間)'!$M$163:$M$168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1F-4ADD-8EB3-907E0B026A6B}"/>
            </c:ext>
          </c:extLst>
        </c:ser>
        <c:ser>
          <c:idx val="9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'指標3（工程毎負荷時間)'!$N$163:$N$168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1F-4ADD-8EB3-907E0B026A6B}"/>
            </c:ext>
          </c:extLst>
        </c:ser>
        <c:ser>
          <c:idx val="10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'指標3（工程毎負荷時間)'!$O$163:$O$168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1F-4ADD-8EB3-907E0B026A6B}"/>
            </c:ext>
          </c:extLst>
        </c:ser>
        <c:ser>
          <c:idx val="11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'指標3（工程毎負荷時間)'!$P$163:$P$168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1F-4ADD-8EB3-907E0B026A6B}"/>
            </c:ext>
          </c:extLst>
        </c:ser>
        <c:ser>
          <c:idx val="12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'指標3（工程毎負荷時間)'!$Q$163:$Q$168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1F-4ADD-8EB3-907E0B02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69152"/>
        <c:axId val="171570688"/>
      </c:barChart>
      <c:lineChart>
        <c:grouping val="standard"/>
        <c:varyColors val="0"/>
        <c:ser>
          <c:idx val="0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11F-4ADD-8EB3-907E0B026A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1F-4ADD-8EB3-907E0B026A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11F-4ADD-8EB3-907E0B026A6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1F-4ADD-8EB3-907E0B026A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11F-4ADD-8EB3-907E0B026A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11F-4ADD-8EB3-907E0B026A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'指標3（工程毎負荷時間)'!$C$163:$C$168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'指標3（工程毎負荷時間)'!$R$163:$R$168</c:f>
              <c:numCache>
                <c:formatCode>#,##0_);[Red]\(#,##0\)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1F-4ADD-8EB3-907E0B026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69152"/>
        <c:axId val="171570688"/>
      </c:lineChart>
      <c:catAx>
        <c:axId val="17156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570688"/>
        <c:crosses val="autoZero"/>
        <c:auto val="1"/>
        <c:lblAlgn val="ctr"/>
        <c:lblOffset val="100"/>
        <c:noMultiLvlLbl val="0"/>
      </c:catAx>
      <c:valAx>
        <c:axId val="17157068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5691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231044742480105"/>
          <c:y val="6.0969424892407002E-3"/>
          <c:w val="0.33585119463882801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en-US" altLang="ja-JP" sz="1100"/>
              <a:t>NC</a:t>
            </a:r>
            <a:r>
              <a:rPr lang="ja-JP" altLang="en-US" sz="1100"/>
              <a:t>系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8691378412118"/>
          <c:y val="6.67451842298474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01870582800706E-2"/>
          <c:y val="0.14817430899026099"/>
          <c:w val="0.88912427629186297"/>
          <c:h val="0.74732428016370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('指標3（工程毎負荷時間)'!$F$37,'指標3（工程毎負荷時間)'!$F$45,'指標3（工程毎負荷時間)'!$F$59,'指標3（工程毎負荷時間)'!$F$63)</c:f>
              <c:numCache>
                <c:formatCode>#,##0_);[Red]\(#,##0\)</c:formatCode>
                <c:ptCount val="4"/>
                <c:pt idx="0">
                  <c:v>3074.068181818182</c:v>
                </c:pt>
                <c:pt idx="1">
                  <c:v>2290.818181818182</c:v>
                </c:pt>
                <c:pt idx="2">
                  <c:v>1660.25</c:v>
                </c:pt>
                <c:pt idx="3">
                  <c:v>3053.318181818182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689-8ABF-AF208C319D90}"/>
            </c:ext>
          </c:extLst>
        </c:ser>
        <c:ser>
          <c:idx val="1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('指標3（工程毎負荷時間)'!$G$37,'指標3（工程毎負荷時間)'!$G$45,'指標3（工程毎負荷時間)'!$G$59,'指標3（工程毎負荷時間)'!$G$63)</c:f>
              <c:numCache>
                <c:formatCode>#,##0_);[Red]\(#,##0\)</c:formatCode>
                <c:ptCount val="4"/>
                <c:pt idx="0">
                  <c:v>4249.0666666666666</c:v>
                </c:pt>
                <c:pt idx="1">
                  <c:v>3344.7333333333331</c:v>
                </c:pt>
                <c:pt idx="2">
                  <c:v>2364.9666666666667</c:v>
                </c:pt>
                <c:pt idx="3">
                  <c:v>4604.3999999999996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4-4689-8ABF-AF208C319D90}"/>
            </c:ext>
          </c:extLst>
        </c:ser>
        <c:ser>
          <c:idx val="3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('指標3（工程毎負荷時間)'!$H$37,'指標3（工程毎負荷時間)'!$H$45,'指標3（工程毎負荷時間)'!$H$59,'指標3（工程毎負荷時間)'!$H$63)</c:f>
              <c:numCache>
                <c:formatCode>#,##0_);[Red]\(#,##0\)</c:formatCode>
                <c:ptCount val="4"/>
                <c:pt idx="0">
                  <c:v>2967.8636363636365</c:v>
                </c:pt>
                <c:pt idx="1">
                  <c:v>2277.2575757575755</c:v>
                </c:pt>
                <c:pt idx="2">
                  <c:v>1800.9318181818182</c:v>
                </c:pt>
                <c:pt idx="3">
                  <c:v>2933.3522727272725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4-4689-8ABF-AF208C319D90}"/>
            </c:ext>
          </c:extLst>
        </c:ser>
        <c:ser>
          <c:idx val="4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('指標3（工程毎負荷時間)'!$I$37,'指標3（工程毎負荷時間)'!$I$45,'指標3（工程毎負荷時間)'!$I$59,'指標3（工程毎負荷時間)'!$I$63)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4-4689-8ABF-AF208C319D90}"/>
            </c:ext>
          </c:extLst>
        </c:ser>
        <c:ser>
          <c:idx val="5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('指標3（工程毎負荷時間)'!$J$37,'指標3（工程毎負荷時間)'!$J$45,'指標3（工程毎負荷時間)'!$J$59,'指標3（工程毎負荷時間)'!$J$63)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F4-4689-8ABF-AF208C319D90}"/>
            </c:ext>
          </c:extLst>
        </c:ser>
        <c:ser>
          <c:idx val="6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('指標3（工程毎負荷時間)'!$K$37,'指標3（工程毎負荷時間)'!$K$45,'指標3（工程毎負荷時間)'!$K$59,'指標3（工程毎負荷時間)'!$K$63)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F4-4689-8ABF-AF208C319D90}"/>
            </c:ext>
          </c:extLst>
        </c:ser>
        <c:ser>
          <c:idx val="7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('指標3（工程毎負荷時間)'!$L$37,'指標3（工程毎負荷時間)'!$L$45,'指標3（工程毎負荷時間)'!$L$59,'指標3（工程毎負荷時間)'!$L$63)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F4-4689-8ABF-AF208C319D90}"/>
            </c:ext>
          </c:extLst>
        </c:ser>
        <c:ser>
          <c:idx val="8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('指標3（工程毎負荷時間)'!$M$37,'指標3（工程毎負荷時間)'!$M$45,'指標3（工程毎負荷時間)'!$M$59,'指標3（工程毎負荷時間)'!$M$63)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F4-4689-8ABF-AF208C319D90}"/>
            </c:ext>
          </c:extLst>
        </c:ser>
        <c:ser>
          <c:idx val="9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('指標3（工程毎負荷時間)'!$N$37,'指標3（工程毎負荷時間)'!$N$45,'指標3（工程毎負荷時間)'!$N$59,'指標3（工程毎負荷時間)'!$N$63)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F4-4689-8ABF-AF208C319D90}"/>
            </c:ext>
          </c:extLst>
        </c:ser>
        <c:ser>
          <c:idx val="10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('指標3（工程毎負荷時間)'!$O$37,'指標3（工程毎負荷時間)'!$O$45,'指標3（工程毎負荷時間)'!$O$59,'指標3（工程毎負荷時間)'!$O$63)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F4-4689-8ABF-AF208C319D90}"/>
            </c:ext>
          </c:extLst>
        </c:ser>
        <c:ser>
          <c:idx val="11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('指標3（工程毎負荷時間)'!$P$37,'指標3（工程毎負荷時間)'!$P$45,'指標3（工程毎負荷時間)'!$P$59,'指標3（工程毎負荷時間)'!$P$63)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F4-4689-8ABF-AF208C319D90}"/>
            </c:ext>
          </c:extLst>
        </c:ser>
        <c:ser>
          <c:idx val="12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('指標3（工程毎負荷時間)'!$C$37,'指標3（工程毎負荷時間)'!$C$45,'指標3（工程毎負荷時間)'!$C$59,'指標3（工程毎負荷時間)'!$C$63)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('指標3（工程毎負荷時間)'!$Q$37,'指標3（工程毎負荷時間)'!$Q$45,'指標3（工程毎負荷時間)'!$Q$59,'指標3（工程毎負荷時間)'!$Q$63)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F4-4689-8ABF-AF208C31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10464"/>
        <c:axId val="171320448"/>
      </c:barChart>
      <c:catAx>
        <c:axId val="1713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320448"/>
        <c:crosses val="autoZero"/>
        <c:auto val="1"/>
        <c:lblAlgn val="ctr"/>
        <c:lblOffset val="100"/>
        <c:noMultiLvlLbl val="0"/>
      </c:catAx>
      <c:valAx>
        <c:axId val="1713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31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889986533377"/>
          <c:y val="0.15293686693900799"/>
          <c:w val="0.81703046209194696"/>
          <c:h val="9.9517121988187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/>
              <a:t>【NC</a:t>
            </a:r>
            <a:r>
              <a:rPr lang="ja-JP" altLang="en-US" sz="1100"/>
              <a:t>系　負荷日数</a:t>
            </a:r>
            <a:r>
              <a:rPr lang="ja-JP" altLang="ja-JP" sz="1100" b="0" i="0" u="none" strike="noStrike" baseline="0">
                <a:effectLst/>
              </a:rPr>
              <a:t>＆目標値</a:t>
            </a:r>
            <a:r>
              <a:rPr lang="en-US" altLang="ja-JP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663333228146602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6152343072529601"/>
          <c:w val="0.91641675024435798"/>
          <c:h val="0.7279012885506199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('指標3（工程毎負荷時間)'!$F$164,'指標3（工程毎負荷時間)'!$F$168,'指標3（工程毎負荷時間)'!$F$175,'指標3（工程毎負荷時間)'!$F$177)</c:f>
              <c:numCache>
                <c:formatCode>#,##0_);[Red]\(#,##0\)</c:formatCode>
                <c:ptCount val="4"/>
                <c:pt idx="0">
                  <c:v>62.045412844036697</c:v>
                </c:pt>
                <c:pt idx="1">
                  <c:v>46.236697247706424</c:v>
                </c:pt>
                <c:pt idx="2">
                  <c:v>33.509633027522938</c:v>
                </c:pt>
                <c:pt idx="3">
                  <c:v>61.626605504587154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4-4AE1-89A2-CA523AB4FB88}"/>
            </c:ext>
          </c:extLst>
        </c:ser>
        <c:ser>
          <c:idx val="3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('指標3（工程毎負荷時間)'!$G$164,'指標3（工程毎負荷時間)'!$G$168,'指標3（工程毎負荷時間)'!$G$175,'指標3（工程毎負荷時間)'!$G$177)</c:f>
              <c:numCache>
                <c:formatCode>#,##0_);[Red]\(#,##0\)</c:formatCode>
                <c:ptCount val="4"/>
                <c:pt idx="0">
                  <c:v>58.473394495412848</c:v>
                </c:pt>
                <c:pt idx="1">
                  <c:v>46.028440366972475</c:v>
                </c:pt>
                <c:pt idx="2">
                  <c:v>32.545412844036697</c:v>
                </c:pt>
                <c:pt idx="3">
                  <c:v>63.363302752293578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4-4AE1-89A2-CA523AB4FB88}"/>
            </c:ext>
          </c:extLst>
        </c:ser>
        <c:ser>
          <c:idx val="4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('指標3（工程毎負荷時間)'!$H$164,'指標3（工程毎負荷時間)'!$H$168,'指標3（工程毎負荷時間)'!$H$175,'指標3（工程毎負荷時間)'!$H$177)</c:f>
              <c:numCache>
                <c:formatCode>#,##0_);[Red]\(#,##0\)</c:formatCode>
                <c:ptCount val="4"/>
                <c:pt idx="0">
                  <c:v>59.901834862385321</c:v>
                </c:pt>
                <c:pt idx="1">
                  <c:v>45.962996941896023</c:v>
                </c:pt>
                <c:pt idx="2">
                  <c:v>36.34908256880734</c:v>
                </c:pt>
                <c:pt idx="3">
                  <c:v>59.205275229357795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E4-4AE1-89A2-CA523AB4FB88}"/>
            </c:ext>
          </c:extLst>
        </c:ser>
        <c:ser>
          <c:idx val="5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('指標3（工程毎負荷時間)'!$I$164,'指標3（工程毎負荷時間)'!$I$168,'指標3（工程毎負荷時間)'!$I$175,'指標3（工程毎負荷時間)'!$I$177)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E4-4AE1-89A2-CA523AB4FB88}"/>
            </c:ext>
          </c:extLst>
        </c:ser>
        <c:ser>
          <c:idx val="6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('指標3（工程毎負荷時間)'!$J$164,'指標3（工程毎負荷時間)'!$J$168,'指標3（工程毎負荷時間)'!$J$175,'指標3（工程毎負荷時間)'!$J$177)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E4-4AE1-89A2-CA523AB4FB88}"/>
            </c:ext>
          </c:extLst>
        </c:ser>
        <c:ser>
          <c:idx val="7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('指標3（工程毎負荷時間)'!$K$164,'指標3（工程毎負荷時間)'!$K$168,'指標3（工程毎負荷時間)'!$K$175,'指標3（工程毎負荷時間)'!$K$177)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E4-4AE1-89A2-CA523AB4FB88}"/>
            </c:ext>
          </c:extLst>
        </c:ser>
        <c:ser>
          <c:idx val="8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('指標3（工程毎負荷時間)'!$L$164,'指標3（工程毎負荷時間)'!$L$168,'指標3（工程毎負荷時間)'!$L$175,'指標3（工程毎負荷時間)'!$L$177)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E4-4AE1-89A2-CA523AB4FB88}"/>
            </c:ext>
          </c:extLst>
        </c:ser>
        <c:ser>
          <c:idx val="9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('指標3（工程毎負荷時間)'!$M$164,'指標3（工程毎負荷時間)'!$M$168,'指標3（工程毎負荷時間)'!$M$175,'指標3（工程毎負荷時間)'!$M$177)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E4-4AE1-89A2-CA523AB4FB88}"/>
            </c:ext>
          </c:extLst>
        </c:ser>
        <c:ser>
          <c:idx val="10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('指標3（工程毎負荷時間)'!$N$164,'指標3（工程毎負荷時間)'!$N$168,'指標3（工程毎負荷時間)'!$N$175,'指標3（工程毎負荷時間)'!$N$177)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E4-4AE1-89A2-CA523AB4FB88}"/>
            </c:ext>
          </c:extLst>
        </c:ser>
        <c:ser>
          <c:idx val="11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('指標3（工程毎負荷時間)'!$O$164,'指標3（工程毎負荷時間)'!$O$168,'指標3（工程毎負荷時間)'!$O$175,'指標3（工程毎負荷時間)'!$O$177)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E4-4AE1-89A2-CA523AB4FB88}"/>
            </c:ext>
          </c:extLst>
        </c:ser>
        <c:ser>
          <c:idx val="12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('指標3（工程毎負荷時間)'!$P$164,'指標3（工程毎負荷時間)'!$P$168,'指標3（工程毎負荷時間)'!$P$175,'指標3（工程毎負荷時間)'!$P$177)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E4-4AE1-89A2-CA523AB4FB88}"/>
            </c:ext>
          </c:extLst>
        </c:ser>
        <c:ser>
          <c:idx val="0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('指標3（工程毎負荷時間)'!$Q$164,'指標3（工程毎負荷時間)'!$Q$168,'指標3（工程毎負荷時間)'!$Q$175,'指標3（工程毎負荷時間)'!$Q$177)</c:f>
              <c:numCache>
                <c:formatCode>#,##0_);[Red]\(#,##0\)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E4-4AE1-89A2-CA523AB4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76480"/>
        <c:axId val="171478016"/>
      </c:barChart>
      <c:lineChart>
        <c:grouping val="standard"/>
        <c:varyColors val="0"/>
        <c:ser>
          <c:idx val="1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BE4-4AE1-89A2-CA523AB4FB8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E4-4AE1-89A2-CA523AB4FB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BE4-4AE1-89A2-CA523AB4FB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BE4-4AE1-89A2-CA523AB4FB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('指標3（工程毎負荷時間)'!$C$164,'指標3（工程毎負荷時間)'!$C$168,'指標3（工程毎負荷時間)'!$C$175,'指標3（工程毎負荷時間)'!$C$177)</c:f>
              <c:strCache>
                <c:ptCount val="4"/>
                <c:pt idx="0">
                  <c:v>LN</c:v>
                </c:pt>
                <c:pt idx="1">
                  <c:v>MC</c:v>
                </c:pt>
                <c:pt idx="2">
                  <c:v>EN</c:v>
                </c:pt>
                <c:pt idx="3">
                  <c:v>EW</c:v>
                </c:pt>
              </c:strCache>
            </c:strRef>
          </c:cat>
          <c:val>
            <c:numRef>
              <c:f>('指標3（工程毎負荷時間)'!$R$164,'指標3（工程毎負荷時間)'!$R$168,'指標3（工程毎負荷時間)'!$R$175,'指標3（工程毎負荷時間)'!$R$177)</c:f>
              <c:numCache>
                <c:formatCode>#,##0_);[Red]\(#,##0\)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E4-4AE1-89A2-CA523AB4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76480"/>
        <c:axId val="171478016"/>
      </c:lineChart>
      <c:catAx>
        <c:axId val="17147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478016"/>
        <c:crosses val="autoZero"/>
        <c:auto val="1"/>
        <c:lblAlgn val="ctr"/>
        <c:lblOffset val="100"/>
        <c:noMultiLvlLbl val="0"/>
      </c:catAx>
      <c:valAx>
        <c:axId val="171478016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4764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536264618910299"/>
          <c:y val="6.0969424892406898E-3"/>
          <c:w val="0.36463735381089801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altLang="en-US" sz="1100"/>
              <a:t>切削</a:t>
            </a:r>
            <a:r>
              <a:rPr lang="ja-JP" sz="1100"/>
              <a:t>工程</a:t>
            </a:r>
            <a:r>
              <a:rPr lang="ja-JP" altLang="ja-JP" sz="1100" b="0" i="0" u="none" strike="noStrike" baseline="0">
                <a:effectLst/>
              </a:rPr>
              <a:t>　１日当りの負荷時間</a:t>
            </a:r>
            <a:r>
              <a:rPr lang="ja-JP" altLang="en-US" sz="1100" b="0" i="0" u="none" strike="noStrike" baseline="0">
                <a:effectLst/>
              </a:rPr>
              <a:t>（分）</a:t>
            </a:r>
            <a:r>
              <a:rPr lang="en-US" sz="1100"/>
              <a:t>】</a:t>
            </a:r>
            <a:endParaRPr lang="ja-JP" sz="1100"/>
          </a:p>
        </c:rich>
      </c:tx>
      <c:layout>
        <c:manualLayout>
          <c:xMode val="edge"/>
          <c:yMode val="edge"/>
          <c:x val="0.246319426104781"/>
          <c:y val="6.511534902083440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370667647576696E-2"/>
          <c:y val="0.13804453992416901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'指標3（工程毎負荷時間)'!$F$34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('指標3（工程毎負荷時間)'!$F$35,'指標3（工程毎負荷時間)'!$F$37,'指標3（工程毎負荷時間)'!$F$39,'指標3（工程毎負荷時間)'!$F$41,'指標3（工程毎負荷時間)'!$F$43,'指標3（工程毎負荷時間)'!$F$45)</c:f>
              <c:numCache>
                <c:formatCode>#,##0_);[Red]\(#,##0\)</c:formatCode>
                <c:ptCount val="6"/>
                <c:pt idx="0">
                  <c:v>370.71212121212125</c:v>
                </c:pt>
                <c:pt idx="1">
                  <c:v>3074.068181818182</c:v>
                </c:pt>
                <c:pt idx="2">
                  <c:v>359.84090909090907</c:v>
                </c:pt>
                <c:pt idx="3">
                  <c:v>874.5363636363636</c:v>
                </c:pt>
                <c:pt idx="4">
                  <c:v>171.77272727272728</c:v>
                </c:pt>
                <c:pt idx="5">
                  <c:v>2290.818181818182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6-4B3D-9B53-CA24C8D2B0DA}"/>
            </c:ext>
          </c:extLst>
        </c:ser>
        <c:ser>
          <c:idx val="1"/>
          <c:order val="1"/>
          <c:tx>
            <c:strRef>
              <c:f>'指標3（工程毎負荷時間)'!$G$34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('指標3（工程毎負荷時間)'!$G$35,'指標3（工程毎負荷時間)'!$G$37,'指標3（工程毎負荷時間)'!$G$39,'指標3（工程毎負荷時間)'!$G$41,'指標3（工程毎負荷時間)'!$G$43,'指標3（工程毎負荷時間)'!$G$45)</c:f>
              <c:numCache>
                <c:formatCode>#,##0_);[Red]\(#,##0\)</c:formatCode>
                <c:ptCount val="6"/>
                <c:pt idx="0">
                  <c:v>576.6</c:v>
                </c:pt>
                <c:pt idx="1">
                  <c:v>4249.0666666666666</c:v>
                </c:pt>
                <c:pt idx="2">
                  <c:v>582.11666666666667</c:v>
                </c:pt>
                <c:pt idx="3">
                  <c:v>1300.1333333333334</c:v>
                </c:pt>
                <c:pt idx="4">
                  <c:v>276.46666666666664</c:v>
                </c:pt>
                <c:pt idx="5">
                  <c:v>3344.7333333333331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6-4B3D-9B53-CA24C8D2B0DA}"/>
            </c:ext>
          </c:extLst>
        </c:ser>
        <c:ser>
          <c:idx val="3"/>
          <c:order val="2"/>
          <c:tx>
            <c:strRef>
              <c:f>'指標3（工程毎負荷時間)'!$H$34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('指標3（工程毎負荷時間)'!$H$35,'指標3（工程毎負荷時間)'!$H$37,'指標3（工程毎負荷時間)'!$H$39,'指標3（工程毎負荷時間)'!$H$41,'指標3（工程毎負荷時間)'!$H$43,'指標3（工程毎負荷時間)'!$H$45)</c:f>
              <c:numCache>
                <c:formatCode>#,##0_);[Red]\(#,##0\)</c:formatCode>
                <c:ptCount val="6"/>
                <c:pt idx="0">
                  <c:v>626.77272727272725</c:v>
                </c:pt>
                <c:pt idx="1">
                  <c:v>2967.8636363636365</c:v>
                </c:pt>
                <c:pt idx="2">
                  <c:v>468.34090909090907</c:v>
                </c:pt>
                <c:pt idx="3">
                  <c:v>1161.390909090909</c:v>
                </c:pt>
                <c:pt idx="4">
                  <c:v>242.52272727272728</c:v>
                </c:pt>
                <c:pt idx="5">
                  <c:v>2277.2575757575755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6-4B3D-9B53-CA24C8D2B0DA}"/>
            </c:ext>
          </c:extLst>
        </c:ser>
        <c:ser>
          <c:idx val="4"/>
          <c:order val="3"/>
          <c:tx>
            <c:strRef>
              <c:f>'指標3（工程毎負荷時間)'!$I$34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('指標3（工程毎負荷時間)'!$I$35,'指標3（工程毎負荷時間)'!$I$37,'指標3（工程毎負荷時間)'!$I$39,'指標3（工程毎負荷時間)'!$I$41,'指標3（工程毎負荷時間)'!$I$43,'指標3（工程毎負荷時間)'!$I$45)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D6-4B3D-9B53-CA24C8D2B0DA}"/>
            </c:ext>
          </c:extLst>
        </c:ser>
        <c:ser>
          <c:idx val="5"/>
          <c:order val="4"/>
          <c:tx>
            <c:strRef>
              <c:f>'指標3（工程毎負荷時間)'!$J$34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('指標3（工程毎負荷時間)'!$J$35,'指標3（工程毎負荷時間)'!$J$37,'指標3（工程毎負荷時間)'!$J$39,'指標3（工程毎負荷時間)'!$J$41,'指標3（工程毎負荷時間)'!$J$43,'指標3（工程毎負荷時間)'!$J$45)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D6-4B3D-9B53-CA24C8D2B0DA}"/>
            </c:ext>
          </c:extLst>
        </c:ser>
        <c:ser>
          <c:idx val="2"/>
          <c:order val="5"/>
          <c:tx>
            <c:strRef>
              <c:f>'指標3（工程毎負荷時間)'!$K$34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('指標3（工程毎負荷時間)'!$K$35,'指標3（工程毎負荷時間)'!$K$37,'指標3（工程毎負荷時間)'!$K$39,'指標3（工程毎負荷時間)'!$K$41,'指標3（工程毎負荷時間)'!$K$43,'指標3（工程毎負荷時間)'!$K$45)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D6-4B3D-9B53-CA24C8D2B0DA}"/>
            </c:ext>
          </c:extLst>
        </c:ser>
        <c:ser>
          <c:idx val="6"/>
          <c:order val="6"/>
          <c:tx>
            <c:strRef>
              <c:f>'指標3（工程毎負荷時間)'!$L$34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('指標3（工程毎負荷時間)'!$L$35,'指標3（工程毎負荷時間)'!$L$37,'指標3（工程毎負荷時間)'!$L$39,'指標3（工程毎負荷時間)'!$L$41,'指標3（工程毎負荷時間)'!$L$43,'指標3（工程毎負荷時間)'!$L$45)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D6-4B3D-9B53-CA24C8D2B0DA}"/>
            </c:ext>
          </c:extLst>
        </c:ser>
        <c:ser>
          <c:idx val="7"/>
          <c:order val="7"/>
          <c:tx>
            <c:strRef>
              <c:f>'指標3（工程毎負荷時間)'!$M$34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('指標3（工程毎負荷時間)'!$M$35,'指標3（工程毎負荷時間)'!$M$37,'指標3（工程毎負荷時間)'!$M$39,'指標3（工程毎負荷時間)'!$M$41,'指標3（工程毎負荷時間)'!$M$43,'指標3（工程毎負荷時間)'!$M$45)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D6-4B3D-9B53-CA24C8D2B0DA}"/>
            </c:ext>
          </c:extLst>
        </c:ser>
        <c:ser>
          <c:idx val="8"/>
          <c:order val="8"/>
          <c:tx>
            <c:strRef>
              <c:f>'指標3（工程毎負荷時間)'!$N$34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('指標3（工程毎負荷時間)'!$N$35,'指標3（工程毎負荷時間)'!$N$37,'指標3（工程毎負荷時間)'!$N$39,'指標3（工程毎負荷時間)'!$N$41,'指標3（工程毎負荷時間)'!$N$43,'指標3（工程毎負荷時間)'!$N$45)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D6-4B3D-9B53-CA24C8D2B0DA}"/>
            </c:ext>
          </c:extLst>
        </c:ser>
        <c:ser>
          <c:idx val="9"/>
          <c:order val="9"/>
          <c:tx>
            <c:strRef>
              <c:f>'指標3（工程毎負荷時間)'!$O$34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('指標3（工程毎負荷時間)'!$O$35,'指標3（工程毎負荷時間)'!$O$37,'指標3（工程毎負荷時間)'!$O$39,'指標3（工程毎負荷時間)'!$O$41,'指標3（工程毎負荷時間)'!$O$43,'指標3（工程毎負荷時間)'!$O$45)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D6-4B3D-9B53-CA24C8D2B0DA}"/>
            </c:ext>
          </c:extLst>
        </c:ser>
        <c:ser>
          <c:idx val="10"/>
          <c:order val="10"/>
          <c:tx>
            <c:strRef>
              <c:f>'指標3（工程毎負荷時間)'!$P$34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('指標3（工程毎負荷時間)'!$P$35,'指標3（工程毎負荷時間)'!$P$37,'指標3（工程毎負荷時間)'!$P$39,'指標3（工程毎負荷時間)'!$P$41,'指標3（工程毎負荷時間)'!$P$43,'指標3（工程毎負荷時間)'!$P$45)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D6-4B3D-9B53-CA24C8D2B0DA}"/>
            </c:ext>
          </c:extLst>
        </c:ser>
        <c:ser>
          <c:idx val="11"/>
          <c:order val="11"/>
          <c:tx>
            <c:strRef>
              <c:f>'指標3（工程毎負荷時間)'!$Q$34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('指標3（工程毎負荷時間)'!$C$35,'指標3（工程毎負荷時間)'!$C$37,'指標3（工程毎負荷時間)'!$C$39,'指標3（工程毎負荷時間)'!$C$41,'指標3（工程毎負荷時間)'!$C$43,'指標3（工程毎負荷時間)'!$C$45)</c:f>
              <c:strCache>
                <c:ptCount val="6"/>
                <c:pt idx="0">
                  <c:v>LA</c:v>
                </c:pt>
                <c:pt idx="1">
                  <c:v>LN</c:v>
                </c:pt>
                <c:pt idx="2">
                  <c:v>MA</c:v>
                </c:pt>
                <c:pt idx="3">
                  <c:v>BJ</c:v>
                </c:pt>
                <c:pt idx="4">
                  <c:v>DA</c:v>
                </c:pt>
                <c:pt idx="5">
                  <c:v>MC</c:v>
                </c:pt>
              </c:strCache>
            </c:strRef>
          </c:cat>
          <c:val>
            <c:numRef>
              <c:f>('指標3（工程毎負荷時間)'!$Q$35,'指標3（工程毎負荷時間)'!$Q$37,'指標3（工程毎負荷時間)'!$Q$39,'指標3（工程毎負荷時間)'!$Q$41,'指標3（工程毎負荷時間)'!$Q$43,'指標3（工程毎負荷時間)'!$Q$45)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D6-4B3D-9B53-CA24C8D2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02528"/>
        <c:axId val="171716608"/>
      </c:barChart>
      <c:catAx>
        <c:axId val="1717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16608"/>
        <c:crosses val="autoZero"/>
        <c:auto val="1"/>
        <c:lblAlgn val="ctr"/>
        <c:lblOffset val="100"/>
        <c:noMultiLvlLbl val="0"/>
      </c:catAx>
      <c:valAx>
        <c:axId val="1717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568717145805"/>
          <c:y val="0.13455189616409099"/>
          <c:w val="0.81662878216252999"/>
          <c:h val="9.7086985390064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【LA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5.3568627450980497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'指標3（工程毎負荷時間)'!$C$35:$D$35</c:f>
              <c:strCache>
                <c:ptCount val="2"/>
                <c:pt idx="0">
                  <c:v>LA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'指標3（工程毎負荷時間)'!$F$35:$Q$35</c:f>
              <c:numCache>
                <c:formatCode>#,##0_);[Red]\(#,##0\)</c:formatCode>
                <c:ptCount val="12"/>
                <c:pt idx="0">
                  <c:v>370.71212121212125</c:v>
                </c:pt>
                <c:pt idx="1">
                  <c:v>576.6</c:v>
                </c:pt>
                <c:pt idx="2">
                  <c:v>626.77272727272725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E-4979-9BAC-3A29D18CA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52448"/>
        <c:axId val="17175424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'指標3（工程毎負荷時間)'!$C$36:$D$36</c:f>
              <c:strCache>
                <c:ptCount val="2"/>
                <c:pt idx="0">
                  <c:v>LA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EE-4979-9BAC-3A29D18CA6D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EE-4979-9BAC-3A29D18CA6D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EE-4979-9BAC-3A29D18CA6D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EE-4979-9BAC-3A29D18CA6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EE-4979-9BAC-3A29D18CA6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CEE-4979-9BAC-3A29D18CA6D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EE-4979-9BAC-3A29D18CA6D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CEE-4979-9BAC-3A29D18CA6D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EE-4979-9BAC-3A29D18CA6D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CEE-4979-9BAC-3A29D18CA6D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CEE-4979-9BAC-3A29D18CA6D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CEE-4979-9BAC-3A29D18CA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'指標3（工程毎負荷時間)'!$F$36:$Q$36</c:f>
              <c:numCache>
                <c:formatCode>#,##0_);[Red]\(#,##0\)</c:formatCode>
                <c:ptCount val="12"/>
                <c:pt idx="0">
                  <c:v>2730</c:v>
                </c:pt>
                <c:pt idx="1">
                  <c:v>2730</c:v>
                </c:pt>
                <c:pt idx="2">
                  <c:v>2730</c:v>
                </c:pt>
                <c:pt idx="3">
                  <c:v>2730</c:v>
                </c:pt>
                <c:pt idx="4">
                  <c:v>2730</c:v>
                </c:pt>
                <c:pt idx="5">
                  <c:v>2730</c:v>
                </c:pt>
                <c:pt idx="6">
                  <c:v>2730</c:v>
                </c:pt>
                <c:pt idx="7">
                  <c:v>2730</c:v>
                </c:pt>
                <c:pt idx="8">
                  <c:v>2730</c:v>
                </c:pt>
                <c:pt idx="9">
                  <c:v>2730</c:v>
                </c:pt>
                <c:pt idx="10">
                  <c:v>2730</c:v>
                </c:pt>
                <c:pt idx="11">
                  <c:v>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EE-4979-9BAC-3A29D18CA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2448"/>
        <c:axId val="171754240"/>
      </c:lineChart>
      <c:catAx>
        <c:axId val="1717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54240"/>
        <c:crosses val="autoZero"/>
        <c:auto val="1"/>
        <c:lblAlgn val="ctr"/>
        <c:lblOffset val="100"/>
        <c:noMultiLvlLbl val="0"/>
      </c:catAx>
      <c:valAx>
        <c:axId val="1717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</a:t>
            </a:r>
            <a:r>
              <a:rPr lang="en-US" altLang="ja-JP" sz="1050"/>
              <a:t>N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'指標3（工程毎負荷時間)'!$C$37:$D$37</c:f>
              <c:strCache>
                <c:ptCount val="2"/>
                <c:pt idx="0">
                  <c:v>LN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'指標3（工程毎負荷時間)'!$F$37:$Q$37</c:f>
              <c:numCache>
                <c:formatCode>#,##0_);[Red]\(#,##0\)</c:formatCode>
                <c:ptCount val="12"/>
                <c:pt idx="0">
                  <c:v>3074.068181818182</c:v>
                </c:pt>
                <c:pt idx="1">
                  <c:v>4249.0666666666666</c:v>
                </c:pt>
                <c:pt idx="2">
                  <c:v>2967.8636363636365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E-48B2-B8BE-D5F3F867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56576"/>
        <c:axId val="17205811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'指標3（工程毎負荷時間)'!$C$38:$D$38</c:f>
              <c:strCache>
                <c:ptCount val="2"/>
                <c:pt idx="0">
                  <c:v>LN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BE-48B2-B8BE-D5F3F867CA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BE-48B2-B8BE-D5F3F867CA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BE-48B2-B8BE-D5F3F867CA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BE-48B2-B8BE-D5F3F867CA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BE-48B2-B8BE-D5F3F867CA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BE-48B2-B8BE-D5F3F867CAC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BE-48B2-B8BE-D5F3F867CA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BE-48B2-B8BE-D5F3F867CAC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BE-48B2-B8BE-D5F3F867CA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BE-48B2-B8BE-D5F3F867CAC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BE-48B2-B8BE-D5F3F867CA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6BE-48B2-B8BE-D5F3F867C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'指標3（工程毎負荷時間)'!$F$38:$Q$38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BE-48B2-B8BE-D5F3F867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56576"/>
        <c:axId val="172058112"/>
      </c:lineChart>
      <c:catAx>
        <c:axId val="1720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058112"/>
        <c:crosses val="autoZero"/>
        <c:auto val="1"/>
        <c:lblAlgn val="ctr"/>
        <c:lblOffset val="100"/>
        <c:noMultiLvlLbl val="0"/>
      </c:catAx>
      <c:valAx>
        <c:axId val="1720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0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【MA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'指標3（工程毎負荷時間)'!$C$39:$D$39</c:f>
              <c:strCache>
                <c:ptCount val="2"/>
                <c:pt idx="0">
                  <c:v>MA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'指標3（工程毎負荷時間)'!$F$39:$Q$39</c:f>
              <c:numCache>
                <c:formatCode>#,##0_);[Red]\(#,##0\)</c:formatCode>
                <c:ptCount val="12"/>
                <c:pt idx="0">
                  <c:v>359.84090909090907</c:v>
                </c:pt>
                <c:pt idx="1">
                  <c:v>582.11666666666667</c:v>
                </c:pt>
                <c:pt idx="2">
                  <c:v>468.34090909090907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F-4829-92CA-621B9EBB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78816"/>
        <c:axId val="17178035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'指標3（工程毎負荷時間)'!$C$40:$D$40</c:f>
              <c:strCache>
                <c:ptCount val="2"/>
                <c:pt idx="0">
                  <c:v>MA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6F-4829-92CA-621B9EBB7C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6F-4829-92CA-621B9EBB7C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6F-4829-92CA-621B9EBB7CD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6F-4829-92CA-621B9EBB7C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6F-4829-92CA-621B9EBB7C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6F-4829-92CA-621B9EBB7CD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6F-4829-92CA-621B9EBB7C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6F-4829-92CA-621B9EBB7C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6F-4829-92CA-621B9EBB7C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6F-4829-92CA-621B9EBB7C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6F-4829-92CA-621B9EBB7C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6F-4829-92CA-621B9EBB7C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'指標3（工程毎負荷時間)'!$F$40:$Q$40</c:f>
              <c:numCache>
                <c:formatCode>#,##0_);[Red]\(#,##0\)</c:formatCode>
                <c:ptCount val="12"/>
                <c:pt idx="0">
                  <c:v>3640</c:v>
                </c:pt>
                <c:pt idx="1">
                  <c:v>3640</c:v>
                </c:pt>
                <c:pt idx="2">
                  <c:v>3640</c:v>
                </c:pt>
                <c:pt idx="3">
                  <c:v>3640</c:v>
                </c:pt>
                <c:pt idx="4">
                  <c:v>3640</c:v>
                </c:pt>
                <c:pt idx="5">
                  <c:v>3640</c:v>
                </c:pt>
                <c:pt idx="6">
                  <c:v>3640</c:v>
                </c:pt>
                <c:pt idx="7">
                  <c:v>3640</c:v>
                </c:pt>
                <c:pt idx="8">
                  <c:v>3640</c:v>
                </c:pt>
                <c:pt idx="9">
                  <c:v>3640</c:v>
                </c:pt>
                <c:pt idx="10">
                  <c:v>3640</c:v>
                </c:pt>
                <c:pt idx="11">
                  <c:v>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96F-4829-92CA-621B9EBB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78816"/>
        <c:axId val="171780352"/>
      </c:lineChart>
      <c:catAx>
        <c:axId val="17177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80352"/>
        <c:crosses val="autoZero"/>
        <c:auto val="1"/>
        <c:lblAlgn val="ctr"/>
        <c:lblOffset val="100"/>
        <c:noMultiLvlLbl val="0"/>
      </c:catAx>
      <c:valAx>
        <c:axId val="1717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77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【BJ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'指標3（工程毎負荷時間)'!$C$41:$D$41</c:f>
              <c:strCache>
                <c:ptCount val="2"/>
                <c:pt idx="0">
                  <c:v>BJ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'指標3（工程毎負荷時間)'!$F$41:$Q$41</c:f>
              <c:numCache>
                <c:formatCode>#,##0_);[Red]\(#,##0\)</c:formatCode>
                <c:ptCount val="12"/>
                <c:pt idx="0">
                  <c:v>874.5363636363636</c:v>
                </c:pt>
                <c:pt idx="1">
                  <c:v>1300.1333333333334</c:v>
                </c:pt>
                <c:pt idx="2">
                  <c:v>1161.390909090909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0-4B4B-8B73-75756B4A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10656"/>
        <c:axId val="17191219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'指標3（工程毎負荷時間)'!$C$42:$D$42</c:f>
              <c:strCache>
                <c:ptCount val="2"/>
                <c:pt idx="0">
                  <c:v>BJ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E0-4B4B-8B73-75756B4A0A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E0-4B4B-8B73-75756B4A0A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E0-4B4B-8B73-75756B4A0A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E0-4B4B-8B73-75756B4A0A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E0-4B4B-8B73-75756B4A0A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E0-4B4B-8B73-75756B4A0A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E0-4B4B-8B73-75756B4A0A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E0-4B4B-8B73-75756B4A0A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E0-4B4B-8B73-75756B4A0A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E0-4B4B-8B73-75756B4A0A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E0-4B4B-8B73-75756B4A0A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E0-4B4B-8B73-75756B4A0A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'指標3（工程毎負荷時間)'!$F$42:$Q$42</c:f>
              <c:numCache>
                <c:formatCode>#,##0_);[Red]\(#,##0\)</c:formatCode>
                <c:ptCount val="12"/>
                <c:pt idx="0">
                  <c:v>4550</c:v>
                </c:pt>
                <c:pt idx="1">
                  <c:v>4550</c:v>
                </c:pt>
                <c:pt idx="2">
                  <c:v>4550</c:v>
                </c:pt>
                <c:pt idx="3">
                  <c:v>4550</c:v>
                </c:pt>
                <c:pt idx="4">
                  <c:v>4550</c:v>
                </c:pt>
                <c:pt idx="5">
                  <c:v>4550</c:v>
                </c:pt>
                <c:pt idx="6">
                  <c:v>4550</c:v>
                </c:pt>
                <c:pt idx="7">
                  <c:v>4550</c:v>
                </c:pt>
                <c:pt idx="8">
                  <c:v>4550</c:v>
                </c:pt>
                <c:pt idx="9">
                  <c:v>4550</c:v>
                </c:pt>
                <c:pt idx="10">
                  <c:v>4550</c:v>
                </c:pt>
                <c:pt idx="11">
                  <c:v>4550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E0-4B4B-8B73-75756B4A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10656"/>
        <c:axId val="171912192"/>
      </c:lineChart>
      <c:catAx>
        <c:axId val="17191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12192"/>
        <c:crosses val="autoZero"/>
        <c:auto val="1"/>
        <c:lblAlgn val="ctr"/>
        <c:lblOffset val="100"/>
        <c:noMultiLvlLbl val="0"/>
      </c:catAx>
      <c:valAx>
        <c:axId val="1719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【DA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'指標3（工程毎負荷時間)'!$C$43:$D$43</c:f>
              <c:strCache>
                <c:ptCount val="2"/>
                <c:pt idx="0">
                  <c:v>DA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'指標3（工程毎負荷時間)'!$F$43:$Q$43</c:f>
              <c:numCache>
                <c:formatCode>#,##0_);[Red]\(#,##0\)</c:formatCode>
                <c:ptCount val="12"/>
                <c:pt idx="0">
                  <c:v>171.77272727272728</c:v>
                </c:pt>
                <c:pt idx="1">
                  <c:v>276.46666666666664</c:v>
                </c:pt>
                <c:pt idx="2">
                  <c:v>242.52272727272728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5-4272-A411-1702D08A4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44192"/>
        <c:axId val="17195008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'指標3（工程毎負荷時間)'!$C$44:$D$44</c:f>
              <c:strCache>
                <c:ptCount val="2"/>
                <c:pt idx="0">
                  <c:v>DA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65-4272-A411-1702D08A465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65-4272-A411-1702D08A46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65-4272-A411-1702D08A465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65-4272-A411-1702D08A465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65-4272-A411-1702D08A46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65-4272-A411-1702D08A465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65-4272-A411-1702D08A46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65-4272-A411-1702D08A465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65-4272-A411-1702D08A465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65-4272-A411-1702D08A465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65-4272-A411-1702D08A465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65-4272-A411-1702D08A46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'指標3（工程毎負荷時間)'!$F$44:$Q$44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265-4272-A411-1702D08A4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44192"/>
        <c:axId val="171950080"/>
      </c:lineChart>
      <c:catAx>
        <c:axId val="1719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50080"/>
        <c:crosses val="autoZero"/>
        <c:auto val="1"/>
        <c:lblAlgn val="ctr"/>
        <c:lblOffset val="100"/>
        <c:noMultiLvlLbl val="0"/>
      </c:catAx>
      <c:valAx>
        <c:axId val="1719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【MC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'指標3（工程毎負荷時間)'!$C$45:$D$45</c:f>
              <c:strCache>
                <c:ptCount val="2"/>
                <c:pt idx="0">
                  <c:v>MC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'指標3（工程毎負荷時間)'!$F$45:$Q$45</c:f>
              <c:numCache>
                <c:formatCode>#,##0_);[Red]\(#,##0\)</c:formatCode>
                <c:ptCount val="12"/>
                <c:pt idx="0">
                  <c:v>2290.818181818182</c:v>
                </c:pt>
                <c:pt idx="1">
                  <c:v>3344.7333333333331</c:v>
                </c:pt>
                <c:pt idx="2">
                  <c:v>2277.2575757575755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3DE-806B-19EE52AEC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77728"/>
        <c:axId val="171983616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'指標3（工程毎負荷時間)'!$C$46:$D$46</c:f>
              <c:strCache>
                <c:ptCount val="2"/>
                <c:pt idx="0">
                  <c:v>MC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58-43DE-806B-19EE52AEC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58-43DE-806B-19EE52AEC6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58-43DE-806B-19EE52AEC6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58-43DE-806B-19EE52AEC62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58-43DE-806B-19EE52AEC6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58-43DE-806B-19EE52AEC62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58-43DE-806B-19EE52AEC6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58-43DE-806B-19EE52AEC62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58-43DE-806B-19EE52AEC62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58-43DE-806B-19EE52AEC62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58-43DE-806B-19EE52AEC62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58-43DE-806B-19EE52AEC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'指標3（工程毎負荷時間)'!$F$46:$Q$46</c:f>
              <c:numCache>
                <c:formatCode>#,##0_);[Red]\(#,##0\)</c:formatCode>
                <c:ptCount val="12"/>
                <c:pt idx="0">
                  <c:v>2730</c:v>
                </c:pt>
                <c:pt idx="1">
                  <c:v>2730</c:v>
                </c:pt>
                <c:pt idx="2">
                  <c:v>2730</c:v>
                </c:pt>
                <c:pt idx="3">
                  <c:v>2730</c:v>
                </c:pt>
                <c:pt idx="4">
                  <c:v>2730</c:v>
                </c:pt>
                <c:pt idx="5">
                  <c:v>2730</c:v>
                </c:pt>
                <c:pt idx="6">
                  <c:v>2730</c:v>
                </c:pt>
                <c:pt idx="7">
                  <c:v>2730</c:v>
                </c:pt>
                <c:pt idx="8">
                  <c:v>2730</c:v>
                </c:pt>
                <c:pt idx="9">
                  <c:v>2730</c:v>
                </c:pt>
                <c:pt idx="10">
                  <c:v>2730</c:v>
                </c:pt>
                <c:pt idx="11">
                  <c:v>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58-43DE-806B-19EE52AEC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977728"/>
        <c:axId val="171983616"/>
      </c:lineChart>
      <c:catAx>
        <c:axId val="1719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83616"/>
        <c:crosses val="autoZero"/>
        <c:auto val="1"/>
        <c:lblAlgn val="ctr"/>
        <c:lblOffset val="100"/>
        <c:noMultiLvlLbl val="0"/>
      </c:catAx>
      <c:valAx>
        <c:axId val="1719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19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【GS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'指標3（工程毎負荷時間)'!$C$47:$D$47</c:f>
              <c:strCache>
                <c:ptCount val="2"/>
                <c:pt idx="0">
                  <c:v>GS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'指標3（工程毎負荷時間)'!$F$47:$Q$47</c:f>
              <c:numCache>
                <c:formatCode>#,##0_);[Red]\(#,##0\)</c:formatCode>
                <c:ptCount val="12"/>
                <c:pt idx="0">
                  <c:v>1317.4285714285716</c:v>
                </c:pt>
                <c:pt idx="1">
                  <c:v>1926.4476190476191</c:v>
                </c:pt>
                <c:pt idx="2">
                  <c:v>1500.1623376623377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1-4338-BED9-E77FC41D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83552"/>
        <c:axId val="172185088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'指標3（工程毎負荷時間)'!$C$48:$D$48</c:f>
              <c:strCache>
                <c:ptCount val="2"/>
                <c:pt idx="0">
                  <c:v>GS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71-4338-BED9-E77FC41DE5D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71-4338-BED9-E77FC41DE5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71-4338-BED9-E77FC41DE5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71-4338-BED9-E77FC41DE5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71-4338-BED9-E77FC41DE5D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71-4338-BED9-E77FC41DE5D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71-4338-BED9-E77FC41DE5D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71-4338-BED9-E77FC41DE5D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71-4338-BED9-E77FC41DE5D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71-4338-BED9-E77FC41DE5D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71-4338-BED9-E77FC41DE5D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371-4338-BED9-E77FC41DE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'指標3（工程毎負荷時間)'!$F$48:$Q$48</c:f>
              <c:numCache>
                <c:formatCode>#,##0_);[Red]\(#,##0\)</c:formatCode>
                <c:ptCount val="12"/>
                <c:pt idx="0">
                  <c:v>6370</c:v>
                </c:pt>
                <c:pt idx="1">
                  <c:v>6370</c:v>
                </c:pt>
                <c:pt idx="2">
                  <c:v>6370</c:v>
                </c:pt>
                <c:pt idx="3">
                  <c:v>6370</c:v>
                </c:pt>
                <c:pt idx="4">
                  <c:v>6370</c:v>
                </c:pt>
                <c:pt idx="5">
                  <c:v>6370</c:v>
                </c:pt>
                <c:pt idx="6">
                  <c:v>6370</c:v>
                </c:pt>
                <c:pt idx="7">
                  <c:v>6370</c:v>
                </c:pt>
                <c:pt idx="8">
                  <c:v>6370</c:v>
                </c:pt>
                <c:pt idx="9">
                  <c:v>6370</c:v>
                </c:pt>
                <c:pt idx="10">
                  <c:v>6370</c:v>
                </c:pt>
                <c:pt idx="11">
                  <c:v>6370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71-4338-BED9-E77FC41D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83552"/>
        <c:axId val="172185088"/>
      </c:lineChart>
      <c:catAx>
        <c:axId val="1721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185088"/>
        <c:crosses val="autoZero"/>
        <c:auto val="1"/>
        <c:lblAlgn val="ctr"/>
        <c:lblOffset val="100"/>
        <c:noMultiLvlLbl val="0"/>
      </c:catAx>
      <c:valAx>
        <c:axId val="17218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18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【GR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'指標3（工程毎負荷時間)'!$C$49:$D$49</c:f>
              <c:strCache>
                <c:ptCount val="2"/>
                <c:pt idx="0">
                  <c:v>GR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'指標3（工程毎負荷時間)'!$F$49:$Q$49</c:f>
              <c:numCache>
                <c:formatCode>#,##0_);[Red]\(#,##0\)</c:formatCode>
                <c:ptCount val="12"/>
                <c:pt idx="0">
                  <c:v>1785.0227272727273</c:v>
                </c:pt>
                <c:pt idx="1">
                  <c:v>2249.7333333333331</c:v>
                </c:pt>
                <c:pt idx="2">
                  <c:v>1863.75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E-4FF8-9A05-4A22575E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69728"/>
        <c:axId val="172571264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'指標3（工程毎負荷時間)'!$C$50:$D$50</c:f>
              <c:strCache>
                <c:ptCount val="2"/>
                <c:pt idx="0">
                  <c:v>GR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1E-4FF8-9A05-4A22575E923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1E-4FF8-9A05-4A22575E923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1E-4FF8-9A05-4A22575E923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1E-4FF8-9A05-4A22575E923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1E-4FF8-9A05-4A22575E923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1E-4FF8-9A05-4A22575E923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1E-4FF8-9A05-4A22575E923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1E-4FF8-9A05-4A22575E923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1E-4FF8-9A05-4A22575E923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1E-4FF8-9A05-4A22575E923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1E-4FF8-9A05-4A22575E923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91E-4FF8-9A05-4A22575E92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'指標3（工程毎負荷時間)'!$F$50:$Q$50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91E-4FF8-9A05-4A22575E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69728"/>
        <c:axId val="172571264"/>
      </c:lineChart>
      <c:catAx>
        <c:axId val="17256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71264"/>
        <c:crosses val="autoZero"/>
        <c:auto val="1"/>
        <c:lblAlgn val="ctr"/>
        <c:lblOffset val="100"/>
        <c:noMultiLvlLbl val="0"/>
      </c:catAx>
      <c:valAx>
        <c:axId val="1725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6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【GX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'指標3（工程毎負荷時間)'!$C$51:$D$51</c:f>
              <c:strCache>
                <c:ptCount val="2"/>
                <c:pt idx="0">
                  <c:v>GX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'指標3（工程毎負荷時間)'!$F$51:$Q$51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8-4F9E-806A-1D9B9C34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11456"/>
        <c:axId val="172612992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'指標3（工程毎負荷時間)'!$C$52:$D$52</c:f>
              <c:strCache>
                <c:ptCount val="2"/>
                <c:pt idx="0">
                  <c:v>GX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8-4F9E-806A-1D9B9C34E2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8-4F9E-806A-1D9B9C34E2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8-4F9E-806A-1D9B9C34E2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8-4F9E-806A-1D9B9C34E2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8-4F9E-806A-1D9B9C34E2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8-4F9E-806A-1D9B9C34E2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8-4F9E-806A-1D9B9C34E2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58-4F9E-806A-1D9B9C34E2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8-4F9E-806A-1D9B9C34E2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8-4F9E-806A-1D9B9C34E2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8-4F9E-806A-1D9B9C34E2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58-4F9E-806A-1D9B9C34E2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'指標3（工程毎負荷時間)'!$F$52:$Q$52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58-4F9E-806A-1D9B9C34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11456"/>
        <c:axId val="172612992"/>
      </c:lineChart>
      <c:catAx>
        <c:axId val="17261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12992"/>
        <c:crosses val="autoZero"/>
        <c:auto val="1"/>
        <c:lblAlgn val="ctr"/>
        <c:lblOffset val="100"/>
        <c:noMultiLvlLbl val="0"/>
      </c:catAx>
      <c:valAx>
        <c:axId val="1726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1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【GC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'指標3（工程毎負荷時間)'!$C$53:$D$53</c:f>
              <c:strCache>
                <c:ptCount val="2"/>
                <c:pt idx="0">
                  <c:v>GC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'指標3（工程毎負荷時間)'!$F$53:$Q$53</c:f>
              <c:numCache>
                <c:formatCode>#,##0_);[Red]\(#,##0\)</c:formatCode>
                <c:ptCount val="12"/>
                <c:pt idx="0">
                  <c:v>1503.2954545454545</c:v>
                </c:pt>
                <c:pt idx="1">
                  <c:v>2171.9333333333334</c:v>
                </c:pt>
                <c:pt idx="2">
                  <c:v>1560.2954545454545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7-4F98-BEA3-45DFCB25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37792"/>
        <c:axId val="172347776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'指標3（工程毎負荷時間)'!$C$54:$D$54</c:f>
              <c:strCache>
                <c:ptCount val="2"/>
                <c:pt idx="0">
                  <c:v>GC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B7-4F98-BEA3-45DFCB25DF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B7-4F98-BEA3-45DFCB25DF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B7-4F98-BEA3-45DFCB25DF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B7-4F98-BEA3-45DFCB25DF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B7-4F98-BEA3-45DFCB25DF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B7-4F98-BEA3-45DFCB25DF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B7-4F98-BEA3-45DFCB25DF7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B7-4F98-BEA3-45DFCB25DF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B7-4F98-BEA3-45DFCB25DF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B7-4F98-BEA3-45DFCB25DF7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B7-4F98-BEA3-45DFCB25DF7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B7-4F98-BEA3-45DFCB25D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'指標3（工程毎負荷時間)'!$F$54:$Q$54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B7-4F98-BEA3-45DFCB25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37792"/>
        <c:axId val="172347776"/>
      </c:lineChart>
      <c:catAx>
        <c:axId val="17233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347776"/>
        <c:crosses val="autoZero"/>
        <c:auto val="1"/>
        <c:lblAlgn val="ctr"/>
        <c:lblOffset val="100"/>
        <c:noMultiLvlLbl val="0"/>
      </c:catAx>
      <c:valAx>
        <c:axId val="1723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33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【GJ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'指標3（工程毎負荷時間)'!$C$55:$D$55</c:f>
              <c:strCache>
                <c:ptCount val="2"/>
                <c:pt idx="0">
                  <c:v>GJ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'指標3（工程毎負荷時間)'!$F$55:$Q$55</c:f>
              <c:numCache>
                <c:formatCode>#,##0_);[Red]\(#,##0\)</c:formatCode>
                <c:ptCount val="12"/>
                <c:pt idx="0">
                  <c:v>1096.6363636363637</c:v>
                </c:pt>
                <c:pt idx="1">
                  <c:v>1421.5</c:v>
                </c:pt>
                <c:pt idx="2">
                  <c:v>1223.9545454545455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C-4F08-BAC2-9BF9F909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57984"/>
        <c:axId val="17245952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'指標3（工程毎負荷時間)'!$C$56:$D$56</c:f>
              <c:strCache>
                <c:ptCount val="2"/>
                <c:pt idx="0">
                  <c:v>GJ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7C-4F08-BAC2-9BF9F9091A8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7C-4F08-BAC2-9BF9F9091A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7C-4F08-BAC2-9BF9F9091A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7C-4F08-BAC2-9BF9F9091A8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7C-4F08-BAC2-9BF9F9091A8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7C-4F08-BAC2-9BF9F9091A8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7C-4F08-BAC2-9BF9F9091A8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7C-4F08-BAC2-9BF9F9091A8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7C-4F08-BAC2-9BF9F9091A8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7C-4F08-BAC2-9BF9F9091A8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7C-4F08-BAC2-9BF9F9091A8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37C-4F08-BAC2-9BF9F9091A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'指標3（工程毎負荷時間)'!$F$56:$Q$56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37C-4F08-BAC2-9BF9F909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57984"/>
        <c:axId val="172459520"/>
      </c:lineChart>
      <c:catAx>
        <c:axId val="1724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459520"/>
        <c:crosses val="autoZero"/>
        <c:auto val="1"/>
        <c:lblAlgn val="ctr"/>
        <c:lblOffset val="100"/>
        <c:noMultiLvlLbl val="0"/>
      </c:catAx>
      <c:valAx>
        <c:axId val="1724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4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【GP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'指標3（工程毎負荷時間)'!$C$57:$D$57</c:f>
              <c:strCache>
                <c:ptCount val="2"/>
                <c:pt idx="0">
                  <c:v>GP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'指標3（工程毎負荷時間)'!$F$57:$Q$57</c:f>
              <c:numCache>
                <c:formatCode>#,##0_);[Red]\(#,##0\)</c:formatCode>
                <c:ptCount val="12"/>
                <c:pt idx="0">
                  <c:v>2053.2045454545455</c:v>
                </c:pt>
                <c:pt idx="1">
                  <c:v>2792.7666666666669</c:v>
                </c:pt>
                <c:pt idx="2">
                  <c:v>1673.340909090909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5-499D-85CE-C9B6586A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15712"/>
        <c:axId val="172517248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'指標3（工程毎負荷時間)'!$C$58:$D$58</c:f>
              <c:strCache>
                <c:ptCount val="2"/>
                <c:pt idx="0">
                  <c:v>GP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95-499D-85CE-C9B6586A61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95-499D-85CE-C9B6586A61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95-499D-85CE-C9B6586A61B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95-499D-85CE-C9B6586A61B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95-499D-85CE-C9B6586A61B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95-499D-85CE-C9B6586A61B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95-499D-85CE-C9B6586A61B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95-499D-85CE-C9B6586A61B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95-499D-85CE-C9B6586A61B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95-499D-85CE-C9B6586A61B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495-499D-85CE-C9B6586A61B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495-499D-85CE-C9B6586A61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'指標3（工程毎負荷時間)'!$F$58:$Q$58</c:f>
              <c:numCache>
                <c:formatCode>#,##0_);[Red]\(#,##0\)</c:formatCode>
                <c:ptCount val="12"/>
                <c:pt idx="0">
                  <c:v>1820</c:v>
                </c:pt>
                <c:pt idx="1">
                  <c:v>1820</c:v>
                </c:pt>
                <c:pt idx="2">
                  <c:v>1820</c:v>
                </c:pt>
                <c:pt idx="3">
                  <c:v>1820</c:v>
                </c:pt>
                <c:pt idx="4">
                  <c:v>1820</c:v>
                </c:pt>
                <c:pt idx="5">
                  <c:v>1820</c:v>
                </c:pt>
                <c:pt idx="6">
                  <c:v>1820</c:v>
                </c:pt>
                <c:pt idx="7">
                  <c:v>1820</c:v>
                </c:pt>
                <c:pt idx="8">
                  <c:v>1820</c:v>
                </c:pt>
                <c:pt idx="9">
                  <c:v>1820</c:v>
                </c:pt>
                <c:pt idx="10">
                  <c:v>1820</c:v>
                </c:pt>
                <c:pt idx="11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95-499D-85CE-C9B6586A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15712"/>
        <c:axId val="172517248"/>
      </c:lineChart>
      <c:catAx>
        <c:axId val="17251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17248"/>
        <c:crosses val="autoZero"/>
        <c:auto val="1"/>
        <c:lblAlgn val="ctr"/>
        <c:lblOffset val="100"/>
        <c:noMultiLvlLbl val="0"/>
      </c:catAx>
      <c:valAx>
        <c:axId val="1725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【EN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'指標3（工程毎負荷時間)'!$C$59:$D$59</c:f>
              <c:strCache>
                <c:ptCount val="2"/>
                <c:pt idx="0">
                  <c:v>EN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'指標3（工程毎負荷時間)'!$F$59:$Q$59</c:f>
              <c:numCache>
                <c:formatCode>#,##0_);[Red]\(#,##0\)</c:formatCode>
                <c:ptCount val="12"/>
                <c:pt idx="0">
                  <c:v>1660.25</c:v>
                </c:pt>
                <c:pt idx="1">
                  <c:v>2364.9666666666667</c:v>
                </c:pt>
                <c:pt idx="2">
                  <c:v>1800.9318181818182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2-488B-851E-15F3D0FD0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49248"/>
        <c:axId val="172550784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'指標3（工程毎負荷時間)'!$C$60:$D$60</c:f>
              <c:strCache>
                <c:ptCount val="2"/>
                <c:pt idx="0">
                  <c:v>EN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B2-488B-851E-15F3D0FD09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B2-488B-851E-15F3D0FD091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B2-488B-851E-15F3D0FD091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B2-488B-851E-15F3D0FD091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B2-488B-851E-15F3D0FD091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B2-488B-851E-15F3D0FD091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B2-488B-851E-15F3D0FD091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B2-488B-851E-15F3D0FD091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B2-488B-851E-15F3D0FD091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B2-488B-851E-15F3D0FD091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B2-488B-851E-15F3D0FD091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B2-488B-851E-15F3D0FD09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'指標3（工程毎負荷時間)'!$F$60:$Q$60</c:f>
              <c:numCache>
                <c:formatCode>#,##0_);[Red]\(#,##0\)</c:formatCode>
                <c:ptCount val="12"/>
                <c:pt idx="0">
                  <c:v>3640</c:v>
                </c:pt>
                <c:pt idx="1">
                  <c:v>3640</c:v>
                </c:pt>
                <c:pt idx="2">
                  <c:v>3640</c:v>
                </c:pt>
                <c:pt idx="3">
                  <c:v>3640</c:v>
                </c:pt>
                <c:pt idx="4">
                  <c:v>3640</c:v>
                </c:pt>
                <c:pt idx="5">
                  <c:v>3640</c:v>
                </c:pt>
                <c:pt idx="6">
                  <c:v>3640</c:v>
                </c:pt>
                <c:pt idx="7">
                  <c:v>3640</c:v>
                </c:pt>
                <c:pt idx="8">
                  <c:v>3640</c:v>
                </c:pt>
                <c:pt idx="9">
                  <c:v>3640</c:v>
                </c:pt>
                <c:pt idx="10">
                  <c:v>3640</c:v>
                </c:pt>
                <c:pt idx="11">
                  <c:v>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B2-488B-851E-15F3D0FD0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49248"/>
        <c:axId val="172550784"/>
      </c:lineChart>
      <c:catAx>
        <c:axId val="1725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50784"/>
        <c:crosses val="autoZero"/>
        <c:auto val="1"/>
        <c:lblAlgn val="ctr"/>
        <c:lblOffset val="100"/>
        <c:noMultiLvlLbl val="0"/>
      </c:catAx>
      <c:valAx>
        <c:axId val="1725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5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【ES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'指標3（工程毎負荷時間)'!$C$61:$D$61</c:f>
              <c:strCache>
                <c:ptCount val="2"/>
                <c:pt idx="0">
                  <c:v>ES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'指標3（工程毎負荷時間)'!$F$61:$Q$61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7-4B4F-A9E2-5781E45B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68800"/>
        <c:axId val="172670336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'指標3（工程毎負荷時間)'!$C$62:$D$62</c:f>
              <c:strCache>
                <c:ptCount val="2"/>
                <c:pt idx="0">
                  <c:v>ES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07-4B4F-A9E2-5781E45B04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7-4B4F-A9E2-5781E45B04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07-4B4F-A9E2-5781E45B04C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07-4B4F-A9E2-5781E45B04C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07-4B4F-A9E2-5781E45B04C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07-4B4F-A9E2-5781E45B04C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07-4B4F-A9E2-5781E45B04C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07-4B4F-A9E2-5781E45B04C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07-4B4F-A9E2-5781E45B04C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07-4B4F-A9E2-5781E45B04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07-4B4F-A9E2-5781E45B04C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07-4B4F-A9E2-5781E45B04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'指標3（工程毎負荷時間)'!$F$62:$Q$62</c:f>
              <c:numCache>
                <c:formatCode>#,##0_);[Red]\(#,##0\)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207-4B4F-A9E2-5781E45B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68800"/>
        <c:axId val="172670336"/>
      </c:lineChart>
      <c:catAx>
        <c:axId val="1726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70336"/>
        <c:crosses val="autoZero"/>
        <c:auto val="1"/>
        <c:lblAlgn val="ctr"/>
        <c:lblOffset val="100"/>
        <c:noMultiLvlLbl val="0"/>
      </c:catAx>
      <c:valAx>
        <c:axId val="1726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66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【EW</a:t>
            </a:r>
            <a:r>
              <a:rPr lang="ja-JP" altLang="ja-JP" sz="1050" b="0" i="0" u="none" strike="noStrike" baseline="0">
                <a:effectLst/>
              </a:rPr>
              <a:t>　１日当りの負荷時間</a:t>
            </a:r>
            <a:r>
              <a:rPr lang="ja-JP" altLang="en-US" sz="1050" b="0" i="0" u="none" strike="noStrike" baseline="0">
                <a: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c:rich>
      </c:tx>
      <c:layout>
        <c:manualLayout>
          <c:xMode val="edge"/>
          <c:yMode val="edge"/>
          <c:x val="7.2843291647367706E-2"/>
          <c:y val="6.511538240674699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361675972735698E-2"/>
          <c:y val="0.138044610702304"/>
          <c:w val="0.88917878656404903"/>
          <c:h val="0.76000584499983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'指標3（工程毎負荷時間)'!$C$63:$D$63</c:f>
              <c:strCache>
                <c:ptCount val="2"/>
                <c:pt idx="0">
                  <c:v>EW</c:v>
                </c:pt>
                <c:pt idx="1">
                  <c:v>負荷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'指標3（工程毎負荷時間)'!$F$63:$Q$63</c:f>
              <c:numCache>
                <c:formatCode>#,##0_);[Red]\(#,##0\)</c:formatCode>
                <c:ptCount val="12"/>
                <c:pt idx="0">
                  <c:v>3053.318181818182</c:v>
                </c:pt>
                <c:pt idx="1">
                  <c:v>4604.3999999999996</c:v>
                </c:pt>
                <c:pt idx="2">
                  <c:v>2933.3522727272725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C-44F1-B5C0-0DB10322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7296"/>
        <c:axId val="172737280"/>
      </c:barChart>
      <c:lineChart>
        <c:grouping val="standard"/>
        <c:varyColors val="0"/>
        <c:ser>
          <c:idx val="1"/>
          <c:order val="1"/>
          <c:tx>
            <c:strRef>
              <c:f>'指標3（工程毎負荷時間)'!$C$64:$D$64</c:f>
              <c:strCache>
                <c:ptCount val="2"/>
                <c:pt idx="0">
                  <c:v>EW</c:v>
                </c:pt>
                <c:pt idx="1">
                  <c:v>能力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4C-44F1-B5C0-0DB10322EB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4C-44F1-B5C0-0DB10322EB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4C-44F1-B5C0-0DB10322EB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4C-44F1-B5C0-0DB10322EB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4C-44F1-B5C0-0DB10322EB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4C-44F1-B5C0-0DB10322EB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4C-44F1-B5C0-0DB10322EB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4C-44F1-B5C0-0DB10322EB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4C-44F1-B5C0-0DB10322EB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4C-44F1-B5C0-0DB10322EB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4C-44F1-B5C0-0DB10322EB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4C-44F1-B5C0-0DB10322EB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'指標3（工程毎負荷時間)'!$F$34:$Q$34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'指標3（工程毎負荷時間)'!$F$64:$Q$64</c:f>
              <c:numCache>
                <c:formatCode>#,##0_);[Red]\(#,##0\)</c:formatCode>
                <c:ptCount val="12"/>
                <c:pt idx="0">
                  <c:v>3640</c:v>
                </c:pt>
                <c:pt idx="1">
                  <c:v>3640</c:v>
                </c:pt>
                <c:pt idx="2">
                  <c:v>3640</c:v>
                </c:pt>
                <c:pt idx="3">
                  <c:v>3640</c:v>
                </c:pt>
                <c:pt idx="4">
                  <c:v>3640</c:v>
                </c:pt>
                <c:pt idx="5">
                  <c:v>3640</c:v>
                </c:pt>
                <c:pt idx="6">
                  <c:v>3640</c:v>
                </c:pt>
                <c:pt idx="7">
                  <c:v>3640</c:v>
                </c:pt>
                <c:pt idx="8">
                  <c:v>3640</c:v>
                </c:pt>
                <c:pt idx="9">
                  <c:v>3640</c:v>
                </c:pt>
                <c:pt idx="10">
                  <c:v>3640</c:v>
                </c:pt>
                <c:pt idx="11">
                  <c:v>3640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4C-44F1-B5C0-0DB10322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296"/>
        <c:axId val="172737280"/>
      </c:lineChart>
      <c:catAx>
        <c:axId val="17272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737280"/>
        <c:crosses val="autoZero"/>
        <c:auto val="1"/>
        <c:lblAlgn val="ctr"/>
        <c:lblOffset val="100"/>
        <c:noMultiLvlLbl val="0"/>
      </c:catAx>
      <c:valAx>
        <c:axId val="1727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72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818303717397996"/>
          <c:y val="0.10199427394810601"/>
          <c:w val="0.34932145866344699"/>
          <c:h val="0.138825995291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u="none" strike="noStrike" baseline="0">
                <a:effectLst/>
              </a:rPr>
              <a:t>【</a:t>
            </a:r>
            <a:r>
              <a:rPr lang="ja-JP" altLang="en-US" sz="1100" b="0" i="0" u="none" strike="noStrike" baseline="0">
                <a:effectLst/>
              </a:rPr>
              <a:t>研削</a:t>
            </a:r>
            <a:r>
              <a:rPr lang="ja-JP" altLang="ja-JP" sz="1100" b="0" i="0" u="none" strike="noStrike" baseline="0">
                <a:effectLst/>
              </a:rPr>
              <a:t>工程　負荷</a:t>
            </a:r>
            <a:r>
              <a:rPr lang="ja-JP" altLang="en-US" sz="1100" b="0" i="0" u="none" strike="noStrike" baseline="0">
                <a:effectLst/>
              </a:rPr>
              <a:t>日数</a:t>
            </a:r>
            <a:r>
              <a:rPr lang="ja-JP" altLang="ja-JP" sz="1100" b="0" i="0" u="none" strike="noStrike" baseline="0">
                <a:effectLst/>
              </a:rPr>
              <a:t>＆目標値</a:t>
            </a:r>
            <a:r>
              <a:rPr lang="en-US" altLang="ja-JP" sz="1100" b="0" i="0" u="none" strike="noStrike" baseline="0">
                <a:effectLst/>
              </a:rPr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414413139531301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2815088842138"/>
          <c:w val="0.91641675024435798"/>
          <c:h val="0.767347590890484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'指標3（工程毎負荷時間)'!$F$169:$F$174</c:f>
              <c:numCache>
                <c:formatCode>#,##0_);[Red]\(#,##0\)</c:formatCode>
                <c:ptCount val="6"/>
                <c:pt idx="0">
                  <c:v>26.590301441677589</c:v>
                </c:pt>
                <c:pt idx="1">
                  <c:v>36.027981651376145</c:v>
                </c:pt>
                <c:pt idx="2">
                  <c:v>0</c:v>
                </c:pt>
                <c:pt idx="3">
                  <c:v>30.341743119266056</c:v>
                </c:pt>
                <c:pt idx="4">
                  <c:v>22.133944954128442</c:v>
                </c:pt>
                <c:pt idx="5">
                  <c:v>41.440825688073396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A-4164-953E-D9A6C6C3ED89}"/>
            </c:ext>
          </c:extLst>
        </c:ser>
        <c:ser>
          <c:idx val="2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'指標3（工程毎負荷時間)'!$G$169:$G$174</c:f>
              <c:numCache>
                <c:formatCode>#,##0_);[Red]\(#,##0\)</c:formatCode>
                <c:ptCount val="6"/>
                <c:pt idx="0">
                  <c:v>26.510747051114024</c:v>
                </c:pt>
                <c:pt idx="1">
                  <c:v>30.959633027522937</c:v>
                </c:pt>
                <c:pt idx="2">
                  <c:v>0</c:v>
                </c:pt>
                <c:pt idx="3">
                  <c:v>29.888990825688072</c:v>
                </c:pt>
                <c:pt idx="4">
                  <c:v>19.561926605504588</c:v>
                </c:pt>
                <c:pt idx="5">
                  <c:v>38.43256880733945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A-4164-953E-D9A6C6C3ED89}"/>
            </c:ext>
          </c:extLst>
        </c:ser>
        <c:ser>
          <c:idx val="3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'指標3（工程毎負荷時間)'!$H$169:$H$174</c:f>
              <c:numCache>
                <c:formatCode>#,##0_);[Red]\(#,##0\)</c:formatCode>
                <c:ptCount val="6"/>
                <c:pt idx="0">
                  <c:v>30.27850589777195</c:v>
                </c:pt>
                <c:pt idx="1">
                  <c:v>37.616972477064223</c:v>
                </c:pt>
                <c:pt idx="2">
                  <c:v>0</c:v>
                </c:pt>
                <c:pt idx="3">
                  <c:v>31.492201834862385</c:v>
                </c:pt>
                <c:pt idx="4">
                  <c:v>24.703669724770641</c:v>
                </c:pt>
                <c:pt idx="5">
                  <c:v>33.773853211009175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A-4164-953E-D9A6C6C3ED89}"/>
            </c:ext>
          </c:extLst>
        </c:ser>
        <c:ser>
          <c:idx val="4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'指標3（工程毎負荷時間)'!$I$169:$I$174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A-4164-953E-D9A6C6C3ED89}"/>
            </c:ext>
          </c:extLst>
        </c:ser>
        <c:ser>
          <c:idx val="5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'指標3（工程毎負荷時間)'!$J$169:$J$174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A-4164-953E-D9A6C6C3ED89}"/>
            </c:ext>
          </c:extLst>
        </c:ser>
        <c:ser>
          <c:idx val="6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'指標3（工程毎負荷時間)'!$K$169:$K$174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2A-4164-953E-D9A6C6C3ED89}"/>
            </c:ext>
          </c:extLst>
        </c:ser>
        <c:ser>
          <c:idx val="7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'指標3（工程毎負荷時間)'!$L$169:$L$174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2A-4164-953E-D9A6C6C3ED89}"/>
            </c:ext>
          </c:extLst>
        </c:ser>
        <c:ser>
          <c:idx val="8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'指標3（工程毎負荷時間)'!$M$169:$M$174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2A-4164-953E-D9A6C6C3ED89}"/>
            </c:ext>
          </c:extLst>
        </c:ser>
        <c:ser>
          <c:idx val="9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'指標3（工程毎負荷時間)'!$N$169:$N$174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2A-4164-953E-D9A6C6C3ED89}"/>
            </c:ext>
          </c:extLst>
        </c:ser>
        <c:ser>
          <c:idx val="10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'指標3（工程毎負荷時間)'!$O$169:$O$174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2A-4164-953E-D9A6C6C3ED89}"/>
            </c:ext>
          </c:extLst>
        </c:ser>
        <c:ser>
          <c:idx val="11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'指標3（工程毎負荷時間)'!$P$169:$P$174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2A-4164-953E-D9A6C6C3ED89}"/>
            </c:ext>
          </c:extLst>
        </c:ser>
        <c:ser>
          <c:idx val="12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'指標3（工程毎負荷時間)'!$Q$169:$Q$174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2A-4164-953E-D9A6C6C3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93312"/>
        <c:axId val="172894848"/>
      </c:barChart>
      <c:lineChart>
        <c:grouping val="standard"/>
        <c:varyColors val="0"/>
        <c:ser>
          <c:idx val="0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2A-4164-953E-D9A6C6C3ED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2A-4164-953E-D9A6C6C3ED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2A-4164-953E-D9A6C6C3ED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2A-4164-953E-D9A6C6C3ED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92A-4164-953E-D9A6C6C3ED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2A-4164-953E-D9A6C6C3ED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'指標3（工程毎負荷時間)'!$C$169:$C$174</c:f>
              <c:strCache>
                <c:ptCount val="6"/>
                <c:pt idx="0">
                  <c:v>GS</c:v>
                </c:pt>
                <c:pt idx="1">
                  <c:v>GR</c:v>
                </c:pt>
                <c:pt idx="2">
                  <c:v>GX</c:v>
                </c:pt>
                <c:pt idx="3">
                  <c:v>GC</c:v>
                </c:pt>
                <c:pt idx="4">
                  <c:v>GJ</c:v>
                </c:pt>
                <c:pt idx="5">
                  <c:v>GP</c:v>
                </c:pt>
              </c:strCache>
            </c:strRef>
          </c:cat>
          <c:val>
            <c:numRef>
              <c:f>'指標3（工程毎負荷時間)'!$R$169:$R$174</c:f>
              <c:numCache>
                <c:formatCode>#,##0_);[Red]\(#,##0\)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2A-4164-953E-D9A6C6C3E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3312"/>
        <c:axId val="172894848"/>
      </c:lineChart>
      <c:catAx>
        <c:axId val="17289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894848"/>
        <c:crosses val="autoZero"/>
        <c:auto val="1"/>
        <c:lblAlgn val="ctr"/>
        <c:lblOffset val="100"/>
        <c:noMultiLvlLbl val="0"/>
      </c:catAx>
      <c:valAx>
        <c:axId val="172894848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28933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328597666136403"/>
          <c:y val="6.0969424892407002E-3"/>
          <c:w val="0.32487566540226798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u="none" strike="noStrike" baseline="0">
                <a:effectLst/>
              </a:rPr>
              <a:t>【</a:t>
            </a:r>
            <a:r>
              <a:rPr lang="ja-JP" altLang="en-US" sz="1100" b="0" i="0" u="none" strike="noStrike" baseline="0">
                <a:effectLst/>
              </a:rPr>
              <a:t>放電</a:t>
            </a:r>
            <a:r>
              <a:rPr lang="ja-JP" altLang="ja-JP" sz="1100" b="0" i="0" u="none" strike="noStrike" baseline="0">
                <a:effectLst/>
              </a:rPr>
              <a:t>工程　負荷</a:t>
            </a:r>
            <a:r>
              <a:rPr lang="ja-JP" altLang="en-US" sz="1100" b="0" i="0" u="none" strike="noStrike" baseline="0">
                <a:effectLst/>
              </a:rPr>
              <a:t>日数</a:t>
            </a:r>
            <a:r>
              <a:rPr lang="ja-JP" altLang="ja-JP" sz="1100" b="0" i="0" u="none" strike="noStrike" baseline="0">
                <a:effectLst/>
              </a:rPr>
              <a:t>＆目標値</a:t>
            </a:r>
            <a:r>
              <a:rPr lang="en-US" altLang="ja-JP" sz="1100" b="0" i="0" u="none" strike="noStrike" baseline="0">
                <a:effectLst/>
              </a:rPr>
              <a:t>】</a:t>
            </a:r>
            <a:endParaRPr lang="ja-JP" sz="1100"/>
          </a:p>
        </c:rich>
      </c:tx>
      <c:layout>
        <c:manualLayout>
          <c:xMode val="edge"/>
          <c:yMode val="edge"/>
          <c:x val="0.32414413139531301"/>
          <c:y val="6.674521930797299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2020400079263E-2"/>
          <c:y val="0.12815088842138"/>
          <c:w val="0.91641675024435798"/>
          <c:h val="0.767347590890484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'指標3（工程毎負荷時間)'!$F$162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'指標3（工程毎負荷時間)'!$F$175:$F$177</c:f>
              <c:numCache>
                <c:formatCode>#,##0_);[Red]\(#,##0\)</c:formatCode>
                <c:ptCount val="3"/>
                <c:pt idx="0">
                  <c:v>33.509633027522938</c:v>
                </c:pt>
                <c:pt idx="1">
                  <c:v>0</c:v>
                </c:pt>
                <c:pt idx="2">
                  <c:v>61.626605504587154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7-4EC4-AB21-E9E02C9F5998}"/>
            </c:ext>
          </c:extLst>
        </c:ser>
        <c:ser>
          <c:idx val="2"/>
          <c:order val="1"/>
          <c:tx>
            <c:strRef>
              <c:f>'指標3（工程毎負荷時間)'!$G$162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'指標3（工程毎負荷時間)'!$G$175:$G$177</c:f>
              <c:numCache>
                <c:formatCode>#,##0_);[Red]\(#,##0\)</c:formatCode>
                <c:ptCount val="3"/>
                <c:pt idx="0">
                  <c:v>32.545412844036697</c:v>
                </c:pt>
                <c:pt idx="1">
                  <c:v>0</c:v>
                </c:pt>
                <c:pt idx="2">
                  <c:v>63.363302752293578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7-4EC4-AB21-E9E02C9F5998}"/>
            </c:ext>
          </c:extLst>
        </c:ser>
        <c:ser>
          <c:idx val="3"/>
          <c:order val="2"/>
          <c:tx>
            <c:strRef>
              <c:f>'指標3（工程毎負荷時間)'!$H$162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'指標3（工程毎負荷時間)'!$H$175:$H$177</c:f>
              <c:numCache>
                <c:formatCode>#,##0_);[Red]\(#,##0\)</c:formatCode>
                <c:ptCount val="3"/>
                <c:pt idx="0">
                  <c:v>36.34908256880734</c:v>
                </c:pt>
                <c:pt idx="1">
                  <c:v>0</c:v>
                </c:pt>
                <c:pt idx="2">
                  <c:v>59.205275229357795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7-4EC4-AB21-E9E02C9F5998}"/>
            </c:ext>
          </c:extLst>
        </c:ser>
        <c:ser>
          <c:idx val="4"/>
          <c:order val="3"/>
          <c:tx>
            <c:strRef>
              <c:f>'指標3（工程毎負荷時間)'!$I$162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'指標3（工程毎負荷時間)'!$I$175:$I$177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C7-4EC4-AB21-E9E02C9F5998}"/>
            </c:ext>
          </c:extLst>
        </c:ser>
        <c:ser>
          <c:idx val="5"/>
          <c:order val="4"/>
          <c:tx>
            <c:strRef>
              <c:f>'指標3（工程毎負荷時間)'!$J$162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'指標3（工程毎負荷時間)'!$J$175:$J$177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C7-4EC4-AB21-E9E02C9F5998}"/>
            </c:ext>
          </c:extLst>
        </c:ser>
        <c:ser>
          <c:idx val="6"/>
          <c:order val="5"/>
          <c:tx>
            <c:strRef>
              <c:f>'指標3（工程毎負荷時間)'!$K$162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'指標3（工程毎負荷時間)'!$K$175:$K$177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C7-4EC4-AB21-E9E02C9F5998}"/>
            </c:ext>
          </c:extLst>
        </c:ser>
        <c:ser>
          <c:idx val="7"/>
          <c:order val="6"/>
          <c:tx>
            <c:strRef>
              <c:f>'指標3（工程毎負荷時間)'!$L$162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'指標3（工程毎負荷時間)'!$L$175:$L$177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C7-4EC4-AB21-E9E02C9F5998}"/>
            </c:ext>
          </c:extLst>
        </c:ser>
        <c:ser>
          <c:idx val="8"/>
          <c:order val="7"/>
          <c:tx>
            <c:strRef>
              <c:f>'指標3（工程毎負荷時間)'!$M$162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'指標3（工程毎負荷時間)'!$M$175:$M$177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C7-4EC4-AB21-E9E02C9F5998}"/>
            </c:ext>
          </c:extLst>
        </c:ser>
        <c:ser>
          <c:idx val="9"/>
          <c:order val="8"/>
          <c:tx>
            <c:strRef>
              <c:f>'指標3（工程毎負荷時間)'!$N$162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'指標3（工程毎負荷時間)'!$N$175:$N$177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C7-4EC4-AB21-E9E02C9F5998}"/>
            </c:ext>
          </c:extLst>
        </c:ser>
        <c:ser>
          <c:idx val="10"/>
          <c:order val="9"/>
          <c:tx>
            <c:strRef>
              <c:f>'指標3（工程毎負荷時間)'!$O$162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'指標3（工程毎負荷時間)'!$O$175:$O$177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C7-4EC4-AB21-E9E02C9F5998}"/>
            </c:ext>
          </c:extLst>
        </c:ser>
        <c:ser>
          <c:idx val="11"/>
          <c:order val="10"/>
          <c:tx>
            <c:strRef>
              <c:f>'指標3（工程毎負荷時間)'!$P$162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'指標3（工程毎負荷時間)'!$P$175:$P$177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C7-4EC4-AB21-E9E02C9F5998}"/>
            </c:ext>
          </c:extLst>
        </c:ser>
        <c:ser>
          <c:idx val="12"/>
          <c:order val="11"/>
          <c:tx>
            <c:strRef>
              <c:f>'指標3（工程毎負荷時間)'!$Q$162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'指標3（工程毎負荷時間)'!$Q$175:$Q$177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C7-4EC4-AB21-E9E02C9F5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21216"/>
        <c:axId val="173331200"/>
      </c:barChart>
      <c:lineChart>
        <c:grouping val="standard"/>
        <c:varyColors val="0"/>
        <c:ser>
          <c:idx val="0"/>
          <c:order val="12"/>
          <c:tx>
            <c:strRef>
              <c:f>'指標3（工程毎負荷時間)'!$R$162</c:f>
              <c:strCache>
                <c:ptCount val="1"/>
                <c:pt idx="0">
                  <c:v>目標値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C7-4EC4-AB21-E9E02C9F59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C7-4EC4-AB21-E9E02C9F59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C7-4EC4-AB21-E9E02C9F59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'指標3（工程毎負荷時間)'!$C$175:$C$177</c:f>
              <c:strCache>
                <c:ptCount val="3"/>
                <c:pt idx="0">
                  <c:v>EN</c:v>
                </c:pt>
                <c:pt idx="1">
                  <c:v>ES</c:v>
                </c:pt>
                <c:pt idx="2">
                  <c:v>EW</c:v>
                </c:pt>
              </c:strCache>
            </c:strRef>
          </c:cat>
          <c:val>
            <c:numRef>
              <c:f>'指標3（工程毎負荷時間)'!$R$175:$R$177</c:f>
              <c:numCache>
                <c:formatCode>#,##0_);[Red]\(#,##0\)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AC7-4EC4-AB21-E9E02C9F5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21216"/>
        <c:axId val="173331200"/>
      </c:lineChart>
      <c:catAx>
        <c:axId val="1733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3331200"/>
        <c:crosses val="autoZero"/>
        <c:auto val="1"/>
        <c:lblAlgn val="ctr"/>
        <c:lblOffset val="100"/>
        <c:noMultiLvlLbl val="0"/>
      </c:catAx>
      <c:valAx>
        <c:axId val="173331200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endParaRPr lang="en-US"/>
          </a:p>
        </c:txPr>
        <c:crossAx val="1733212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133491818823297"/>
          <c:y val="6.0969424892407002E-3"/>
          <c:w val="0.34682672387539198"/>
          <c:h val="0.31583854375519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>
          <a:latin typeface="MS PGothic" panose="020B0600070205080204" pitchFamily="50" charset="-128"/>
          <a:ea typeface="MS PGothic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人員推移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54512617924621E-2"/>
          <c:y val="0.21034532861916991"/>
          <c:w val="0.90634351311405781"/>
          <c:h val="0.667828808898284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'指標４（生産性) '!$C$10</c:f>
              <c:strCache>
                <c:ptCount val="1"/>
                <c:pt idx="0">
                  <c:v>加工者人数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'!$I$10:$T$10</c:f>
              <c:numCache>
                <c:formatCode>General</c:formatCode>
                <c:ptCount val="12"/>
                <c:pt idx="0">
                  <c:v>72</c:v>
                </c:pt>
                <c:pt idx="1">
                  <c:v>72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8-4B12-A029-34275727F33A}"/>
            </c:ext>
          </c:extLst>
        </c:ser>
        <c:ser>
          <c:idx val="2"/>
          <c:order val="2"/>
          <c:tx>
            <c:strRef>
              <c:f>'指標４（生産性) '!$C$11</c:f>
              <c:strCache>
                <c:ptCount val="1"/>
                <c:pt idx="0">
                  <c:v>その他の人数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'!$I$11:$T$11</c:f>
              <c:numCache>
                <c:formatCode>General</c:formatCode>
                <c:ptCount val="12"/>
                <c:pt idx="0">
                  <c:v>17</c:v>
                </c:pt>
                <c:pt idx="1">
                  <c:v>17</c:v>
                </c:pt>
                <c:pt idx="2">
                  <c:v>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8-4B12-A029-34275727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50240"/>
        <c:axId val="102651776"/>
      </c:barChart>
      <c:lineChart>
        <c:grouping val="standard"/>
        <c:varyColors val="0"/>
        <c:ser>
          <c:idx val="0"/>
          <c:order val="0"/>
          <c:tx>
            <c:strRef>
              <c:f>'指標４（生産性) '!$C$9</c:f>
              <c:strCache>
                <c:ptCount val="1"/>
                <c:pt idx="0">
                  <c:v>総人数 （合計）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'!$I$9:$T$9</c:f>
              <c:numCache>
                <c:formatCode>General</c:formatCode>
                <c:ptCount val="12"/>
                <c:pt idx="0">
                  <c:v>89</c:v>
                </c:pt>
                <c:pt idx="1">
                  <c:v>89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8-4B12-A029-34275727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50240"/>
        <c:axId val="102651776"/>
      </c:lineChart>
      <c:catAx>
        <c:axId val="1026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1776"/>
        <c:crosses val="autoZero"/>
        <c:auto val="1"/>
        <c:lblAlgn val="ctr"/>
        <c:lblOffset val="100"/>
        <c:noMultiLvlLbl val="0"/>
      </c:catAx>
      <c:valAx>
        <c:axId val="10265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2491768580217"/>
          <c:y val="4.6471070323842525E-2"/>
          <c:w val="0.40275078006734838"/>
          <c:h val="8.9789659571526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内外作比較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19358910421422E-2"/>
          <c:y val="0.21034532861916991"/>
          <c:w val="0.84604529024684272"/>
          <c:h val="0.66782880889828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'指標４（生産性) '!$A$67</c:f>
              <c:strCache>
                <c:ptCount val="1"/>
                <c:pt idx="0">
                  <c:v>内作完了図面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'!$I$30:$T$30</c:f>
              <c:numCache>
                <c:formatCode>#,##0_);[Red]\(#,##0\)</c:formatCode>
                <c:ptCount val="12"/>
                <c:pt idx="0">
                  <c:v>2412</c:v>
                </c:pt>
                <c:pt idx="1">
                  <c:v>1563</c:v>
                </c:pt>
                <c:pt idx="2">
                  <c:v>2232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E-432B-ABDE-71F40AB37BFD}"/>
            </c:ext>
          </c:extLst>
        </c:ser>
        <c:ser>
          <c:idx val="1"/>
          <c:order val="1"/>
          <c:tx>
            <c:strRef>
              <c:f>'指標４（生産性) '!$A$68</c:f>
              <c:strCache>
                <c:ptCount val="1"/>
                <c:pt idx="0">
                  <c:v>外作完了図面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'!$I$42:$T$42</c:f>
              <c:numCache>
                <c:formatCode>#,##0_);[Red]\(#,##0\)</c:formatCode>
                <c:ptCount val="12"/>
                <c:pt idx="0">
                  <c:v>2076</c:v>
                </c:pt>
                <c:pt idx="1">
                  <c:v>1771</c:v>
                </c:pt>
                <c:pt idx="2">
                  <c:v>2440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E-432B-ABDE-71F40AB3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18016"/>
        <c:axId val="111944448"/>
      </c:barChart>
      <c:lineChart>
        <c:grouping val="standard"/>
        <c:varyColors val="0"/>
        <c:ser>
          <c:idx val="2"/>
          <c:order val="2"/>
          <c:tx>
            <c:strRef>
              <c:f>'指標４（生産性) '!$A$69</c:f>
              <c:strCache>
                <c:ptCount val="1"/>
                <c:pt idx="0">
                  <c:v>内作完了金額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'!$I$38:$T$38</c:f>
              <c:numCache>
                <c:formatCode>#,##0_);[Red]\(#,##0\)</c:formatCode>
                <c:ptCount val="12"/>
                <c:pt idx="0">
                  <c:v>148863</c:v>
                </c:pt>
                <c:pt idx="1">
                  <c:v>103593.84539622642</c:v>
                </c:pt>
                <c:pt idx="2">
                  <c:v>114471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E-432B-ABDE-71F40AB37BFD}"/>
            </c:ext>
          </c:extLst>
        </c:ser>
        <c:ser>
          <c:idx val="3"/>
          <c:order val="3"/>
          <c:tx>
            <c:strRef>
              <c:f>'指標４（生産性) '!$A$70</c:f>
              <c:strCache>
                <c:ptCount val="1"/>
                <c:pt idx="0">
                  <c:v>外作完了金額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'指標４（生産性) '!$I$44:$T$44</c:f>
              <c:numCache>
                <c:formatCode>#,##0_);[Red]\(#,##0\)</c:formatCode>
                <c:ptCount val="12"/>
                <c:pt idx="0">
                  <c:v>159134</c:v>
                </c:pt>
                <c:pt idx="1">
                  <c:v>120846</c:v>
                </c:pt>
                <c:pt idx="2">
                  <c:v>187021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E-432B-ABDE-71F40AB3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60064"/>
        <c:axId val="111945984"/>
      </c:lineChart>
      <c:catAx>
        <c:axId val="1049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4448"/>
        <c:crosses val="autoZero"/>
        <c:auto val="1"/>
        <c:lblAlgn val="ctr"/>
        <c:lblOffset val="100"/>
        <c:noMultiLvlLbl val="0"/>
      </c:catAx>
      <c:valAx>
        <c:axId val="1119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8016"/>
        <c:crosses val="autoZero"/>
        <c:crossBetween val="between"/>
      </c:valAx>
      <c:valAx>
        <c:axId val="111945984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0064"/>
        <c:crosses val="max"/>
        <c:crossBetween val="between"/>
      </c:valAx>
      <c:catAx>
        <c:axId val="111960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1945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034517152654873"/>
          <c:y val="3.9043172053484869E-3"/>
          <c:w val="0.42965482847345132"/>
          <c:h val="0.16960213168429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【M.H</a:t>
            </a:r>
            <a:r>
              <a:rPr lang="ja-JP" altLang="en-US"/>
              <a:t>比較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77794450598887E-2"/>
          <c:y val="0.21034532861916991"/>
          <c:w val="0.85615690497521857"/>
          <c:h val="0.667828808898284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'指標４（生産性) '!$C$36</c:f>
              <c:strCache>
                <c:ptCount val="1"/>
                <c:pt idx="0">
                  <c:v>P/M.H 値 (Ｐｃｓ)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'!$I$36:$T$36</c:f>
              <c:numCache>
                <c:formatCode>#,##0.00_);[Red]\(#,##0.00\)</c:formatCode>
                <c:ptCount val="12"/>
                <c:pt idx="0">
                  <c:v>2.4406985899362965</c:v>
                </c:pt>
                <c:pt idx="1">
                  <c:v>2.1006315789473686</c:v>
                </c:pt>
                <c:pt idx="2">
                  <c:v>2.4931856899488927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1-4881-9BCD-FF404852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85984"/>
        <c:axId val="118587776"/>
      </c:barChart>
      <c:lineChart>
        <c:grouping val="standard"/>
        <c:varyColors val="0"/>
        <c:ser>
          <c:idx val="0"/>
          <c:order val="0"/>
          <c:tx>
            <c:strRef>
              <c:f>'指標４（生産性) '!$C$34</c:f>
              <c:strCache>
                <c:ptCount val="1"/>
                <c:pt idx="0">
                  <c:v>P/M.H 値 (図面）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'!$I$34:$T$34</c:f>
              <c:numCache>
                <c:formatCode>#,##0.000;[Red]\-#,##0.000</c:formatCode>
                <c:ptCount val="12"/>
                <c:pt idx="0">
                  <c:v>0.17264333261756495</c:v>
                </c:pt>
                <c:pt idx="1">
                  <c:v>0.16452631578947369</c:v>
                </c:pt>
                <c:pt idx="2">
                  <c:v>0.15843270868824533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1-4881-9BCD-FF404852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90848"/>
        <c:axId val="118589312"/>
      </c:lineChart>
      <c:catAx>
        <c:axId val="1185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7776"/>
        <c:crosses val="autoZero"/>
        <c:auto val="1"/>
        <c:lblAlgn val="ctr"/>
        <c:lblOffset val="100"/>
        <c:noMultiLvlLbl val="0"/>
      </c:catAx>
      <c:valAx>
        <c:axId val="1185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5984"/>
        <c:crosses val="autoZero"/>
        <c:crossBetween val="between"/>
      </c:valAx>
      <c:valAx>
        <c:axId val="118589312"/>
        <c:scaling>
          <c:orientation val="minMax"/>
        </c:scaling>
        <c:delete val="0"/>
        <c:axPos val="r"/>
        <c:numFmt formatCode="#,##0.000;[Red]\-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0848"/>
        <c:crosses val="max"/>
        <c:crossBetween val="between"/>
      </c:valAx>
      <c:catAx>
        <c:axId val="11859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8589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2491768580217"/>
          <c:y val="4.6471070323842525E-2"/>
          <c:w val="0.4027508231419788"/>
          <c:h val="0.16960213168429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総労働時間当たり加工工数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2371538379055606"/>
          <c:y val="4.7463939033546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710555555555553E-2"/>
          <c:y val="0.2553523148148148"/>
          <c:w val="0.91241907407407408"/>
          <c:h val="0.6136597222222222"/>
        </c:manualLayout>
      </c:layout>
      <c:lineChart>
        <c:grouping val="standard"/>
        <c:varyColors val="0"/>
        <c:ser>
          <c:idx val="0"/>
          <c:order val="0"/>
          <c:tx>
            <c:strRef>
              <c:f>'指標４（生産性) '!$H$22</c:f>
              <c:strCache>
                <c:ptCount val="1"/>
                <c:pt idx="0">
                  <c:v>実績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'!$I$22:$T$22</c:f>
              <c:numCache>
                <c:formatCode>#,##0.00_);[Red]\(#,##0.00\)</c:formatCode>
                <c:ptCount val="12"/>
                <c:pt idx="0">
                  <c:v>1.1813757068212727</c:v>
                </c:pt>
                <c:pt idx="1">
                  <c:v>1.0861561403508773</c:v>
                </c:pt>
                <c:pt idx="2">
                  <c:v>1.0822685973878479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4-4839-AB60-A0D4F6816EE9}"/>
            </c:ext>
          </c:extLst>
        </c:ser>
        <c:ser>
          <c:idx val="1"/>
          <c:order val="1"/>
          <c:tx>
            <c:strRef>
              <c:f>'指標４（生産性) '!$H$23</c:f>
              <c:strCache>
                <c:ptCount val="1"/>
                <c:pt idx="0">
                  <c:v>目標値【1.1】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'!$I$23:$T$23</c:f>
              <c:numCache>
                <c:formatCode>#,##0.0;[Red]\-#,##0.0</c:formatCode>
                <c:ptCount val="12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4-4839-AB60-A0D4F6816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043536"/>
        <c:axId val="658037304"/>
      </c:lineChart>
      <c:catAx>
        <c:axId val="6580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37304"/>
        <c:crosses val="autoZero"/>
        <c:auto val="1"/>
        <c:lblAlgn val="ctr"/>
        <c:lblOffset val="100"/>
        <c:noMultiLvlLbl val="0"/>
      </c:catAx>
      <c:valAx>
        <c:axId val="65803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4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205820771700913"/>
          <c:y val="8.8296214844295104E-2"/>
          <c:w val="0.328953281167992"/>
          <c:h val="8.8995508574238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無人稼働率</a:t>
            </a:r>
            <a:r>
              <a:rPr lang="en-US" altLang="ja-JP"/>
              <a:t>(%)】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36238607143805E-2"/>
          <c:y val="0.23969925634295713"/>
          <c:w val="0.90663083699324354"/>
          <c:h val="0.65716061533974923"/>
        </c:manualLayout>
      </c:layout>
      <c:lineChart>
        <c:grouping val="standard"/>
        <c:varyColors val="0"/>
        <c:ser>
          <c:idx val="0"/>
          <c:order val="0"/>
          <c:tx>
            <c:strRef>
              <c:f>'指標４（生産性) '!$C$20</c:f>
              <c:strCache>
                <c:ptCount val="1"/>
                <c:pt idx="0">
                  <c:v>無人稼働率(%)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'指標４（生産性) '!$I$8:$T$8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'指標４（生産性) '!$I$20:$T$20</c:f>
              <c:numCache>
                <c:formatCode>#,##0_);[Red]\(#,##0\)</c:formatCode>
                <c:ptCount val="12"/>
                <c:pt idx="0">
                  <c:v>15.686155710390789</c:v>
                </c:pt>
                <c:pt idx="1">
                  <c:v>20.375895036253716</c:v>
                </c:pt>
                <c:pt idx="2">
                  <c:v>23.243916836098904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D-4684-8BC4-879C9FEE2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819624"/>
        <c:axId val="521821592"/>
      </c:lineChart>
      <c:catAx>
        <c:axId val="521819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21592"/>
        <c:crosses val="autoZero"/>
        <c:auto val="1"/>
        <c:lblAlgn val="ctr"/>
        <c:lblOffset val="100"/>
        <c:noMultiLvlLbl val="0"/>
      </c:catAx>
      <c:valAx>
        <c:axId val="52182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1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Relationship Id="rId5" Type="http://schemas.openxmlformats.org/officeDocument/2006/relationships/chart" Target="../charts/chart74.xml"/><Relationship Id="rId4" Type="http://schemas.openxmlformats.org/officeDocument/2006/relationships/chart" Target="../charts/chart7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109</xdr:row>
      <xdr:rowOff>0</xdr:rowOff>
    </xdr:from>
    <xdr:to>
      <xdr:col>21</xdr:col>
      <xdr:colOff>357353</xdr:colOff>
      <xdr:row>122</xdr:row>
      <xdr:rowOff>120529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00951B-6E21-4E26-9347-68C44526D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124</xdr:row>
      <xdr:rowOff>0</xdr:rowOff>
    </xdr:from>
    <xdr:to>
      <xdr:col>21</xdr:col>
      <xdr:colOff>357353</xdr:colOff>
      <xdr:row>137</xdr:row>
      <xdr:rowOff>120529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C11DE1C-5E93-409C-B8FC-0CE001C3D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139</xdr:row>
      <xdr:rowOff>0</xdr:rowOff>
    </xdr:from>
    <xdr:to>
      <xdr:col>21</xdr:col>
      <xdr:colOff>357353</xdr:colOff>
      <xdr:row>152</xdr:row>
      <xdr:rowOff>120530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7E40E8-732D-450E-BD66-16052E9E3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154</xdr:row>
      <xdr:rowOff>0</xdr:rowOff>
    </xdr:from>
    <xdr:to>
      <xdr:col>21</xdr:col>
      <xdr:colOff>357353</xdr:colOff>
      <xdr:row>167</xdr:row>
      <xdr:rowOff>120529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B67DE47-5CCB-49C9-AEA8-140C2F39D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184</xdr:row>
      <xdr:rowOff>0</xdr:rowOff>
    </xdr:from>
    <xdr:to>
      <xdr:col>21</xdr:col>
      <xdr:colOff>357353</xdr:colOff>
      <xdr:row>197</xdr:row>
      <xdr:rowOff>120530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BF2C68C-1765-49DD-BC1D-0B0482C0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199</xdr:row>
      <xdr:rowOff>0</xdr:rowOff>
    </xdr:from>
    <xdr:to>
      <xdr:col>21</xdr:col>
      <xdr:colOff>357353</xdr:colOff>
      <xdr:row>212</xdr:row>
      <xdr:rowOff>120530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A754FE8-CBA4-4697-87D7-EC2AC81B5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169</xdr:row>
      <xdr:rowOff>0</xdr:rowOff>
    </xdr:from>
    <xdr:to>
      <xdr:col>21</xdr:col>
      <xdr:colOff>357353</xdr:colOff>
      <xdr:row>182</xdr:row>
      <xdr:rowOff>120529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78B86219-774D-4D38-A473-D533D44E6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184</xdr:row>
      <xdr:rowOff>0</xdr:rowOff>
    </xdr:from>
    <xdr:to>
      <xdr:col>9</xdr:col>
      <xdr:colOff>713700</xdr:colOff>
      <xdr:row>198</xdr:row>
      <xdr:rowOff>26400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CEBEC29B-84DF-42B5-8BB4-99BC76534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199</xdr:row>
      <xdr:rowOff>0</xdr:rowOff>
    </xdr:from>
    <xdr:to>
      <xdr:col>9</xdr:col>
      <xdr:colOff>713700</xdr:colOff>
      <xdr:row>213</xdr:row>
      <xdr:rowOff>26400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69C95686-41A0-4985-949F-711730072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213</xdr:row>
      <xdr:rowOff>152399</xdr:rowOff>
    </xdr:from>
    <xdr:to>
      <xdr:col>9</xdr:col>
      <xdr:colOff>713700</xdr:colOff>
      <xdr:row>228</xdr:row>
      <xdr:rowOff>26399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3935ECA9-7BE9-451E-A495-64A59DCFD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214</xdr:row>
      <xdr:rowOff>0</xdr:rowOff>
    </xdr:from>
    <xdr:to>
      <xdr:col>21</xdr:col>
      <xdr:colOff>357353</xdr:colOff>
      <xdr:row>227</xdr:row>
      <xdr:rowOff>120529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AF6700B-0E01-41DD-A02B-DCD911ADC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229</xdr:row>
      <xdr:rowOff>0</xdr:rowOff>
    </xdr:from>
    <xdr:to>
      <xdr:col>21</xdr:col>
      <xdr:colOff>357353</xdr:colOff>
      <xdr:row>242</xdr:row>
      <xdr:rowOff>120529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614D5AC8-E2C2-4168-8A69-F9A918FF7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244</xdr:row>
      <xdr:rowOff>0</xdr:rowOff>
    </xdr:from>
    <xdr:to>
      <xdr:col>21</xdr:col>
      <xdr:colOff>357353</xdr:colOff>
      <xdr:row>257</xdr:row>
      <xdr:rowOff>120530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0A8B5255-3C58-443A-AA8E-EBD09F46D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259</xdr:row>
      <xdr:rowOff>0</xdr:rowOff>
    </xdr:from>
    <xdr:to>
      <xdr:col>21</xdr:col>
      <xdr:colOff>357353</xdr:colOff>
      <xdr:row>272</xdr:row>
      <xdr:rowOff>120529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976590AD-54DD-4FFD-B9E1-339A6B422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0</xdr:colOff>
      <xdr:row>274</xdr:row>
      <xdr:rowOff>0</xdr:rowOff>
    </xdr:from>
    <xdr:to>
      <xdr:col>21</xdr:col>
      <xdr:colOff>357353</xdr:colOff>
      <xdr:row>287</xdr:row>
      <xdr:rowOff>120529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331D0FBD-3EA0-4BFA-A013-CE3B25B01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0</xdr:colOff>
      <xdr:row>289</xdr:row>
      <xdr:rowOff>0</xdr:rowOff>
    </xdr:from>
    <xdr:to>
      <xdr:col>9</xdr:col>
      <xdr:colOff>713700</xdr:colOff>
      <xdr:row>303</xdr:row>
      <xdr:rowOff>26400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18BEF170-CACD-4D10-8BC8-50F8FC2C5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0</xdr:colOff>
      <xdr:row>289</xdr:row>
      <xdr:rowOff>0</xdr:rowOff>
    </xdr:from>
    <xdr:to>
      <xdr:col>21</xdr:col>
      <xdr:colOff>357353</xdr:colOff>
      <xdr:row>302</xdr:row>
      <xdr:rowOff>120530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8FC3C65A-2C84-474A-858E-2103A1F97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0</xdr:colOff>
      <xdr:row>304</xdr:row>
      <xdr:rowOff>0</xdr:rowOff>
    </xdr:from>
    <xdr:to>
      <xdr:col>9</xdr:col>
      <xdr:colOff>713700</xdr:colOff>
      <xdr:row>318</xdr:row>
      <xdr:rowOff>26400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C624DA9F-5B47-4EE5-9B83-A71BB539A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0</xdr:colOff>
      <xdr:row>304</xdr:row>
      <xdr:rowOff>0</xdr:rowOff>
    </xdr:from>
    <xdr:to>
      <xdr:col>21</xdr:col>
      <xdr:colOff>357353</xdr:colOff>
      <xdr:row>317</xdr:row>
      <xdr:rowOff>120530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8B2B6A9B-A739-4AE3-B73B-C10B1A119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0</xdr:colOff>
      <xdr:row>318</xdr:row>
      <xdr:rowOff>152399</xdr:rowOff>
    </xdr:from>
    <xdr:to>
      <xdr:col>9</xdr:col>
      <xdr:colOff>713700</xdr:colOff>
      <xdr:row>333</xdr:row>
      <xdr:rowOff>26399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BADA4556-E68D-4F60-B07B-CF1CC98FE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0</xdr:colOff>
      <xdr:row>319</xdr:row>
      <xdr:rowOff>0</xdr:rowOff>
    </xdr:from>
    <xdr:to>
      <xdr:col>21</xdr:col>
      <xdr:colOff>357353</xdr:colOff>
      <xdr:row>332</xdr:row>
      <xdr:rowOff>120529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D661D738-28D1-48F0-BA53-777A140DC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0</xdr:colOff>
      <xdr:row>334</xdr:row>
      <xdr:rowOff>0</xdr:rowOff>
    </xdr:from>
    <xdr:to>
      <xdr:col>21</xdr:col>
      <xdr:colOff>357353</xdr:colOff>
      <xdr:row>347</xdr:row>
      <xdr:rowOff>120529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4BA445D9-8431-48C4-9F8E-943AC1031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0</xdr:colOff>
      <xdr:row>108</xdr:row>
      <xdr:rowOff>152399</xdr:rowOff>
    </xdr:from>
    <xdr:to>
      <xdr:col>9</xdr:col>
      <xdr:colOff>713700</xdr:colOff>
      <xdr:row>123</xdr:row>
      <xdr:rowOff>26399</xdr:rowOff>
    </xdr:to>
    <xdr:graphicFrame macro="">
      <xdr:nvGraphicFramePr>
        <xdr:cNvPr id="42" name="グラフ 41">
          <a:extLst>
            <a:ext uri="{FF2B5EF4-FFF2-40B4-BE49-F238E27FC236}">
              <a16:creationId xmlns:a16="http://schemas.microsoft.com/office/drawing/2014/main" id="{E975FF75-1AAD-4D53-978F-B0AF688A9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0</xdr:colOff>
      <xdr:row>123</xdr:row>
      <xdr:rowOff>152399</xdr:rowOff>
    </xdr:from>
    <xdr:to>
      <xdr:col>9</xdr:col>
      <xdr:colOff>713700</xdr:colOff>
      <xdr:row>138</xdr:row>
      <xdr:rowOff>26399</xdr:rowOff>
    </xdr:to>
    <xdr:graphicFrame macro="">
      <xdr:nvGraphicFramePr>
        <xdr:cNvPr id="43" name="グラフ 42">
          <a:extLst>
            <a:ext uri="{FF2B5EF4-FFF2-40B4-BE49-F238E27FC236}">
              <a16:creationId xmlns:a16="http://schemas.microsoft.com/office/drawing/2014/main" id="{461BB95E-CE45-44DD-A071-C16ABCEFB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</xdr:col>
      <xdr:colOff>0</xdr:colOff>
      <xdr:row>153</xdr:row>
      <xdr:rowOff>152399</xdr:rowOff>
    </xdr:from>
    <xdr:to>
      <xdr:col>9</xdr:col>
      <xdr:colOff>713700</xdr:colOff>
      <xdr:row>168</xdr:row>
      <xdr:rowOff>26399</xdr:rowOff>
    </xdr:to>
    <xdr:graphicFrame macro="">
      <xdr:nvGraphicFramePr>
        <xdr:cNvPr id="45" name="グラフ 44">
          <a:extLst>
            <a:ext uri="{FF2B5EF4-FFF2-40B4-BE49-F238E27FC236}">
              <a16:creationId xmlns:a16="http://schemas.microsoft.com/office/drawing/2014/main" id="{8BF452DC-CC69-4F9F-B8BC-FA31B6AF7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</xdr:col>
      <xdr:colOff>0</xdr:colOff>
      <xdr:row>168</xdr:row>
      <xdr:rowOff>152399</xdr:rowOff>
    </xdr:from>
    <xdr:to>
      <xdr:col>9</xdr:col>
      <xdr:colOff>713700</xdr:colOff>
      <xdr:row>183</xdr:row>
      <xdr:rowOff>26399</xdr:rowOff>
    </xdr:to>
    <xdr:graphicFrame macro="">
      <xdr:nvGraphicFramePr>
        <xdr:cNvPr id="46" name="グラフ 45">
          <a:extLst>
            <a:ext uri="{FF2B5EF4-FFF2-40B4-BE49-F238E27FC236}">
              <a16:creationId xmlns:a16="http://schemas.microsoft.com/office/drawing/2014/main" id="{96E3420F-A20D-4D6A-85DC-1DB28AA4F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0</xdr:colOff>
      <xdr:row>228</xdr:row>
      <xdr:rowOff>152399</xdr:rowOff>
    </xdr:from>
    <xdr:to>
      <xdr:col>9</xdr:col>
      <xdr:colOff>713700</xdr:colOff>
      <xdr:row>243</xdr:row>
      <xdr:rowOff>26399</xdr:rowOff>
    </xdr:to>
    <xdr:graphicFrame macro="">
      <xdr:nvGraphicFramePr>
        <xdr:cNvPr id="48" name="グラフ 47">
          <a:extLst>
            <a:ext uri="{FF2B5EF4-FFF2-40B4-BE49-F238E27FC236}">
              <a16:creationId xmlns:a16="http://schemas.microsoft.com/office/drawing/2014/main" id="{13A32764-8B1A-4C0F-9EFF-4F71E7719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243</xdr:row>
      <xdr:rowOff>152399</xdr:rowOff>
    </xdr:from>
    <xdr:to>
      <xdr:col>9</xdr:col>
      <xdr:colOff>713700</xdr:colOff>
      <xdr:row>258</xdr:row>
      <xdr:rowOff>26399</xdr:rowOff>
    </xdr:to>
    <xdr:graphicFrame macro="">
      <xdr:nvGraphicFramePr>
        <xdr:cNvPr id="49" name="グラフ 48">
          <a:extLst>
            <a:ext uri="{FF2B5EF4-FFF2-40B4-BE49-F238E27FC236}">
              <a16:creationId xmlns:a16="http://schemas.microsoft.com/office/drawing/2014/main" id="{3FE4DC6D-5055-414B-AB2E-E658B48A0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258</xdr:row>
      <xdr:rowOff>152399</xdr:rowOff>
    </xdr:from>
    <xdr:to>
      <xdr:col>9</xdr:col>
      <xdr:colOff>713700</xdr:colOff>
      <xdr:row>273</xdr:row>
      <xdr:rowOff>26399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BF3A3631-DC05-40B7-913B-EDAA2972C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</xdr:col>
      <xdr:colOff>0</xdr:colOff>
      <xdr:row>273</xdr:row>
      <xdr:rowOff>152399</xdr:rowOff>
    </xdr:from>
    <xdr:to>
      <xdr:col>9</xdr:col>
      <xdr:colOff>713700</xdr:colOff>
      <xdr:row>288</xdr:row>
      <xdr:rowOff>26399</xdr:rowOff>
    </xdr:to>
    <xdr:graphicFrame macro="">
      <xdr:nvGraphicFramePr>
        <xdr:cNvPr id="51" name="グラフ 50">
          <a:extLst>
            <a:ext uri="{FF2B5EF4-FFF2-40B4-BE49-F238E27FC236}">
              <a16:creationId xmlns:a16="http://schemas.microsoft.com/office/drawing/2014/main" id="{970B0A5D-A3B1-4A28-ADFF-B96A98742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</xdr:col>
      <xdr:colOff>0</xdr:colOff>
      <xdr:row>333</xdr:row>
      <xdr:rowOff>152399</xdr:rowOff>
    </xdr:from>
    <xdr:to>
      <xdr:col>9</xdr:col>
      <xdr:colOff>713700</xdr:colOff>
      <xdr:row>348</xdr:row>
      <xdr:rowOff>26399</xdr:rowOff>
    </xdr:to>
    <xdr:graphicFrame macro="">
      <xdr:nvGraphicFramePr>
        <xdr:cNvPr id="52" name="グラフ 51">
          <a:extLst>
            <a:ext uri="{FF2B5EF4-FFF2-40B4-BE49-F238E27FC236}">
              <a16:creationId xmlns:a16="http://schemas.microsoft.com/office/drawing/2014/main" id="{B2F132E0-A4A3-462A-B988-38B8C5D95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</xdr:col>
      <xdr:colOff>0</xdr:colOff>
      <xdr:row>138</xdr:row>
      <xdr:rowOff>152399</xdr:rowOff>
    </xdr:from>
    <xdr:to>
      <xdr:col>9</xdr:col>
      <xdr:colOff>713700</xdr:colOff>
      <xdr:row>153</xdr:row>
      <xdr:rowOff>26399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03167BEA-B775-4546-BEA5-C7F98725F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537882</xdr:colOff>
      <xdr:row>326</xdr:row>
      <xdr:rowOff>11207</xdr:rowOff>
    </xdr:from>
    <xdr:to>
      <xdr:col>6</xdr:col>
      <xdr:colOff>409015</xdr:colOff>
      <xdr:row>327</xdr:row>
      <xdr:rowOff>153521</xdr:rowOff>
    </xdr:to>
    <xdr:sp macro="" textlink="">
      <xdr:nvSpPr>
        <xdr:cNvPr id="44" name="角丸四角形 41">
          <a:extLst>
            <a:ext uri="{FF2B5EF4-FFF2-40B4-BE49-F238E27FC236}">
              <a16:creationId xmlns:a16="http://schemas.microsoft.com/office/drawing/2014/main" id="{F35A22A7-F0FF-4216-8E2A-7C159784D869}"/>
            </a:ext>
          </a:extLst>
        </xdr:cNvPr>
        <xdr:cNvSpPr/>
      </xdr:nvSpPr>
      <xdr:spPr>
        <a:xfrm>
          <a:off x="3294529" y="50829883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15</xdr:col>
      <xdr:colOff>51548</xdr:colOff>
      <xdr:row>325</xdr:row>
      <xdr:rowOff>17931</xdr:rowOff>
    </xdr:from>
    <xdr:to>
      <xdr:col>16</xdr:col>
      <xdr:colOff>460564</xdr:colOff>
      <xdr:row>327</xdr:row>
      <xdr:rowOff>3363</xdr:rowOff>
    </xdr:to>
    <xdr:sp macro="" textlink="">
      <xdr:nvSpPr>
        <xdr:cNvPr id="47" name="角丸四角形 41">
          <a:extLst>
            <a:ext uri="{FF2B5EF4-FFF2-40B4-BE49-F238E27FC236}">
              <a16:creationId xmlns:a16="http://schemas.microsoft.com/office/drawing/2014/main" id="{26047F9F-10BD-4055-A759-0650C4D8ECE3}"/>
            </a:ext>
          </a:extLst>
        </xdr:cNvPr>
        <xdr:cNvSpPr/>
      </xdr:nvSpPr>
      <xdr:spPr>
        <a:xfrm>
          <a:off x="9330019" y="50679725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21</xdr:col>
      <xdr:colOff>255088</xdr:colOff>
      <xdr:row>13</xdr:row>
      <xdr:rowOff>65912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897FD3-6837-4199-845E-D087BF040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255088</xdr:colOff>
      <xdr:row>28</xdr:row>
      <xdr:rowOff>65912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452C683-40E1-4B49-B9BB-65D286D4E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21</xdr:col>
      <xdr:colOff>255088</xdr:colOff>
      <xdr:row>43</xdr:row>
      <xdr:rowOff>65912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88744BD-12CE-4A9C-8D09-102FE59B3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46</xdr:row>
      <xdr:rowOff>0</xdr:rowOff>
    </xdr:from>
    <xdr:to>
      <xdr:col>21</xdr:col>
      <xdr:colOff>255088</xdr:colOff>
      <xdr:row>56</xdr:row>
      <xdr:rowOff>166765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557BFD0-FAEF-43DC-A815-1090B1F8E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61</xdr:row>
      <xdr:rowOff>0</xdr:rowOff>
    </xdr:from>
    <xdr:to>
      <xdr:col>21</xdr:col>
      <xdr:colOff>255088</xdr:colOff>
      <xdr:row>71</xdr:row>
      <xdr:rowOff>234000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FA855F4-3DCD-4E0B-B90B-723B070E3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73</xdr:row>
      <xdr:rowOff>0</xdr:rowOff>
    </xdr:from>
    <xdr:to>
      <xdr:col>21</xdr:col>
      <xdr:colOff>255088</xdr:colOff>
      <xdr:row>84</xdr:row>
      <xdr:rowOff>65912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D7EA316-4CFE-466C-929C-E8121111B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44822</xdr:colOff>
      <xdr:row>81</xdr:row>
      <xdr:rowOff>0</xdr:rowOff>
    </xdr:from>
    <xdr:to>
      <xdr:col>12</xdr:col>
      <xdr:colOff>252352</xdr:colOff>
      <xdr:row>96</xdr:row>
      <xdr:rowOff>70147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958552-AFAD-48CF-9F4E-C2C21708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44821</xdr:colOff>
      <xdr:row>115</xdr:row>
      <xdr:rowOff>22411</xdr:rowOff>
    </xdr:from>
    <xdr:to>
      <xdr:col>12</xdr:col>
      <xdr:colOff>252351</xdr:colOff>
      <xdr:row>130</xdr:row>
      <xdr:rowOff>92558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E9C54FC-3718-496A-846B-BF3BA2194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81</xdr:row>
      <xdr:rowOff>0</xdr:rowOff>
    </xdr:from>
    <xdr:to>
      <xdr:col>18</xdr:col>
      <xdr:colOff>182206</xdr:colOff>
      <xdr:row>96</xdr:row>
      <xdr:rowOff>70147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A454808-99FF-481F-A857-A13CBA7CE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115</xdr:row>
      <xdr:rowOff>0</xdr:rowOff>
    </xdr:from>
    <xdr:to>
      <xdr:col>18</xdr:col>
      <xdr:colOff>182206</xdr:colOff>
      <xdr:row>130</xdr:row>
      <xdr:rowOff>70147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C444E36-039A-4E21-891B-B2388A684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547906</xdr:colOff>
      <xdr:row>1</xdr:row>
      <xdr:rowOff>0</xdr:rowOff>
    </xdr:from>
    <xdr:to>
      <xdr:col>2</xdr:col>
      <xdr:colOff>0</xdr:colOff>
      <xdr:row>3</xdr:row>
      <xdr:rowOff>151816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BAA1F2-BA12-4BFA-AA23-A3A2413EB44E}"/>
            </a:ext>
          </a:extLst>
        </xdr:cNvPr>
        <xdr:cNvSpPr txBox="1"/>
      </xdr:nvSpPr>
      <xdr:spPr>
        <a:xfrm>
          <a:off x="547906" y="244929"/>
          <a:ext cx="1384308" cy="64167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tỷ</a:t>
          </a:r>
          <a:r>
            <a:rPr lang="en-US" sz="1100" baseline="0"/>
            <a:t> lệ phế phẩm công đoạn- không thay đổi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56029</xdr:colOff>
      <xdr:row>155</xdr:row>
      <xdr:rowOff>0</xdr:rowOff>
    </xdr:from>
    <xdr:to>
      <xdr:col>13</xdr:col>
      <xdr:colOff>420441</xdr:colOff>
      <xdr:row>170</xdr:row>
      <xdr:rowOff>70147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8EA6D9-2098-4930-9CE3-8062EC540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100853</xdr:colOff>
      <xdr:row>209</xdr:row>
      <xdr:rowOff>22412</xdr:rowOff>
    </xdr:from>
    <xdr:to>
      <xdr:col>13</xdr:col>
      <xdr:colOff>465265</xdr:colOff>
      <xdr:row>224</xdr:row>
      <xdr:rowOff>92560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B74A5DB-4AAE-4CC7-8AC7-83536DF5E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155</xdr:row>
      <xdr:rowOff>0</xdr:rowOff>
    </xdr:from>
    <xdr:to>
      <xdr:col>19</xdr:col>
      <xdr:colOff>182206</xdr:colOff>
      <xdr:row>170</xdr:row>
      <xdr:rowOff>70147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8CFAC59-42DA-4FDF-B103-CB79226F9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209</xdr:row>
      <xdr:rowOff>0</xdr:rowOff>
    </xdr:from>
    <xdr:to>
      <xdr:col>19</xdr:col>
      <xdr:colOff>182206</xdr:colOff>
      <xdr:row>224</xdr:row>
      <xdr:rowOff>70148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41B1D4F-83B0-4F9F-9265-C7DDABD28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414617</xdr:colOff>
      <xdr:row>1</xdr:row>
      <xdr:rowOff>22411</xdr:rowOff>
    </xdr:from>
    <xdr:to>
      <xdr:col>2</xdr:col>
      <xdr:colOff>403971</xdr:colOff>
      <xdr:row>3</xdr:row>
      <xdr:rowOff>67235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4A2535-129A-4976-968D-6648C0BBB9AC}"/>
            </a:ext>
          </a:extLst>
        </xdr:cNvPr>
        <xdr:cNvSpPr txBox="1"/>
      </xdr:nvSpPr>
      <xdr:spPr>
        <a:xfrm>
          <a:off x="414617" y="257735"/>
          <a:ext cx="1356472" cy="515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lang="en-US" sz="1100"/>
            <a:t>tỷ</a:t>
          </a:r>
          <a:r>
            <a:rPr lang="en-US" sz="1100" baseline="0"/>
            <a:t> lệ hợp cách  gia công ngoài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581024</xdr:colOff>
      <xdr:row>64</xdr:row>
      <xdr:rowOff>149038</xdr:rowOff>
    </xdr:from>
    <xdr:to>
      <xdr:col>20</xdr:col>
      <xdr:colOff>408899</xdr:colOff>
      <xdr:row>77</xdr:row>
      <xdr:rowOff>70663</xdr:rowOff>
    </xdr:to>
    <xdr:graphicFrame macro="">
      <xdr:nvGraphicFramePr>
        <xdr:cNvPr id="2" name="グラフ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78</xdr:row>
      <xdr:rowOff>3363</xdr:rowOff>
    </xdr:from>
    <xdr:to>
      <xdr:col>10</xdr:col>
      <xdr:colOff>408900</xdr:colOff>
      <xdr:row>90</xdr:row>
      <xdr:rowOff>105963</xdr:rowOff>
    </xdr:to>
    <xdr:graphicFrame macro="">
      <xdr:nvGraphicFramePr>
        <xdr:cNvPr id="3" name="グラフ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243166</xdr:colOff>
      <xdr:row>177</xdr:row>
      <xdr:rowOff>155481</xdr:rowOff>
    </xdr:from>
    <xdr:to>
      <xdr:col>10</xdr:col>
      <xdr:colOff>394891</xdr:colOff>
      <xdr:row>190</xdr:row>
      <xdr:rowOff>86631</xdr:rowOff>
    </xdr:to>
    <xdr:graphicFrame macro="">
      <xdr:nvGraphicFramePr>
        <xdr:cNvPr id="4" name="グラフ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1682</xdr:colOff>
      <xdr:row>78</xdr:row>
      <xdr:rowOff>0</xdr:rowOff>
    </xdr:from>
    <xdr:to>
      <xdr:col>20</xdr:col>
      <xdr:colOff>410582</xdr:colOff>
      <xdr:row>90</xdr:row>
      <xdr:rowOff>102600</xdr:rowOff>
    </xdr:to>
    <xdr:graphicFrame macro="">
      <xdr:nvGraphicFramePr>
        <xdr:cNvPr id="5" name="グラフ 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191</xdr:row>
      <xdr:rowOff>0</xdr:rowOff>
    </xdr:from>
    <xdr:to>
      <xdr:col>20</xdr:col>
      <xdr:colOff>408900</xdr:colOff>
      <xdr:row>203</xdr:row>
      <xdr:rowOff>102600</xdr:rowOff>
    </xdr:to>
    <xdr:graphicFrame macro="">
      <xdr:nvGraphicFramePr>
        <xdr:cNvPr id="6" name="グラフ 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408900</xdr:colOff>
      <xdr:row>77</xdr:row>
      <xdr:rowOff>102600</xdr:rowOff>
    </xdr:to>
    <xdr:graphicFrame macro="">
      <xdr:nvGraphicFramePr>
        <xdr:cNvPr id="7" name="グラフ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246530</xdr:colOff>
      <xdr:row>91</xdr:row>
      <xdr:rowOff>168087</xdr:rowOff>
    </xdr:from>
    <xdr:to>
      <xdr:col>7</xdr:col>
      <xdr:colOff>11206</xdr:colOff>
      <xdr:row>103</xdr:row>
      <xdr:rowOff>101412</xdr:rowOff>
    </xdr:to>
    <xdr:graphicFrame macro="">
      <xdr:nvGraphicFramePr>
        <xdr:cNvPr id="8" name="グラフ 1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92</xdr:row>
      <xdr:rowOff>0</xdr:rowOff>
    </xdr:from>
    <xdr:to>
      <xdr:col>13</xdr:col>
      <xdr:colOff>323290</xdr:colOff>
      <xdr:row>103</xdr:row>
      <xdr:rowOff>104775</xdr:rowOff>
    </xdr:to>
    <xdr:graphicFrame macro="">
      <xdr:nvGraphicFramePr>
        <xdr:cNvPr id="9" name="グラフ 1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92</xdr:row>
      <xdr:rowOff>0</xdr:rowOff>
    </xdr:from>
    <xdr:to>
      <xdr:col>19</xdr:col>
      <xdr:colOff>123265</xdr:colOff>
      <xdr:row>103</xdr:row>
      <xdr:rowOff>101413</xdr:rowOff>
    </xdr:to>
    <xdr:graphicFrame macro="">
      <xdr:nvGraphicFramePr>
        <xdr:cNvPr id="10" name="グラフ 1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105</xdr:row>
      <xdr:rowOff>0</xdr:rowOff>
    </xdr:from>
    <xdr:to>
      <xdr:col>7</xdr:col>
      <xdr:colOff>22411</xdr:colOff>
      <xdr:row>116</xdr:row>
      <xdr:rowOff>101413</xdr:rowOff>
    </xdr:to>
    <xdr:graphicFrame macro="">
      <xdr:nvGraphicFramePr>
        <xdr:cNvPr id="11" name="グラフ 18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105</xdr:row>
      <xdr:rowOff>0</xdr:rowOff>
    </xdr:from>
    <xdr:to>
      <xdr:col>13</xdr:col>
      <xdr:colOff>324971</xdr:colOff>
      <xdr:row>116</xdr:row>
      <xdr:rowOff>101413</xdr:rowOff>
    </xdr:to>
    <xdr:graphicFrame macro="">
      <xdr:nvGraphicFramePr>
        <xdr:cNvPr id="12" name="グラフ 1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105</xdr:row>
      <xdr:rowOff>0</xdr:rowOff>
    </xdr:from>
    <xdr:to>
      <xdr:col>19</xdr:col>
      <xdr:colOff>123265</xdr:colOff>
      <xdr:row>116</xdr:row>
      <xdr:rowOff>101413</xdr:rowOff>
    </xdr:to>
    <xdr:graphicFrame macro="">
      <xdr:nvGraphicFramePr>
        <xdr:cNvPr id="13" name="グラフ 2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118</xdr:row>
      <xdr:rowOff>0</xdr:rowOff>
    </xdr:from>
    <xdr:to>
      <xdr:col>7</xdr:col>
      <xdr:colOff>22411</xdr:colOff>
      <xdr:row>129</xdr:row>
      <xdr:rowOff>101413</xdr:rowOff>
    </xdr:to>
    <xdr:graphicFrame macro="">
      <xdr:nvGraphicFramePr>
        <xdr:cNvPr id="14" name="グラフ 16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118</xdr:row>
      <xdr:rowOff>0</xdr:rowOff>
    </xdr:from>
    <xdr:to>
      <xdr:col>13</xdr:col>
      <xdr:colOff>324971</xdr:colOff>
      <xdr:row>129</xdr:row>
      <xdr:rowOff>101413</xdr:rowOff>
    </xdr:to>
    <xdr:graphicFrame macro="">
      <xdr:nvGraphicFramePr>
        <xdr:cNvPr id="15" name="グラフ 1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0</xdr:colOff>
      <xdr:row>118</xdr:row>
      <xdr:rowOff>0</xdr:rowOff>
    </xdr:from>
    <xdr:to>
      <xdr:col>19</xdr:col>
      <xdr:colOff>123265</xdr:colOff>
      <xdr:row>129</xdr:row>
      <xdr:rowOff>101413</xdr:rowOff>
    </xdr:to>
    <xdr:graphicFrame macro="">
      <xdr:nvGraphicFramePr>
        <xdr:cNvPr id="16" name="グラフ 2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131</xdr:row>
      <xdr:rowOff>0</xdr:rowOff>
    </xdr:from>
    <xdr:to>
      <xdr:col>7</xdr:col>
      <xdr:colOff>22411</xdr:colOff>
      <xdr:row>142</xdr:row>
      <xdr:rowOff>101413</xdr:rowOff>
    </xdr:to>
    <xdr:graphicFrame macro="">
      <xdr:nvGraphicFramePr>
        <xdr:cNvPr id="17" name="グラフ 2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0</xdr:colOff>
      <xdr:row>131</xdr:row>
      <xdr:rowOff>0</xdr:rowOff>
    </xdr:from>
    <xdr:to>
      <xdr:col>13</xdr:col>
      <xdr:colOff>324971</xdr:colOff>
      <xdr:row>142</xdr:row>
      <xdr:rowOff>101413</xdr:rowOff>
    </xdr:to>
    <xdr:graphicFrame macro="">
      <xdr:nvGraphicFramePr>
        <xdr:cNvPr id="18" name="グラフ 23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0</xdr:colOff>
      <xdr:row>131</xdr:row>
      <xdr:rowOff>0</xdr:rowOff>
    </xdr:from>
    <xdr:to>
      <xdr:col>19</xdr:col>
      <xdr:colOff>123265</xdr:colOff>
      <xdr:row>142</xdr:row>
      <xdr:rowOff>101413</xdr:rowOff>
    </xdr:to>
    <xdr:graphicFrame macro="">
      <xdr:nvGraphicFramePr>
        <xdr:cNvPr id="19" name="グラフ 2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0</xdr:colOff>
      <xdr:row>144</xdr:row>
      <xdr:rowOff>0</xdr:rowOff>
    </xdr:from>
    <xdr:to>
      <xdr:col>7</xdr:col>
      <xdr:colOff>22411</xdr:colOff>
      <xdr:row>155</xdr:row>
      <xdr:rowOff>101413</xdr:rowOff>
    </xdr:to>
    <xdr:graphicFrame macro="">
      <xdr:nvGraphicFramePr>
        <xdr:cNvPr id="20" name="グラフ 25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0</xdr:colOff>
      <xdr:row>144</xdr:row>
      <xdr:rowOff>0</xdr:rowOff>
    </xdr:from>
    <xdr:to>
      <xdr:col>13</xdr:col>
      <xdr:colOff>324971</xdr:colOff>
      <xdr:row>155</xdr:row>
      <xdr:rowOff>101413</xdr:rowOff>
    </xdr:to>
    <xdr:graphicFrame macro="">
      <xdr:nvGraphicFramePr>
        <xdr:cNvPr id="21" name="グラフ 26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0</xdr:colOff>
      <xdr:row>144</xdr:row>
      <xdr:rowOff>0</xdr:rowOff>
    </xdr:from>
    <xdr:to>
      <xdr:col>19</xdr:col>
      <xdr:colOff>123265</xdr:colOff>
      <xdr:row>155</xdr:row>
      <xdr:rowOff>101413</xdr:rowOff>
    </xdr:to>
    <xdr:graphicFrame macro="">
      <xdr:nvGraphicFramePr>
        <xdr:cNvPr id="22" name="グラフ 27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177</xdr:row>
      <xdr:rowOff>171449</xdr:rowOff>
    </xdr:from>
    <xdr:to>
      <xdr:col>20</xdr:col>
      <xdr:colOff>408900</xdr:colOff>
      <xdr:row>190</xdr:row>
      <xdr:rowOff>102599</xdr:rowOff>
    </xdr:to>
    <xdr:graphicFrame macro="">
      <xdr:nvGraphicFramePr>
        <xdr:cNvPr id="23" name="グラフ 28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0</xdr:colOff>
      <xdr:row>191</xdr:row>
      <xdr:rowOff>0</xdr:rowOff>
    </xdr:from>
    <xdr:to>
      <xdr:col>10</xdr:col>
      <xdr:colOff>408900</xdr:colOff>
      <xdr:row>203</xdr:row>
      <xdr:rowOff>102600</xdr:rowOff>
    </xdr:to>
    <xdr:graphicFrame macro="">
      <xdr:nvGraphicFramePr>
        <xdr:cNvPr id="24" name="グラフ 2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341218</xdr:colOff>
      <xdr:row>87</xdr:row>
      <xdr:rowOff>94131</xdr:rowOff>
    </xdr:from>
    <xdr:to>
      <xdr:col>7</xdr:col>
      <xdr:colOff>89087</xdr:colOff>
      <xdr:row>89</xdr:row>
      <xdr:rowOff>57151</xdr:rowOff>
    </xdr:to>
    <xdr:sp macro="" textlink="">
      <xdr:nvSpPr>
        <xdr:cNvPr id="26" name="角丸四角形 41">
          <a:extLst>
            <a:ext uri="{FF2B5EF4-FFF2-40B4-BE49-F238E27FC236}">
              <a16:creationId xmlns:a16="http://schemas.microsoft.com/office/drawing/2014/main" id="{8C825195-E442-4F13-8CC1-6BD6CEE61AC4}"/>
            </a:ext>
          </a:extLst>
        </xdr:cNvPr>
        <xdr:cNvSpPr/>
      </xdr:nvSpPr>
      <xdr:spPr>
        <a:xfrm>
          <a:off x="3321983" y="12555072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15</xdr:col>
      <xdr:colOff>240926</xdr:colOff>
      <xdr:row>74</xdr:row>
      <xdr:rowOff>53228</xdr:rowOff>
    </xdr:from>
    <xdr:to>
      <xdr:col>16</xdr:col>
      <xdr:colOff>571501</xdr:colOff>
      <xdr:row>76</xdr:row>
      <xdr:rowOff>16248</xdr:rowOff>
    </xdr:to>
    <xdr:sp macro="" textlink="">
      <xdr:nvSpPr>
        <xdr:cNvPr id="28" name="角丸四角形 41">
          <a:extLst>
            <a:ext uri="{FF2B5EF4-FFF2-40B4-BE49-F238E27FC236}">
              <a16:creationId xmlns:a16="http://schemas.microsoft.com/office/drawing/2014/main" id="{8F99F553-FB52-4942-AA79-F36711712723}"/>
            </a:ext>
          </a:extLst>
        </xdr:cNvPr>
        <xdr:cNvSpPr/>
      </xdr:nvSpPr>
      <xdr:spPr>
        <a:xfrm>
          <a:off x="9048750" y="10329022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16</xdr:col>
      <xdr:colOff>2</xdr:colOff>
      <xdr:row>124</xdr:row>
      <xdr:rowOff>0</xdr:rowOff>
    </xdr:from>
    <xdr:to>
      <xdr:col>17</xdr:col>
      <xdr:colOff>330576</xdr:colOff>
      <xdr:row>125</xdr:row>
      <xdr:rowOff>131109</xdr:rowOff>
    </xdr:to>
    <xdr:sp macro="" textlink="">
      <xdr:nvSpPr>
        <xdr:cNvPr id="29" name="角丸四角形 41">
          <a:extLst>
            <a:ext uri="{FF2B5EF4-FFF2-40B4-BE49-F238E27FC236}">
              <a16:creationId xmlns:a16="http://schemas.microsoft.com/office/drawing/2014/main" id="{34E54561-F900-4BC5-AFDD-5EF71A0A7A21}"/>
            </a:ext>
          </a:extLst>
        </xdr:cNvPr>
        <xdr:cNvSpPr/>
      </xdr:nvSpPr>
      <xdr:spPr>
        <a:xfrm>
          <a:off x="9390531" y="18680206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10</xdr:col>
      <xdr:colOff>0</xdr:colOff>
      <xdr:row>150</xdr:row>
      <xdr:rowOff>0</xdr:rowOff>
    </xdr:from>
    <xdr:to>
      <xdr:col>11</xdr:col>
      <xdr:colOff>330574</xdr:colOff>
      <xdr:row>151</xdr:row>
      <xdr:rowOff>131109</xdr:rowOff>
    </xdr:to>
    <xdr:sp macro="" textlink="">
      <xdr:nvSpPr>
        <xdr:cNvPr id="30" name="角丸四角形 41">
          <a:extLst>
            <a:ext uri="{FF2B5EF4-FFF2-40B4-BE49-F238E27FC236}">
              <a16:creationId xmlns:a16="http://schemas.microsoft.com/office/drawing/2014/main" id="{AA8F3226-B44A-4257-8AB2-19EBE4170048}"/>
            </a:ext>
          </a:extLst>
        </xdr:cNvPr>
        <xdr:cNvSpPr/>
      </xdr:nvSpPr>
      <xdr:spPr>
        <a:xfrm>
          <a:off x="5894294" y="23050500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5</xdr:col>
      <xdr:colOff>235324</xdr:colOff>
      <xdr:row>200</xdr:row>
      <xdr:rowOff>33617</xdr:rowOff>
    </xdr:from>
    <xdr:to>
      <xdr:col>6</xdr:col>
      <xdr:colOff>565898</xdr:colOff>
      <xdr:row>201</xdr:row>
      <xdr:rowOff>164726</xdr:rowOff>
    </xdr:to>
    <xdr:sp macro="" textlink="">
      <xdr:nvSpPr>
        <xdr:cNvPr id="31" name="角丸四角形 41">
          <a:extLst>
            <a:ext uri="{FF2B5EF4-FFF2-40B4-BE49-F238E27FC236}">
              <a16:creationId xmlns:a16="http://schemas.microsoft.com/office/drawing/2014/main" id="{C8B599C1-8EE5-4B7D-A2D4-FB7A32F1758C}"/>
            </a:ext>
          </a:extLst>
        </xdr:cNvPr>
        <xdr:cNvSpPr/>
      </xdr:nvSpPr>
      <xdr:spPr>
        <a:xfrm>
          <a:off x="3216089" y="31320441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  <xdr:twoCellAnchor>
    <xdr:from>
      <xdr:col>15</xdr:col>
      <xdr:colOff>179294</xdr:colOff>
      <xdr:row>187</xdr:row>
      <xdr:rowOff>33618</xdr:rowOff>
    </xdr:from>
    <xdr:to>
      <xdr:col>16</xdr:col>
      <xdr:colOff>509869</xdr:colOff>
      <xdr:row>188</xdr:row>
      <xdr:rowOff>164726</xdr:rowOff>
    </xdr:to>
    <xdr:sp macro="" textlink="">
      <xdr:nvSpPr>
        <xdr:cNvPr id="32" name="角丸四角形 41">
          <a:extLst>
            <a:ext uri="{FF2B5EF4-FFF2-40B4-BE49-F238E27FC236}">
              <a16:creationId xmlns:a16="http://schemas.microsoft.com/office/drawing/2014/main" id="{D1220A80-ECC3-4B80-A055-7ECF9BD86A65}"/>
            </a:ext>
          </a:extLst>
        </xdr:cNvPr>
        <xdr:cNvSpPr/>
      </xdr:nvSpPr>
      <xdr:spPr>
        <a:xfrm>
          <a:off x="8987118" y="29135294"/>
          <a:ext cx="913280" cy="2991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保有無し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1379559</xdr:colOff>
      <xdr:row>51</xdr:row>
      <xdr:rowOff>0</xdr:rowOff>
    </xdr:from>
    <xdr:to>
      <xdr:col>11</xdr:col>
      <xdr:colOff>0</xdr:colOff>
      <xdr:row>63</xdr:row>
      <xdr:rowOff>142941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43621CA-72D4-4289-90F6-490C4C89B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1373958</xdr:colOff>
      <xdr:row>65</xdr:row>
      <xdr:rowOff>168079</xdr:rowOff>
    </xdr:from>
    <xdr:to>
      <xdr:col>10</xdr:col>
      <xdr:colOff>677957</xdr:colOff>
      <xdr:row>78</xdr:row>
      <xdr:rowOff>142932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54CA6AE-0B5F-492E-A683-1597B1A1B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51</xdr:row>
      <xdr:rowOff>0</xdr:rowOff>
    </xdr:from>
    <xdr:to>
      <xdr:col>19</xdr:col>
      <xdr:colOff>615088</xdr:colOff>
      <xdr:row>63</xdr:row>
      <xdr:rowOff>142941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3908882-3C5E-4B07-9390-C8FFB4093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65</xdr:row>
      <xdr:rowOff>168088</xdr:rowOff>
    </xdr:from>
    <xdr:to>
      <xdr:col>19</xdr:col>
      <xdr:colOff>615088</xdr:colOff>
      <xdr:row>78</xdr:row>
      <xdr:rowOff>142941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9C9B472-0D85-4B93-8432-23CD95F05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1378323</xdr:colOff>
      <xdr:row>80</xdr:row>
      <xdr:rowOff>22411</xdr:rowOff>
    </xdr:from>
    <xdr:to>
      <xdr:col>10</xdr:col>
      <xdr:colOff>672352</xdr:colOff>
      <xdr:row>93</xdr:row>
      <xdr:rowOff>44822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36DA2C5-F47F-4D46-9B29-226E7920C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DM/SON PHAM THI" id="{57CEE0AC-F11E-4EF7-B2B9-D271880B66A3}" userId="VDM/SON PHAM THI" providerId="None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1-02-18T02:58:04.26" personId="{57CEE0AC-F11E-4EF7-B2B9-D271880B66A3}" id="{55EC6334-0936-40EA-ACF2-F1DEC9C9576F}">
    <text>Tổng số  người</text>
  </threadedComment>
  <threadedComment ref="C10" dT="2021-02-18T03:17:48.89" personId="{57CEE0AC-F11E-4EF7-B2B9-D271880B66A3}" id="{96681300-5381-46A1-AD39-71EED9881804}">
    <text>NV gia công</text>
  </threadedComment>
  <threadedComment ref="C11" dT="2021-02-18T03:18:17.48" personId="{57CEE0AC-F11E-4EF7-B2B9-D271880B66A3}" id="{ABEC657A-A034-49F8-BE74-162196C6D020}">
    <text>NV khác</text>
  </threadedComment>
  <threadedComment ref="C12" dT="2021-02-18T03:17:13.33" personId="{57CEE0AC-F11E-4EF7-B2B9-D271880B66A3}" id="{50208CE0-1549-42E7-B8AB-FD46FD13F445}">
    <text>số ngày làm việc</text>
  </threadedComment>
  <threadedComment ref="H13" dT="2021-02-18T03:22:28.59" personId="{57CEE0AC-F11E-4EF7-B2B9-D271880B66A3}" id="{A7C3A92F-8FE8-4310-97C1-E679EF19946A}">
    <text>tong TGLV cua NVTT</text>
  </threadedComment>
  <threadedComment ref="H14" dT="2021-02-18T03:22:46.99" personId="{57CEE0AC-F11E-4EF7-B2B9-D271880B66A3}" id="{681EA4D2-B121-476C-8737-07245765DE66}">
    <text>luy ke</text>
  </threadedComment>
  <threadedComment ref="C15" dT="2021-02-18T03:24:38.11" personId="{57CEE0AC-F11E-4EF7-B2B9-D271880B66A3}" id="{9CB1FC9C-9A89-49B8-A754-F31416A24CED}">
    <text>thoi gian LV trung binh 1 nguoi/ ngay</text>
  </threadedComment>
  <threadedComment ref="B16" dT="2021-02-18T03:30:10.22" personId="{57CEE0AC-F11E-4EF7-B2B9-D271880B66A3}" id="{53115084-6159-47C7-9B24-D2CD00366656}">
    <text>Tong TGTD</text>
  </threadedComment>
  <threadedComment ref="B17" dT="2021-02-18T03:30:23.10" personId="{57CEE0AC-F11E-4EF7-B2B9-D271880B66A3}" id="{0F7E9CE4-9090-45C0-AEF4-DE56F77A24A1}">
    <text>tong TGGC</text>
  </threadedComment>
  <threadedComment ref="B18" dT="2021-02-18T03:31:02.21" personId="{57CEE0AC-F11E-4EF7-B2B9-D271880B66A3}" id="{7FC1001F-3880-4B18-BFC4-39579B89F351}">
    <text>TGLV có nguoi</text>
  </threadedComment>
  <threadedComment ref="B19" dT="2021-02-18T03:31:22.92" personId="{57CEE0AC-F11E-4EF7-B2B9-D271880B66A3}" id="{10D6956E-1610-4734-9FC6-EEF6AC14FF22}">
    <text>TGLV ko nguoi</text>
  </threadedComment>
  <threadedComment ref="B20" dT="2021-02-18T03:32:19.10" personId="{57CEE0AC-F11E-4EF7-B2B9-D271880B66A3}" id="{CFFEFCC8-5662-4C52-AEFB-78FEF921BBCE}">
    <text>Tỉ lệ hoạt động ko nguoi</text>
  </threadedComment>
  <threadedComment ref="B21" dT="2021-02-18T03:33:00.96" personId="{57CEE0AC-F11E-4EF7-B2B9-D271880B66A3}" id="{08C93037-1582-43A1-85BE-F60968B5A54B}">
    <text>hieu suat gia cong</text>
  </threadedComment>
  <threadedComment ref="B22" dT="2021-02-18T03:33:55.42" personId="{57CEE0AC-F11E-4EF7-B2B9-D271880B66A3}" id="{2770FBA8-5E61-41D0-813A-59B3B3089349}">
    <text>số công GC tương ứng với TGLV</text>
  </threadedComment>
  <threadedComment ref="B23" dT="2021-02-18T03:36:26.63" personId="{57CEE0AC-F11E-4EF7-B2B9-D271880B66A3}" id="{38726055-96F4-4585-BA1A-55EAD3C8AD88}">
    <text>mục tiêu sô công gia công tương ứng với TGLV</text>
  </threadedComment>
  <threadedComment ref="C24" dT="2021-02-18T03:36:45.52" personId="{57CEE0AC-F11E-4EF7-B2B9-D271880B66A3}" id="{889E5F6D-27C2-44A5-8515-F6C3212D28CF}">
    <text>số kiện PP</text>
  </threadedComment>
  <threadedComment ref="C25" dT="2021-02-18T03:37:08.88" personId="{57CEE0AC-F11E-4EF7-B2B9-D271880B66A3}" id="{BC33D54A-0A59-4865-AD87-6EF7E8B79F76}">
    <text>sô công PP</text>
  </threadedComment>
  <threadedComment ref="C26" dT="2021-02-18T03:37:33.65" personId="{57CEE0AC-F11E-4EF7-B2B9-D271880B66A3}" id="{2ED81D89-14F2-42CD-A951-58F8827720FF}">
    <text>TTGGC</text>
  </threadedComment>
  <threadedComment ref="C27" dT="2021-02-18T03:37:55.16" personId="{57CEE0AC-F11E-4EF7-B2B9-D271880B66A3}" id="{2D69196F-C959-4719-9E4A-6EAE03620B81}">
    <text>tỉ lệ số công PP</text>
  </threadedComment>
  <threadedComment ref="C28" dT="2021-02-18T03:39:56.91" personId="{57CEE0AC-F11E-4EF7-B2B9-D271880B66A3}" id="{EE11E89E-C586-45A2-8420-7AB9AE080373}">
    <text>TGGC 1 nguoi</text>
  </threadedComment>
  <threadedComment ref="C29" dT="2021-02-18T03:40:22.77" personId="{57CEE0AC-F11E-4EF7-B2B9-D271880B66A3}" id="{231BEF50-012E-403A-946F-05113A80FBD7}">
    <text>số pcs hoan thanh 1 nguoi</text>
  </threadedComment>
  <threadedComment ref="C30" dT="2021-02-18T03:40:58.98" personId="{57CEE0AC-F11E-4EF7-B2B9-D271880B66A3}" id="{62A747F3-06CC-4625-BDA7-10529DB6666C}">
    <text>tông bv hoan thanh</text>
  </threadedComment>
  <threadedComment ref="C32" dT="2021-02-18T03:41:13.14" personId="{57CEE0AC-F11E-4EF7-B2B9-D271880B66A3}" id="{A99A6B1B-326C-46BB-AD79-95BE572D1BA0}">
    <text>tong pcs hoan thanh</text>
  </threadedComment>
  <threadedComment ref="E34" dT="2021-02-18T03:43:14.92" personId="{57CEE0AC-F11E-4EF7-B2B9-D271880B66A3}" id="{C68B0367-0ECB-44D7-89A4-CBBBB32A1ABB}">
    <text>chi số bv/ M.H ( đơn tháng)</text>
  </threadedComment>
  <threadedComment ref="E35" dT="2021-02-18T03:43:33.03" personId="{57CEE0AC-F11E-4EF7-B2B9-D271880B66A3}" id="{E21BFD90-98B5-482C-82F3-2BE74AD9FF97}">
    <text>chi số bv / M.H ( lũy kế)</text>
  </threadedComment>
  <threadedComment ref="E36" dT="2021-02-18T03:46:09.30" personId="{57CEE0AC-F11E-4EF7-B2B9-D271880B66A3}" id="{D5DBFD49-DA38-4E4F-99C4-A0956AE5F781}">
    <text>chi sô pcs /M.H ( đơn tháng)</text>
  </threadedComment>
  <threadedComment ref="E37" dT="2021-02-18T03:59:30.68" personId="{57CEE0AC-F11E-4EF7-B2B9-D271880B66A3}" id="{9C90DE26-92E1-4046-8602-24B1C87A07B5}">
    <text>chỉ sô pcs/ M.H ( lũy kế)</text>
  </threadedComment>
  <threadedComment ref="E38" dT="2021-02-18T04:11:00.26" personId="{57CEE0AC-F11E-4EF7-B2B9-D271880B66A3}" id="{882099D8-002B-4ECD-9BF7-2BEC87139635}">
    <text>sô tiền GCHT ( đơn tháng)</text>
  </threadedComment>
  <threadedComment ref="E39" dT="2021-02-18T04:03:14.87" personId="{57CEE0AC-F11E-4EF7-B2B9-D271880B66A3}" id="{A98E8E49-5764-43F6-8FF5-ED10048D008E}">
    <text>số tiền GC HT ( lũy kế)</text>
  </threadedComment>
  <threadedComment ref="E40" dT="2021-02-18T04:12:15.65" personId="{57CEE0AC-F11E-4EF7-B2B9-D271880B66A3}" id="{5C48C7A1-88ED-4B54-A775-264EC68E76F7}">
    <text>số tiền GC / M.H ( đơn tháng)</text>
  </threadedComment>
  <threadedComment ref="E41" dT="2021-02-18T04:12:45.56" personId="{57CEE0AC-F11E-4EF7-B2B9-D271880B66A3}" id="{99A53BF0-A919-42D1-9410-6D11836FF208}">
    <text>số tiền GC / M.H ( lũy kế)</text>
  </threadedComment>
  <threadedComment ref="C42" dT="2021-02-18T04:17:02.02" personId="{57CEE0AC-F11E-4EF7-B2B9-D271880B66A3}" id="{5083DCF2-58CE-4E2B-A52F-9511336EDA30}">
    <text>số bv HT</text>
  </threadedComment>
  <threadedComment ref="E42" dT="2021-02-18T04:17:52.03" personId="{57CEE0AC-F11E-4EF7-B2B9-D271880B66A3}" id="{6DCC4FE8-CA38-40A6-85FA-B845A9626FED}">
    <text>đơn tháng</text>
  </threadedComment>
  <threadedComment ref="C43" dT="2021-02-18T04:17:22.36" personId="{57CEE0AC-F11E-4EF7-B2B9-D271880B66A3}" id="{D4062742-207F-496E-8D84-52B54D6CFC7F}">
    <text>số pcs HT</text>
  </threadedComment>
  <threadedComment ref="C44" dT="2021-02-18T04:30:17.93" personId="{57CEE0AC-F11E-4EF7-B2B9-D271880B66A3}" id="{6381A70D-1344-42C0-A715-78E9082321D2}">
    <text>kim ngạch gia công</text>
  </threadedComment>
  <threadedComment ref="C45" dT="2021-02-18T04:32:24.44" personId="{57CEE0AC-F11E-4EF7-B2B9-D271880B66A3}" id="{D91B8F99-97EE-47DD-85E8-5BFDC9AA04DD}">
    <text>số bv HT ( lũy kế)</text>
  </threadedComment>
  <threadedComment ref="E45" dT="2021-02-18T04:29:12.94" personId="{57CEE0AC-F11E-4EF7-B2B9-D271880B66A3}" id="{D0AEF842-6ABE-419B-A479-6DEE0CCBB18F}">
    <text>lũy kế</text>
  </threadedComment>
  <threadedComment ref="C46" dT="2021-02-18T04:33:23.00" personId="{57CEE0AC-F11E-4EF7-B2B9-D271880B66A3}" id="{C35136F4-53A4-4860-A278-2A780DD938DA}">
    <text>số pcs HTlũy kế</text>
  </threadedComment>
  <threadedComment ref="C47" dT="2021-02-18T04:34:28.81" personId="{57CEE0AC-F11E-4EF7-B2B9-D271880B66A3}" id="{119F5C3E-125B-4225-9A15-7343D144BC99}">
    <text>kim ngạch gia công ( lũy kế)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BEAF-0A7D-426E-81A7-5AE674FD0B87}">
  <sheetPr>
    <tabColor rgb="FFFF0000"/>
  </sheetPr>
  <dimension ref="A1:Z124"/>
  <sheetViews>
    <sheetView tabSelected="1" zoomScaleNormal="100" workbookViewId="0">
      <pane xSplit="4" ySplit="4" topLeftCell="E70" activePane="bottomRight" state="frozen"/>
      <selection pane="topRight" activeCell="E1" sqref="E1"/>
      <selection pane="bottomLeft" activeCell="A4" sqref="A4"/>
      <selection pane="bottomRight" activeCell="X92" sqref="X92"/>
    </sheetView>
  </sheetViews>
  <sheetFormatPr defaultColWidth="9" defaultRowHeight="12"/>
  <cols>
    <col min="1" max="1" width="3.140625" style="65" customWidth="1"/>
    <col min="2" max="2" width="4.140625" style="65" customWidth="1"/>
    <col min="3" max="3" width="6.7109375" style="65" bestFit="1" customWidth="1"/>
    <col min="4" max="4" width="13.42578125" style="65" bestFit="1" customWidth="1"/>
    <col min="5" max="5" width="8.85546875" style="65" bestFit="1" customWidth="1"/>
    <col min="6" max="6" width="15.85546875" style="65" customWidth="1"/>
    <col min="7" max="7" width="12.5703125" style="65" customWidth="1"/>
    <col min="8" max="8" width="7.42578125" style="65" customWidth="1"/>
    <col min="9" max="9" width="8.85546875" style="66" customWidth="1"/>
    <col min="10" max="10" width="13.42578125" style="66" bestFit="1" customWidth="1"/>
    <col min="11" max="11" width="6.42578125" style="66" bestFit="1" customWidth="1"/>
    <col min="12" max="12" width="8.5703125" style="66" customWidth="1"/>
    <col min="13" max="13" width="8.5703125" style="65" customWidth="1"/>
    <col min="14" max="15" width="8.5703125" style="66" customWidth="1"/>
    <col min="16" max="23" width="8.5703125" style="65" customWidth="1"/>
    <col min="24" max="24" width="30.85546875" style="501" customWidth="1"/>
    <col min="25" max="25" width="11" style="65" bestFit="1" customWidth="1"/>
    <col min="26" max="16384" width="9" style="65"/>
  </cols>
  <sheetData>
    <row r="1" spans="1:25" ht="24">
      <c r="B1" s="58" t="s">
        <v>305</v>
      </c>
      <c r="K1" s="417" t="s">
        <v>589</v>
      </c>
    </row>
    <row r="2" spans="1:25">
      <c r="K2" s="621" t="s">
        <v>623</v>
      </c>
      <c r="L2" s="621">
        <v>22</v>
      </c>
      <c r="M2" s="621">
        <v>15</v>
      </c>
      <c r="N2" s="621">
        <v>22</v>
      </c>
      <c r="O2" s="621"/>
      <c r="P2" s="621"/>
      <c r="Q2" s="621"/>
      <c r="R2" s="621"/>
      <c r="S2" s="621"/>
      <c r="T2" s="621"/>
      <c r="U2" s="621"/>
      <c r="V2" s="621"/>
      <c r="W2" s="622"/>
      <c r="X2" s="503" t="s">
        <v>571</v>
      </c>
    </row>
    <row r="3" spans="1:25" hidden="1">
      <c r="K3" s="623"/>
      <c r="L3" s="623">
        <f>L2</f>
        <v>22</v>
      </c>
      <c r="M3" s="623">
        <f t="shared" ref="M3:W3" si="0">M2</f>
        <v>15</v>
      </c>
      <c r="N3" s="623">
        <f t="shared" si="0"/>
        <v>22</v>
      </c>
      <c r="O3" s="623">
        <f t="shared" si="0"/>
        <v>0</v>
      </c>
      <c r="P3" s="623">
        <f t="shared" si="0"/>
        <v>0</v>
      </c>
      <c r="Q3" s="623">
        <f t="shared" si="0"/>
        <v>0</v>
      </c>
      <c r="R3" s="623">
        <f t="shared" si="0"/>
        <v>0</v>
      </c>
      <c r="S3" s="623">
        <f t="shared" si="0"/>
        <v>0</v>
      </c>
      <c r="T3" s="623">
        <f t="shared" si="0"/>
        <v>0</v>
      </c>
      <c r="U3" s="623">
        <f t="shared" si="0"/>
        <v>0</v>
      </c>
      <c r="V3" s="623">
        <f t="shared" si="0"/>
        <v>0</v>
      </c>
      <c r="W3" s="623">
        <f t="shared" si="0"/>
        <v>0</v>
      </c>
      <c r="X3" s="620"/>
    </row>
    <row r="4" spans="1:25" ht="12.75" thickBot="1">
      <c r="A4" s="67" t="s">
        <v>97</v>
      </c>
      <c r="B4" s="68" t="s">
        <v>98</v>
      </c>
      <c r="C4" s="68" t="s">
        <v>99</v>
      </c>
      <c r="D4" s="69" t="s">
        <v>100</v>
      </c>
      <c r="E4" s="68" t="s">
        <v>101</v>
      </c>
      <c r="F4" s="69" t="s">
        <v>102</v>
      </c>
      <c r="G4" s="69" t="s">
        <v>103</v>
      </c>
      <c r="H4" s="68" t="s">
        <v>104</v>
      </c>
      <c r="I4" s="390" t="s">
        <v>454</v>
      </c>
      <c r="J4" s="69" t="s">
        <v>105</v>
      </c>
      <c r="K4" s="69"/>
      <c r="L4" s="527" t="s">
        <v>592</v>
      </c>
      <c r="M4" s="527" t="s">
        <v>593</v>
      </c>
      <c r="N4" s="527" t="s">
        <v>594</v>
      </c>
      <c r="O4" s="527" t="s">
        <v>595</v>
      </c>
      <c r="P4" s="527" t="s">
        <v>596</v>
      </c>
      <c r="Q4" s="527" t="s">
        <v>597</v>
      </c>
      <c r="R4" s="527" t="s">
        <v>598</v>
      </c>
      <c r="S4" s="527" t="s">
        <v>599</v>
      </c>
      <c r="T4" s="527" t="s">
        <v>600</v>
      </c>
      <c r="U4" s="527" t="s">
        <v>601</v>
      </c>
      <c r="V4" s="527" t="s">
        <v>602</v>
      </c>
      <c r="W4" s="527" t="s">
        <v>603</v>
      </c>
      <c r="X4" s="502"/>
    </row>
    <row r="5" spans="1:25" ht="12.6" customHeight="1" thickTop="1">
      <c r="A5" s="933" t="s">
        <v>106</v>
      </c>
      <c r="B5" s="939">
        <v>3</v>
      </c>
      <c r="C5" s="335" t="s">
        <v>17</v>
      </c>
      <c r="D5" s="335" t="s">
        <v>14</v>
      </c>
      <c r="E5" s="336" t="s">
        <v>308</v>
      </c>
      <c r="F5" s="336" t="s">
        <v>18</v>
      </c>
      <c r="G5" s="336" t="s">
        <v>19</v>
      </c>
      <c r="H5" s="334">
        <v>910</v>
      </c>
      <c r="I5" s="882" t="s">
        <v>25</v>
      </c>
      <c r="J5" s="337"/>
      <c r="K5" s="70"/>
      <c r="L5" s="531">
        <v>21317</v>
      </c>
      <c r="M5" s="715">
        <v>15533</v>
      </c>
      <c r="N5" s="531">
        <v>24601</v>
      </c>
      <c r="O5" s="531"/>
      <c r="P5" s="531"/>
      <c r="Q5" s="726"/>
      <c r="R5" s="726"/>
      <c r="S5" s="726"/>
      <c r="T5" s="726"/>
      <c r="U5" s="727"/>
      <c r="V5" s="728"/>
      <c r="W5" s="877"/>
      <c r="X5" s="504"/>
    </row>
    <row r="6" spans="1:25" ht="12.6" customHeight="1">
      <c r="A6" s="933"/>
      <c r="B6" s="940"/>
      <c r="C6" s="335" t="s">
        <v>309</v>
      </c>
      <c r="D6" s="335" t="s">
        <v>14</v>
      </c>
      <c r="E6" s="336" t="s">
        <v>310</v>
      </c>
      <c r="F6" s="336" t="s">
        <v>15</v>
      </c>
      <c r="G6" s="336" t="s">
        <v>306</v>
      </c>
      <c r="H6" s="338">
        <v>910</v>
      </c>
      <c r="I6" s="882" t="s">
        <v>25</v>
      </c>
      <c r="J6" s="337"/>
      <c r="K6" s="70"/>
      <c r="L6" s="578">
        <v>3020</v>
      </c>
      <c r="M6" s="715">
        <v>1811</v>
      </c>
      <c r="N6" s="578">
        <v>2553</v>
      </c>
      <c r="O6" s="578"/>
      <c r="P6" s="531"/>
      <c r="Q6" s="588"/>
      <c r="R6" s="102"/>
      <c r="S6" s="102"/>
      <c r="T6" s="588"/>
      <c r="U6" s="729"/>
      <c r="V6" s="721"/>
      <c r="W6" s="730"/>
      <c r="X6" s="505"/>
    </row>
    <row r="7" spans="1:25" ht="12.6" customHeight="1">
      <c r="A7" s="933"/>
      <c r="B7" s="940"/>
      <c r="C7" s="594" t="s">
        <v>582</v>
      </c>
      <c r="D7" s="335" t="s">
        <v>14</v>
      </c>
      <c r="E7" s="594" t="s">
        <v>586</v>
      </c>
      <c r="F7" s="594" t="s">
        <v>587</v>
      </c>
      <c r="G7" s="594" t="s">
        <v>588</v>
      </c>
      <c r="H7" s="595">
        <v>910</v>
      </c>
      <c r="I7" s="897" t="s">
        <v>25</v>
      </c>
      <c r="J7" s="337"/>
      <c r="K7" s="70"/>
      <c r="L7" s="578">
        <v>20796</v>
      </c>
      <c r="M7" s="715">
        <v>15023</v>
      </c>
      <c r="N7" s="578">
        <v>23535</v>
      </c>
      <c r="O7" s="578"/>
      <c r="P7" s="531"/>
      <c r="Q7" s="102"/>
      <c r="R7" s="102"/>
      <c r="S7" s="102"/>
      <c r="T7" s="102"/>
      <c r="U7" s="729"/>
      <c r="V7" s="721"/>
      <c r="W7" s="731"/>
      <c r="X7" s="505"/>
    </row>
    <row r="8" spans="1:25" ht="12.6" customHeight="1">
      <c r="A8" s="933"/>
      <c r="B8" s="940"/>
      <c r="C8" s="594"/>
      <c r="D8" s="335"/>
      <c r="E8" s="594"/>
      <c r="F8" s="594"/>
      <c r="G8" s="594"/>
      <c r="H8" s="595"/>
      <c r="I8" s="595"/>
      <c r="J8" s="595"/>
      <c r="K8" s="70"/>
      <c r="L8" s="578"/>
      <c r="M8" s="715"/>
      <c r="N8" s="578"/>
      <c r="O8" s="578"/>
      <c r="P8" s="531"/>
      <c r="Q8" s="102"/>
      <c r="R8" s="102"/>
      <c r="S8" s="102"/>
      <c r="T8" s="102"/>
      <c r="U8" s="729"/>
      <c r="V8" s="721"/>
      <c r="W8" s="732"/>
      <c r="X8" s="504"/>
    </row>
    <row r="9" spans="1:25" ht="12.6" customHeight="1">
      <c r="A9" s="933"/>
      <c r="B9" s="941"/>
      <c r="C9" s="90"/>
      <c r="D9" s="592"/>
      <c r="E9" s="90"/>
      <c r="F9" s="90"/>
      <c r="G9" s="90"/>
      <c r="H9" s="593"/>
      <c r="I9" s="593"/>
      <c r="J9" s="593"/>
      <c r="K9" s="74"/>
      <c r="L9" s="528"/>
      <c r="M9" s="528"/>
      <c r="N9" s="528"/>
      <c r="O9" s="528"/>
      <c r="P9" s="528"/>
      <c r="Q9" s="528"/>
      <c r="R9" s="528"/>
      <c r="S9" s="528"/>
      <c r="T9" s="528"/>
      <c r="U9" s="528"/>
      <c r="V9" s="561"/>
      <c r="W9" s="166"/>
      <c r="X9" s="506"/>
    </row>
    <row r="10" spans="1:25" ht="12.6" customHeight="1">
      <c r="A10" s="933"/>
      <c r="B10" s="76"/>
      <c r="C10" s="76"/>
      <c r="D10" s="76"/>
      <c r="E10" s="76"/>
      <c r="F10" s="76"/>
      <c r="G10" s="76"/>
      <c r="H10" s="77">
        <f>SUM(H5:H9)</f>
        <v>2730</v>
      </c>
      <c r="I10" s="78"/>
      <c r="J10" s="934" t="s">
        <v>106</v>
      </c>
      <c r="K10" s="79" t="s">
        <v>107</v>
      </c>
      <c r="L10" s="624">
        <f>SUM(L5:L9)</f>
        <v>45133</v>
      </c>
      <c r="M10" s="624">
        <f>SUM(M5:M9)</f>
        <v>32367</v>
      </c>
      <c r="N10" s="844">
        <f t="shared" ref="N10:W10" si="1">SUM(N5:N9)</f>
        <v>50689</v>
      </c>
      <c r="O10" s="624">
        <f t="shared" si="1"/>
        <v>0</v>
      </c>
      <c r="P10" s="624">
        <f t="shared" si="1"/>
        <v>0</v>
      </c>
      <c r="Q10" s="624">
        <f t="shared" si="1"/>
        <v>0</v>
      </c>
      <c r="R10" s="624">
        <f t="shared" si="1"/>
        <v>0</v>
      </c>
      <c r="S10" s="624">
        <f t="shared" si="1"/>
        <v>0</v>
      </c>
      <c r="T10" s="624">
        <f t="shared" si="1"/>
        <v>0</v>
      </c>
      <c r="U10" s="624">
        <f t="shared" si="1"/>
        <v>0</v>
      </c>
      <c r="V10" s="624">
        <f t="shared" si="1"/>
        <v>0</v>
      </c>
      <c r="W10" s="625">
        <f t="shared" si="1"/>
        <v>0</v>
      </c>
      <c r="X10" s="507"/>
    </row>
    <row r="11" spans="1:25" ht="12.6" customHeight="1">
      <c r="A11" s="933"/>
      <c r="B11" s="80"/>
      <c r="C11" s="80"/>
      <c r="D11" s="80"/>
      <c r="E11" s="80"/>
      <c r="F11" s="80"/>
      <c r="G11" s="80"/>
      <c r="H11" s="80"/>
      <c r="I11" s="81"/>
      <c r="J11" s="935"/>
      <c r="K11" s="82" t="s">
        <v>108</v>
      </c>
      <c r="L11" s="627">
        <f>L10/($H$10*L3)</f>
        <v>0.75146520146520146</v>
      </c>
      <c r="M11" s="627">
        <f t="shared" ref="M11:W11" si="2">M10/($H$10*M3)</f>
        <v>0.79040293040293041</v>
      </c>
      <c r="N11" s="627">
        <f t="shared" si="2"/>
        <v>0.84397269397269392</v>
      </c>
      <c r="O11" s="627" t="e">
        <f t="shared" si="2"/>
        <v>#DIV/0!</v>
      </c>
      <c r="P11" s="627" t="e">
        <f t="shared" si="2"/>
        <v>#DIV/0!</v>
      </c>
      <c r="Q11" s="627" t="e">
        <f t="shared" si="2"/>
        <v>#DIV/0!</v>
      </c>
      <c r="R11" s="627" t="e">
        <f t="shared" si="2"/>
        <v>#DIV/0!</v>
      </c>
      <c r="S11" s="627" t="e">
        <f t="shared" si="2"/>
        <v>#DIV/0!</v>
      </c>
      <c r="T11" s="627" t="e">
        <f t="shared" si="2"/>
        <v>#DIV/0!</v>
      </c>
      <c r="U11" s="627" t="e">
        <f t="shared" si="2"/>
        <v>#DIV/0!</v>
      </c>
      <c r="V11" s="627" t="e">
        <f t="shared" si="2"/>
        <v>#DIV/0!</v>
      </c>
      <c r="W11" s="627" t="e">
        <f t="shared" si="2"/>
        <v>#DIV/0!</v>
      </c>
      <c r="X11" s="508"/>
    </row>
    <row r="12" spans="1:25" s="501" customFormat="1" ht="12.6" customHeight="1">
      <c r="A12" s="933" t="s">
        <v>109</v>
      </c>
      <c r="B12" s="942">
        <v>4</v>
      </c>
      <c r="C12" s="856" t="s">
        <v>26</v>
      </c>
      <c r="D12" s="857" t="s">
        <v>311</v>
      </c>
      <c r="E12" s="341" t="s">
        <v>312</v>
      </c>
      <c r="F12" s="341" t="s">
        <v>313</v>
      </c>
      <c r="G12" s="341" t="s">
        <v>314</v>
      </c>
      <c r="H12" s="858">
        <v>910</v>
      </c>
      <c r="I12" s="859" t="s">
        <v>25</v>
      </c>
      <c r="J12" s="859"/>
      <c r="K12" s="860"/>
      <c r="L12" s="549">
        <v>21082</v>
      </c>
      <c r="M12" s="729">
        <v>15201</v>
      </c>
      <c r="N12" s="861">
        <v>25078</v>
      </c>
      <c r="O12" s="861"/>
      <c r="P12" s="729"/>
      <c r="Q12" s="729"/>
      <c r="R12" s="729"/>
      <c r="S12" s="729"/>
      <c r="T12" s="729"/>
      <c r="U12" s="729"/>
      <c r="V12" s="721"/>
      <c r="W12" s="731"/>
      <c r="X12" s="505"/>
      <c r="Y12" s="862"/>
    </row>
    <row r="13" spans="1:25" ht="12.6" customHeight="1">
      <c r="A13" s="933"/>
      <c r="B13" s="940"/>
      <c r="C13" s="343" t="s">
        <v>23</v>
      </c>
      <c r="D13" s="335" t="s">
        <v>311</v>
      </c>
      <c r="E13" s="344" t="s">
        <v>315</v>
      </c>
      <c r="F13" s="344" t="s">
        <v>313</v>
      </c>
      <c r="G13" s="344" t="s">
        <v>314</v>
      </c>
      <c r="H13" s="345">
        <v>910</v>
      </c>
      <c r="I13" s="881" t="s">
        <v>25</v>
      </c>
      <c r="J13" s="113"/>
      <c r="K13" s="70"/>
      <c r="L13" s="549">
        <v>20751</v>
      </c>
      <c r="M13" s="554">
        <v>12066</v>
      </c>
      <c r="N13" s="545">
        <v>22910</v>
      </c>
      <c r="O13" s="545"/>
      <c r="P13" s="554"/>
      <c r="Q13" s="554"/>
      <c r="R13" s="554"/>
      <c r="S13" s="554"/>
      <c r="T13" s="554"/>
      <c r="U13" s="554"/>
      <c r="V13" s="567"/>
      <c r="W13" s="568"/>
      <c r="X13" s="505"/>
      <c r="Y13" s="850"/>
    </row>
    <row r="14" spans="1:25" ht="12.6" customHeight="1">
      <c r="A14" s="933"/>
      <c r="B14" s="940"/>
      <c r="C14" s="343" t="s">
        <v>27</v>
      </c>
      <c r="D14" s="335" t="s">
        <v>311</v>
      </c>
      <c r="E14" s="344" t="s">
        <v>316</v>
      </c>
      <c r="F14" s="344" t="s">
        <v>24</v>
      </c>
      <c r="G14" s="344" t="s">
        <v>317</v>
      </c>
      <c r="H14" s="345">
        <v>910</v>
      </c>
      <c r="I14" s="881" t="s">
        <v>25</v>
      </c>
      <c r="J14" s="113"/>
      <c r="K14" s="70"/>
      <c r="L14" s="570">
        <v>14965</v>
      </c>
      <c r="M14" s="554">
        <v>11003</v>
      </c>
      <c r="N14" s="545">
        <v>15720</v>
      </c>
      <c r="O14" s="545"/>
      <c r="P14" s="554"/>
      <c r="Q14" s="554"/>
      <c r="R14" s="554"/>
      <c r="S14" s="554"/>
      <c r="T14" s="554"/>
      <c r="U14" s="554"/>
      <c r="V14" s="567"/>
      <c r="W14" s="568"/>
      <c r="X14" s="505"/>
    </row>
    <row r="15" spans="1:25" s="501" customFormat="1" ht="12.6" customHeight="1">
      <c r="A15" s="933"/>
      <c r="B15" s="940"/>
      <c r="C15" s="878" t="s">
        <v>318</v>
      </c>
      <c r="D15" s="879" t="s">
        <v>311</v>
      </c>
      <c r="E15" s="344" t="s">
        <v>319</v>
      </c>
      <c r="F15" s="344" t="s">
        <v>320</v>
      </c>
      <c r="G15" s="344" t="s">
        <v>321</v>
      </c>
      <c r="H15" s="880">
        <v>910</v>
      </c>
      <c r="I15" s="881" t="s">
        <v>25</v>
      </c>
      <c r="J15" s="882" t="s">
        <v>307</v>
      </c>
      <c r="K15" s="860"/>
      <c r="L15" s="570">
        <v>0</v>
      </c>
      <c r="M15" s="729">
        <v>0</v>
      </c>
      <c r="N15" s="861">
        <v>0</v>
      </c>
      <c r="O15" s="861"/>
      <c r="P15" s="729"/>
      <c r="Q15" s="729"/>
      <c r="R15" s="729"/>
      <c r="S15" s="729"/>
      <c r="T15" s="883"/>
      <c r="U15" s="861"/>
      <c r="V15" s="884"/>
      <c r="W15" s="731"/>
      <c r="X15" s="505"/>
    </row>
    <row r="16" spans="1:25" ht="12.6" customHeight="1">
      <c r="A16" s="933"/>
      <c r="B16" s="941"/>
      <c r="C16" s="71"/>
      <c r="D16" s="72"/>
      <c r="E16" s="71"/>
      <c r="F16" s="71"/>
      <c r="G16" s="71"/>
      <c r="H16" s="71"/>
      <c r="I16" s="73"/>
      <c r="J16" s="73"/>
      <c r="K16" s="74"/>
      <c r="L16" s="571"/>
      <c r="M16" s="572"/>
      <c r="N16" s="571"/>
      <c r="O16" s="571"/>
      <c r="P16" s="572"/>
      <c r="Q16" s="572"/>
      <c r="R16" s="572"/>
      <c r="S16" s="572"/>
      <c r="T16" s="572"/>
      <c r="U16" s="572"/>
      <c r="V16" s="561"/>
      <c r="W16" s="562"/>
      <c r="X16" s="506"/>
    </row>
    <row r="17" spans="1:24" ht="12.6" customHeight="1">
      <c r="A17" s="933"/>
      <c r="B17" s="76"/>
      <c r="C17" s="76"/>
      <c r="D17" s="86"/>
      <c r="E17" s="76"/>
      <c r="F17" s="76"/>
      <c r="G17" s="76"/>
      <c r="H17" s="77">
        <f>SUM(H12:H16)</f>
        <v>3640</v>
      </c>
      <c r="I17" s="78"/>
      <c r="J17" s="936" t="s">
        <v>109</v>
      </c>
      <c r="K17" s="79" t="s">
        <v>107</v>
      </c>
      <c r="L17" s="626">
        <f>SUM(L12:L16)</f>
        <v>56798</v>
      </c>
      <c r="M17" s="626">
        <f t="shared" ref="M17:V17" si="3">SUM(M12:M16)</f>
        <v>38270</v>
      </c>
      <c r="N17" s="845">
        <f t="shared" si="3"/>
        <v>63708</v>
      </c>
      <c r="O17" s="626">
        <f t="shared" si="3"/>
        <v>0</v>
      </c>
      <c r="P17" s="626">
        <f t="shared" si="3"/>
        <v>0</v>
      </c>
      <c r="Q17" s="626">
        <f t="shared" si="3"/>
        <v>0</v>
      </c>
      <c r="R17" s="626">
        <f t="shared" si="3"/>
        <v>0</v>
      </c>
      <c r="S17" s="626">
        <f t="shared" si="3"/>
        <v>0</v>
      </c>
      <c r="T17" s="626">
        <f t="shared" si="3"/>
        <v>0</v>
      </c>
      <c r="U17" s="626">
        <f t="shared" si="3"/>
        <v>0</v>
      </c>
      <c r="V17" s="626">
        <f t="shared" si="3"/>
        <v>0</v>
      </c>
      <c r="W17" s="626">
        <f>SUM(W12:W16)</f>
        <v>0</v>
      </c>
      <c r="X17" s="509"/>
    </row>
    <row r="18" spans="1:24" ht="12.6" customHeight="1">
      <c r="A18" s="933"/>
      <c r="B18" s="80"/>
      <c r="C18" s="80"/>
      <c r="D18" s="87"/>
      <c r="E18" s="80"/>
      <c r="F18" s="80"/>
      <c r="G18" s="80"/>
      <c r="H18" s="80"/>
      <c r="I18" s="81"/>
      <c r="J18" s="937"/>
      <c r="K18" s="82" t="s">
        <v>108</v>
      </c>
      <c r="L18" s="529">
        <f>L17/($H$17*L3)</f>
        <v>0.70926573426573425</v>
      </c>
      <c r="M18" s="529">
        <f t="shared" ref="M18:W18" si="4">M17/($H$17*M3)</f>
        <v>0.70091575091575087</v>
      </c>
      <c r="N18" s="529">
        <f t="shared" si="4"/>
        <v>0.79555444555444554</v>
      </c>
      <c r="O18" s="529" t="e">
        <f t="shared" si="4"/>
        <v>#DIV/0!</v>
      </c>
      <c r="P18" s="529" t="e">
        <f t="shared" si="4"/>
        <v>#DIV/0!</v>
      </c>
      <c r="Q18" s="529" t="e">
        <f t="shared" si="4"/>
        <v>#DIV/0!</v>
      </c>
      <c r="R18" s="529" t="e">
        <f t="shared" si="4"/>
        <v>#DIV/0!</v>
      </c>
      <c r="S18" s="529" t="e">
        <f t="shared" si="4"/>
        <v>#DIV/0!</v>
      </c>
      <c r="T18" s="529" t="e">
        <f t="shared" si="4"/>
        <v>#DIV/0!</v>
      </c>
      <c r="U18" s="529" t="e">
        <f t="shared" si="4"/>
        <v>#DIV/0!</v>
      </c>
      <c r="V18" s="529" t="e">
        <f t="shared" si="4"/>
        <v>#DIV/0!</v>
      </c>
      <c r="W18" s="529" t="e">
        <f t="shared" si="4"/>
        <v>#DIV/0!</v>
      </c>
      <c r="X18" s="508"/>
    </row>
    <row r="19" spans="1:24" s="501" customFormat="1" ht="12.6" customHeight="1">
      <c r="A19" s="933" t="s">
        <v>110</v>
      </c>
      <c r="B19" s="942">
        <v>5</v>
      </c>
      <c r="C19" s="856" t="s">
        <v>34</v>
      </c>
      <c r="D19" s="863" t="s">
        <v>322</v>
      </c>
      <c r="E19" s="341" t="s">
        <v>323</v>
      </c>
      <c r="F19" s="341" t="s">
        <v>32</v>
      </c>
      <c r="G19" s="341" t="s">
        <v>33</v>
      </c>
      <c r="H19" s="858">
        <v>910</v>
      </c>
      <c r="I19" s="859" t="s">
        <v>25</v>
      </c>
      <c r="J19" s="864"/>
      <c r="K19" s="865"/>
      <c r="L19" s="866">
        <v>15951</v>
      </c>
      <c r="M19" s="867">
        <v>14279</v>
      </c>
      <c r="N19" s="868">
        <v>23510</v>
      </c>
      <c r="O19" s="868"/>
      <c r="P19" s="867"/>
      <c r="Q19" s="867"/>
      <c r="R19" s="867"/>
      <c r="S19" s="867"/>
      <c r="T19" s="867"/>
      <c r="U19" s="867"/>
      <c r="V19" s="867"/>
      <c r="W19" s="869"/>
      <c r="X19" s="510"/>
    </row>
    <row r="20" spans="1:24" ht="12.6" customHeight="1">
      <c r="A20" s="933"/>
      <c r="B20" s="940"/>
      <c r="C20" s="343" t="s">
        <v>31</v>
      </c>
      <c r="D20" s="335" t="s">
        <v>322</v>
      </c>
      <c r="E20" s="344" t="s">
        <v>324</v>
      </c>
      <c r="F20" s="344" t="s">
        <v>28</v>
      </c>
      <c r="G20" s="344" t="s">
        <v>29</v>
      </c>
      <c r="H20" s="345">
        <v>910</v>
      </c>
      <c r="I20" s="881" t="s">
        <v>25</v>
      </c>
      <c r="J20" s="898"/>
      <c r="K20" s="114"/>
      <c r="L20" s="565">
        <v>8213</v>
      </c>
      <c r="M20" s="733">
        <v>7268</v>
      </c>
      <c r="N20" s="734">
        <v>6272</v>
      </c>
      <c r="O20" s="734"/>
      <c r="P20" s="733"/>
      <c r="Q20" s="733"/>
      <c r="R20" s="733"/>
      <c r="S20" s="733"/>
      <c r="T20" s="733"/>
      <c r="U20" s="734"/>
      <c r="V20" s="734"/>
      <c r="W20" s="735"/>
      <c r="X20" s="511"/>
    </row>
    <row r="21" spans="1:24" ht="12.6" customHeight="1">
      <c r="A21" s="933"/>
      <c r="B21" s="940"/>
      <c r="C21" s="347" t="s">
        <v>325</v>
      </c>
      <c r="D21" s="348" t="s">
        <v>322</v>
      </c>
      <c r="E21" s="346" t="s">
        <v>326</v>
      </c>
      <c r="F21" s="346" t="s">
        <v>24</v>
      </c>
      <c r="G21" s="346" t="s">
        <v>327</v>
      </c>
      <c r="H21" s="345">
        <v>910</v>
      </c>
      <c r="I21" s="899" t="s">
        <v>25</v>
      </c>
      <c r="J21" s="900"/>
      <c r="K21" s="114"/>
      <c r="L21" s="549">
        <v>20771</v>
      </c>
      <c r="M21" s="736">
        <v>14098</v>
      </c>
      <c r="N21" s="737">
        <v>22062</v>
      </c>
      <c r="O21" s="737"/>
      <c r="P21" s="736"/>
      <c r="Q21" s="736"/>
      <c r="R21" s="736"/>
      <c r="S21" s="736"/>
      <c r="T21" s="736"/>
      <c r="U21" s="736"/>
      <c r="V21" s="736"/>
      <c r="W21" s="738"/>
      <c r="X21" s="504"/>
    </row>
    <row r="22" spans="1:24" ht="12.6" customHeight="1">
      <c r="A22" s="933"/>
      <c r="B22" s="940"/>
      <c r="C22" s="350" t="s">
        <v>328</v>
      </c>
      <c r="D22" s="351" t="s">
        <v>322</v>
      </c>
      <c r="E22" s="352" t="s">
        <v>329</v>
      </c>
      <c r="F22" s="352" t="s">
        <v>32</v>
      </c>
      <c r="G22" s="352" t="s">
        <v>33</v>
      </c>
      <c r="H22" s="345">
        <v>910</v>
      </c>
      <c r="I22" s="881" t="s">
        <v>25</v>
      </c>
      <c r="J22" s="900"/>
      <c r="K22" s="114"/>
      <c r="L22" s="566">
        <v>22592</v>
      </c>
      <c r="M22" s="739">
        <v>15368</v>
      </c>
      <c r="N22" s="740">
        <v>24459</v>
      </c>
      <c r="O22" s="740"/>
      <c r="P22" s="739"/>
      <c r="Q22" s="739"/>
      <c r="R22" s="739"/>
      <c r="S22" s="739"/>
      <c r="T22" s="739"/>
      <c r="U22" s="739"/>
      <c r="V22" s="739"/>
      <c r="W22" s="741"/>
      <c r="X22" s="505"/>
    </row>
    <row r="23" spans="1:24" ht="12.6" customHeight="1">
      <c r="A23" s="933"/>
      <c r="B23" s="940"/>
      <c r="C23" s="350" t="s">
        <v>616</v>
      </c>
      <c r="D23" s="351" t="s">
        <v>322</v>
      </c>
      <c r="E23" s="352" t="s">
        <v>617</v>
      </c>
      <c r="F23" s="352" t="s">
        <v>32</v>
      </c>
      <c r="G23" s="352" t="s">
        <v>618</v>
      </c>
      <c r="H23" s="345">
        <v>910</v>
      </c>
      <c r="I23" s="881" t="s">
        <v>38</v>
      </c>
      <c r="J23" s="900"/>
      <c r="K23" s="114"/>
      <c r="L23" s="566">
        <v>21452</v>
      </c>
      <c r="M23" s="739">
        <v>15070</v>
      </c>
      <c r="N23" s="740">
        <v>23842</v>
      </c>
      <c r="O23" s="740"/>
      <c r="P23" s="739"/>
      <c r="Q23" s="739"/>
      <c r="R23" s="739"/>
      <c r="S23" s="739"/>
      <c r="T23" s="739"/>
      <c r="U23" s="739"/>
      <c r="V23" s="739"/>
      <c r="W23" s="741"/>
      <c r="X23" s="505"/>
    </row>
    <row r="24" spans="1:24" ht="12.6" customHeight="1">
      <c r="A24" s="933"/>
      <c r="B24" s="940"/>
      <c r="C24" s="350"/>
      <c r="D24" s="351"/>
      <c r="E24" s="352"/>
      <c r="F24" s="352"/>
      <c r="G24" s="352"/>
      <c r="H24" s="345"/>
      <c r="I24" s="113"/>
      <c r="J24" s="103"/>
      <c r="K24" s="114"/>
      <c r="L24" s="566"/>
      <c r="M24" s="740"/>
      <c r="N24" s="740"/>
      <c r="O24" s="740"/>
      <c r="P24" s="740"/>
      <c r="Q24" s="740"/>
      <c r="R24" s="739"/>
      <c r="S24" s="739"/>
      <c r="T24" s="739"/>
      <c r="U24" s="739"/>
      <c r="V24" s="739"/>
      <c r="W24" s="741"/>
      <c r="X24" s="505"/>
    </row>
    <row r="25" spans="1:24" ht="12.6" customHeight="1">
      <c r="A25" s="933"/>
      <c r="B25" s="941"/>
      <c r="C25" s="71"/>
      <c r="D25" s="72"/>
      <c r="E25" s="71"/>
      <c r="F25" s="71"/>
      <c r="G25" s="71"/>
      <c r="H25" s="71"/>
      <c r="I25" s="73"/>
      <c r="J25" s="88"/>
      <c r="K25" s="120"/>
      <c r="L25" s="569"/>
      <c r="M25" s="561"/>
      <c r="N25" s="560"/>
      <c r="O25" s="560"/>
      <c r="P25" s="561"/>
      <c r="Q25" s="561"/>
      <c r="R25" s="561"/>
      <c r="S25" s="561"/>
      <c r="T25" s="561"/>
      <c r="U25" s="561"/>
      <c r="V25" s="561"/>
      <c r="W25" s="562"/>
      <c r="X25" s="506"/>
    </row>
    <row r="26" spans="1:24" ht="12.6" customHeight="1">
      <c r="A26" s="933"/>
      <c r="B26" s="76"/>
      <c r="C26" s="76"/>
      <c r="D26" s="86"/>
      <c r="E26" s="76"/>
      <c r="F26" s="76"/>
      <c r="G26" s="76"/>
      <c r="H26" s="77">
        <f>SUM(H19:H25)</f>
        <v>4550</v>
      </c>
      <c r="I26" s="78"/>
      <c r="J26" s="938" t="s">
        <v>111</v>
      </c>
      <c r="K26" s="79" t="s">
        <v>107</v>
      </c>
      <c r="L26" s="624">
        <f>SUM(L19:L25)</f>
        <v>88979</v>
      </c>
      <c r="M26" s="624">
        <f t="shared" ref="M26:W26" si="5">SUM(M19:M25)</f>
        <v>66083</v>
      </c>
      <c r="N26" s="844">
        <f t="shared" si="5"/>
        <v>100145</v>
      </c>
      <c r="O26" s="624">
        <f t="shared" si="5"/>
        <v>0</v>
      </c>
      <c r="P26" s="624">
        <f t="shared" si="5"/>
        <v>0</v>
      </c>
      <c r="Q26" s="624">
        <f t="shared" si="5"/>
        <v>0</v>
      </c>
      <c r="R26" s="624">
        <f>SUM(R19:R24)</f>
        <v>0</v>
      </c>
      <c r="S26" s="624">
        <f t="shared" si="5"/>
        <v>0</v>
      </c>
      <c r="T26" s="624">
        <f t="shared" si="5"/>
        <v>0</v>
      </c>
      <c r="U26" s="624">
        <f t="shared" si="5"/>
        <v>0</v>
      </c>
      <c r="V26" s="624">
        <f t="shared" si="5"/>
        <v>0</v>
      </c>
      <c r="W26" s="624">
        <f t="shared" si="5"/>
        <v>0</v>
      </c>
      <c r="X26" s="509"/>
    </row>
    <row r="27" spans="1:24" ht="12.6" customHeight="1">
      <c r="A27" s="933"/>
      <c r="B27" s="80"/>
      <c r="C27" s="80"/>
      <c r="D27" s="87"/>
      <c r="E27" s="80"/>
      <c r="F27" s="80"/>
      <c r="G27" s="80"/>
      <c r="H27" s="80"/>
      <c r="I27" s="81"/>
      <c r="J27" s="937"/>
      <c r="K27" s="82" t="s">
        <v>108</v>
      </c>
      <c r="L27" s="529">
        <f>L26/($H$26*L3)</f>
        <v>0.88890109890109892</v>
      </c>
      <c r="M27" s="529">
        <f t="shared" ref="M27:W27" si="6">M26/($H$26*M3)</f>
        <v>0.96824908424908429</v>
      </c>
      <c r="N27" s="529">
        <f t="shared" si="6"/>
        <v>1.0004495504495505</v>
      </c>
      <c r="O27" s="529" t="e">
        <f t="shared" si="6"/>
        <v>#DIV/0!</v>
      </c>
      <c r="P27" s="529" t="e">
        <f t="shared" si="6"/>
        <v>#DIV/0!</v>
      </c>
      <c r="Q27" s="529" t="e">
        <f t="shared" si="6"/>
        <v>#DIV/0!</v>
      </c>
      <c r="R27" s="529" t="e">
        <f t="shared" si="6"/>
        <v>#DIV/0!</v>
      </c>
      <c r="S27" s="529" t="e">
        <f t="shared" si="6"/>
        <v>#DIV/0!</v>
      </c>
      <c r="T27" s="529" t="e">
        <f t="shared" si="6"/>
        <v>#DIV/0!</v>
      </c>
      <c r="U27" s="529" t="e">
        <f t="shared" si="6"/>
        <v>#DIV/0!</v>
      </c>
      <c r="V27" s="529" t="e">
        <f t="shared" si="6"/>
        <v>#DIV/0!</v>
      </c>
      <c r="W27" s="529" t="e">
        <f t="shared" si="6"/>
        <v>#DIV/0!</v>
      </c>
      <c r="X27" s="508"/>
    </row>
    <row r="28" spans="1:24" s="501" customFormat="1" ht="12.6" customHeight="1">
      <c r="A28" s="933" t="s">
        <v>112</v>
      </c>
      <c r="B28" s="942">
        <v>2</v>
      </c>
      <c r="C28" s="856" t="s">
        <v>36</v>
      </c>
      <c r="D28" s="857" t="s">
        <v>330</v>
      </c>
      <c r="E28" s="341" t="s">
        <v>331</v>
      </c>
      <c r="F28" s="353" t="s">
        <v>332</v>
      </c>
      <c r="G28" s="341" t="s">
        <v>333</v>
      </c>
      <c r="H28" s="858">
        <v>910</v>
      </c>
      <c r="I28" s="859" t="s">
        <v>16</v>
      </c>
      <c r="J28" s="859" t="s">
        <v>334</v>
      </c>
      <c r="K28" s="865"/>
      <c r="L28" s="885">
        <v>0</v>
      </c>
      <c r="M28" s="886">
        <v>0</v>
      </c>
      <c r="N28" s="885">
        <v>0</v>
      </c>
      <c r="O28" s="885"/>
      <c r="P28" s="886"/>
      <c r="Q28" s="886"/>
      <c r="R28" s="886"/>
      <c r="S28" s="886"/>
      <c r="T28" s="885"/>
      <c r="U28" s="885"/>
      <c r="V28" s="885"/>
      <c r="W28" s="887"/>
      <c r="X28" s="510"/>
    </row>
    <row r="29" spans="1:24" ht="12.6" customHeight="1">
      <c r="A29" s="933"/>
      <c r="B29" s="940"/>
      <c r="C29" s="343" t="s">
        <v>335</v>
      </c>
      <c r="D29" s="335" t="s">
        <v>336</v>
      </c>
      <c r="E29" s="344" t="s">
        <v>337</v>
      </c>
      <c r="F29" s="344" t="s">
        <v>15</v>
      </c>
      <c r="G29" s="344" t="s">
        <v>338</v>
      </c>
      <c r="H29" s="345">
        <v>910</v>
      </c>
      <c r="I29" s="881" t="s">
        <v>25</v>
      </c>
      <c r="J29" s="113" t="s">
        <v>339</v>
      </c>
      <c r="K29" s="114"/>
      <c r="L29" s="543">
        <v>8420</v>
      </c>
      <c r="M29" s="558">
        <v>6820</v>
      </c>
      <c r="N29" s="543">
        <v>9833</v>
      </c>
      <c r="O29" s="543"/>
      <c r="P29" s="558"/>
      <c r="Q29" s="558"/>
      <c r="R29" s="558"/>
      <c r="S29" s="558"/>
      <c r="T29" s="558"/>
      <c r="U29" s="558"/>
      <c r="V29" s="558"/>
      <c r="W29" s="559"/>
      <c r="X29" s="512"/>
    </row>
    <row r="30" spans="1:24" ht="12.6" customHeight="1">
      <c r="A30" s="933"/>
      <c r="B30" s="941"/>
      <c r="C30" s="71"/>
      <c r="D30" s="72"/>
      <c r="E30" s="71"/>
      <c r="F30" s="71"/>
      <c r="G30" s="71"/>
      <c r="H30" s="71"/>
      <c r="I30" s="73"/>
      <c r="J30" s="89"/>
      <c r="K30" s="120"/>
      <c r="L30" s="560"/>
      <c r="M30" s="561"/>
      <c r="N30" s="560"/>
      <c r="O30" s="560"/>
      <c r="P30" s="561"/>
      <c r="Q30" s="561"/>
      <c r="R30" s="561"/>
      <c r="S30" s="561"/>
      <c r="T30" s="561"/>
      <c r="U30" s="561"/>
      <c r="V30" s="561"/>
      <c r="W30" s="562"/>
      <c r="X30" s="506"/>
    </row>
    <row r="31" spans="1:24" ht="12.6" customHeight="1">
      <c r="A31" s="933"/>
      <c r="B31" s="76"/>
      <c r="C31" s="76"/>
      <c r="D31" s="86"/>
      <c r="E31" s="76"/>
      <c r="F31" s="76"/>
      <c r="G31" s="76"/>
      <c r="H31" s="77">
        <f>SUM(H28:H30)</f>
        <v>1820</v>
      </c>
      <c r="I31" s="78"/>
      <c r="J31" s="938" t="s">
        <v>113</v>
      </c>
      <c r="K31" s="79" t="s">
        <v>107</v>
      </c>
      <c r="L31" s="626">
        <f>SUM(L28:L30)</f>
        <v>8420</v>
      </c>
      <c r="M31" s="626">
        <f t="shared" ref="M31:W31" si="7">SUM(M28:M30)</f>
        <v>6820</v>
      </c>
      <c r="N31" s="845">
        <f t="shared" si="7"/>
        <v>9833</v>
      </c>
      <c r="O31" s="626">
        <f t="shared" si="7"/>
        <v>0</v>
      </c>
      <c r="P31" s="626">
        <f t="shared" si="7"/>
        <v>0</v>
      </c>
      <c r="Q31" s="626">
        <f t="shared" si="7"/>
        <v>0</v>
      </c>
      <c r="R31" s="626">
        <f t="shared" si="7"/>
        <v>0</v>
      </c>
      <c r="S31" s="626">
        <f t="shared" si="7"/>
        <v>0</v>
      </c>
      <c r="T31" s="626">
        <f t="shared" si="7"/>
        <v>0</v>
      </c>
      <c r="U31" s="626">
        <f t="shared" si="7"/>
        <v>0</v>
      </c>
      <c r="V31" s="626">
        <f t="shared" si="7"/>
        <v>0</v>
      </c>
      <c r="W31" s="626">
        <f t="shared" si="7"/>
        <v>0</v>
      </c>
      <c r="X31" s="511"/>
    </row>
    <row r="32" spans="1:24" ht="12.6" customHeight="1">
      <c r="A32" s="933"/>
      <c r="B32" s="80"/>
      <c r="C32" s="80"/>
      <c r="D32" s="87"/>
      <c r="E32" s="80"/>
      <c r="F32" s="80"/>
      <c r="G32" s="80"/>
      <c r="H32" s="80"/>
      <c r="I32" s="81"/>
      <c r="J32" s="937"/>
      <c r="K32" s="82" t="s">
        <v>108</v>
      </c>
      <c r="L32" s="888">
        <f>L31/($H$31*L3)</f>
        <v>0.2102897102897103</v>
      </c>
      <c r="M32" s="529">
        <f t="shared" ref="M32:W32" si="8">M31/($H$31*M3)</f>
        <v>0.24981684981684982</v>
      </c>
      <c r="N32" s="529">
        <f t="shared" si="8"/>
        <v>0.24557942057942059</v>
      </c>
      <c r="O32" s="529" t="e">
        <f t="shared" si="8"/>
        <v>#DIV/0!</v>
      </c>
      <c r="P32" s="529" t="e">
        <f t="shared" si="8"/>
        <v>#DIV/0!</v>
      </c>
      <c r="Q32" s="529" t="e">
        <f t="shared" si="8"/>
        <v>#DIV/0!</v>
      </c>
      <c r="R32" s="529" t="e">
        <f t="shared" si="8"/>
        <v>#DIV/0!</v>
      </c>
      <c r="S32" s="529" t="e">
        <f t="shared" si="8"/>
        <v>#DIV/0!</v>
      </c>
      <c r="T32" s="529" t="e">
        <f t="shared" si="8"/>
        <v>#DIV/0!</v>
      </c>
      <c r="U32" s="529" t="e">
        <f t="shared" si="8"/>
        <v>#DIV/0!</v>
      </c>
      <c r="V32" s="529" t="e">
        <f t="shared" si="8"/>
        <v>#DIV/0!</v>
      </c>
      <c r="W32" s="529" t="e">
        <f t="shared" si="8"/>
        <v>#DIV/0!</v>
      </c>
      <c r="X32" s="508"/>
    </row>
    <row r="33" spans="1:25" ht="12.6" customHeight="1">
      <c r="A33" s="933" t="s">
        <v>114</v>
      </c>
      <c r="B33" s="942">
        <v>4</v>
      </c>
      <c r="C33" s="354" t="s">
        <v>340</v>
      </c>
      <c r="D33" s="355" t="s">
        <v>341</v>
      </c>
      <c r="E33" s="341" t="s">
        <v>342</v>
      </c>
      <c r="F33" s="341" t="s">
        <v>343</v>
      </c>
      <c r="G33" s="341" t="s">
        <v>344</v>
      </c>
      <c r="H33" s="342">
        <v>490</v>
      </c>
      <c r="I33" s="61" t="s">
        <v>345</v>
      </c>
      <c r="J33" s="582"/>
      <c r="K33" s="583"/>
      <c r="L33" s="885">
        <v>0</v>
      </c>
      <c r="M33" s="542">
        <v>0</v>
      </c>
      <c r="N33" s="542">
        <v>0</v>
      </c>
      <c r="O33" s="542"/>
      <c r="P33" s="556"/>
      <c r="Q33" s="556"/>
      <c r="R33" s="556"/>
      <c r="S33" s="556"/>
      <c r="T33" s="556"/>
      <c r="U33" s="542"/>
      <c r="V33" s="542"/>
      <c r="W33" s="563"/>
      <c r="X33" s="510"/>
    </row>
    <row r="34" spans="1:25" ht="12.6" customHeight="1">
      <c r="A34" s="933"/>
      <c r="B34" s="940"/>
      <c r="C34" s="148" t="s">
        <v>346</v>
      </c>
      <c r="D34" s="356" t="s">
        <v>347</v>
      </c>
      <c r="E34" s="344" t="s">
        <v>348</v>
      </c>
      <c r="F34" s="344" t="s">
        <v>343</v>
      </c>
      <c r="G34" s="344" t="s">
        <v>349</v>
      </c>
      <c r="H34" s="345">
        <v>490</v>
      </c>
      <c r="I34" s="113" t="s">
        <v>345</v>
      </c>
      <c r="J34" s="85"/>
      <c r="K34" s="584"/>
      <c r="L34" s="889">
        <v>0</v>
      </c>
      <c r="M34" s="576">
        <v>0</v>
      </c>
      <c r="N34" s="576">
        <v>0</v>
      </c>
      <c r="O34" s="576"/>
      <c r="P34" s="551"/>
      <c r="Q34" s="551"/>
      <c r="R34" s="551"/>
      <c r="S34" s="551"/>
      <c r="T34" s="551"/>
      <c r="U34" s="576"/>
      <c r="V34" s="576"/>
      <c r="W34" s="564"/>
      <c r="X34" s="504"/>
    </row>
    <row r="35" spans="1:25" s="501" customFormat="1" ht="12.6" customHeight="1">
      <c r="A35" s="933"/>
      <c r="B35" s="940"/>
      <c r="C35" s="929" t="s">
        <v>575</v>
      </c>
      <c r="D35" s="930" t="s">
        <v>576</v>
      </c>
      <c r="E35" s="344" t="s">
        <v>577</v>
      </c>
      <c r="F35" s="344" t="s">
        <v>578</v>
      </c>
      <c r="G35" s="344" t="s">
        <v>579</v>
      </c>
      <c r="H35" s="880">
        <v>490</v>
      </c>
      <c r="I35" s="881" t="s">
        <v>345</v>
      </c>
      <c r="J35" s="907"/>
      <c r="K35" s="897"/>
      <c r="L35" s="531">
        <v>14010</v>
      </c>
      <c r="M35" s="931">
        <v>9620</v>
      </c>
      <c r="N35" s="728">
        <v>15035</v>
      </c>
      <c r="O35" s="728"/>
      <c r="P35" s="931"/>
      <c r="Q35" s="931"/>
      <c r="R35" s="931"/>
      <c r="S35" s="728"/>
      <c r="T35" s="728"/>
      <c r="U35" s="728"/>
      <c r="V35" s="728"/>
      <c r="W35" s="932"/>
      <c r="X35" s="504"/>
    </row>
    <row r="36" spans="1:25" ht="12.6" customHeight="1">
      <c r="A36" s="933"/>
      <c r="B36" s="940"/>
      <c r="C36" s="596"/>
      <c r="D36" s="597"/>
      <c r="E36" s="598"/>
      <c r="F36" s="598"/>
      <c r="G36" s="598"/>
      <c r="H36" s="359"/>
      <c r="I36" s="349"/>
      <c r="J36" s="599"/>
      <c r="K36" s="600"/>
      <c r="L36" s="566"/>
      <c r="M36" s="577"/>
      <c r="N36" s="577"/>
      <c r="O36" s="577"/>
      <c r="P36" s="577"/>
      <c r="Q36" s="577"/>
      <c r="R36" s="567"/>
      <c r="S36" s="567"/>
      <c r="T36" s="567"/>
      <c r="U36" s="567"/>
      <c r="V36" s="567"/>
      <c r="W36" s="601"/>
      <c r="X36" s="505"/>
    </row>
    <row r="37" spans="1:25" ht="12.6" customHeight="1">
      <c r="A37" s="933"/>
      <c r="B37" s="602"/>
      <c r="C37" s="603"/>
      <c r="D37" s="604"/>
      <c r="E37" s="603"/>
      <c r="F37" s="603"/>
      <c r="G37" s="603"/>
      <c r="H37" s="605">
        <f>SUM(H33:H36)</f>
        <v>1470</v>
      </c>
      <c r="I37" s="590"/>
      <c r="J37" s="936" t="s">
        <v>115</v>
      </c>
      <c r="K37" s="606" t="s">
        <v>107</v>
      </c>
      <c r="L37" s="631">
        <f t="shared" ref="L37:W37" si="9">SUM(L33:L36)</f>
        <v>14010</v>
      </c>
      <c r="M37" s="631">
        <f t="shared" si="9"/>
        <v>9620</v>
      </c>
      <c r="N37" s="846">
        <f t="shared" si="9"/>
        <v>15035</v>
      </c>
      <c r="O37" s="631">
        <f t="shared" si="9"/>
        <v>0</v>
      </c>
      <c r="P37" s="631">
        <f t="shared" si="9"/>
        <v>0</v>
      </c>
      <c r="Q37" s="631">
        <f t="shared" si="9"/>
        <v>0</v>
      </c>
      <c r="R37" s="631">
        <f t="shared" si="9"/>
        <v>0</v>
      </c>
      <c r="S37" s="631">
        <f t="shared" si="9"/>
        <v>0</v>
      </c>
      <c r="T37" s="631">
        <f t="shared" si="9"/>
        <v>0</v>
      </c>
      <c r="U37" s="631">
        <f t="shared" si="9"/>
        <v>0</v>
      </c>
      <c r="V37" s="631">
        <f t="shared" si="9"/>
        <v>0</v>
      </c>
      <c r="W37" s="631">
        <f t="shared" si="9"/>
        <v>0</v>
      </c>
      <c r="X37" s="507"/>
    </row>
    <row r="38" spans="1:25" s="501" customFormat="1" ht="12.6" customHeight="1">
      <c r="A38" s="933"/>
      <c r="B38" s="607"/>
      <c r="C38" s="585"/>
      <c r="D38" s="586"/>
      <c r="E38" s="585"/>
      <c r="F38" s="585"/>
      <c r="G38" s="585"/>
      <c r="H38" s="585"/>
      <c r="I38" s="587"/>
      <c r="J38" s="937"/>
      <c r="K38" s="82" t="s">
        <v>108</v>
      </c>
      <c r="L38" s="529">
        <f t="shared" ref="L38:W38" si="10">L37/($H$37*L3)</f>
        <v>0.43320964749536178</v>
      </c>
      <c r="M38" s="529">
        <f t="shared" si="10"/>
        <v>0.43628117913832198</v>
      </c>
      <c r="N38" s="529">
        <f t="shared" si="10"/>
        <v>0.46490414347557207</v>
      </c>
      <c r="O38" s="529" t="e">
        <f t="shared" si="10"/>
        <v>#DIV/0!</v>
      </c>
      <c r="P38" s="529" t="e">
        <f t="shared" si="10"/>
        <v>#DIV/0!</v>
      </c>
      <c r="Q38" s="529" t="e">
        <f t="shared" si="10"/>
        <v>#DIV/0!</v>
      </c>
      <c r="R38" s="529" t="e">
        <f t="shared" si="10"/>
        <v>#DIV/0!</v>
      </c>
      <c r="S38" s="529" t="e">
        <f t="shared" si="10"/>
        <v>#DIV/0!</v>
      </c>
      <c r="T38" s="529" t="e">
        <f t="shared" si="10"/>
        <v>#DIV/0!</v>
      </c>
      <c r="U38" s="529" t="e">
        <f t="shared" si="10"/>
        <v>#DIV/0!</v>
      </c>
      <c r="V38" s="529" t="e">
        <f t="shared" si="10"/>
        <v>#DIV/0!</v>
      </c>
      <c r="W38" s="529" t="e">
        <f t="shared" si="10"/>
        <v>#DIV/0!</v>
      </c>
      <c r="X38" s="508"/>
    </row>
    <row r="39" spans="1:25" s="871" customFormat="1" ht="12" customHeight="1">
      <c r="A39" s="953" t="s">
        <v>121</v>
      </c>
      <c r="B39" s="948">
        <v>2</v>
      </c>
      <c r="C39" s="856" t="s">
        <v>456</v>
      </c>
      <c r="D39" s="857" t="s">
        <v>350</v>
      </c>
      <c r="E39" s="341" t="s">
        <v>351</v>
      </c>
      <c r="F39" s="341" t="s">
        <v>39</v>
      </c>
      <c r="G39" s="341" t="s">
        <v>352</v>
      </c>
      <c r="H39" s="858">
        <v>910</v>
      </c>
      <c r="I39" s="859" t="s">
        <v>25</v>
      </c>
      <c r="J39" s="859"/>
      <c r="K39" s="865"/>
      <c r="L39" s="530">
        <v>23009</v>
      </c>
      <c r="M39" s="106">
        <v>14812</v>
      </c>
      <c r="N39" s="530">
        <v>27047</v>
      </c>
      <c r="O39" s="530"/>
      <c r="P39" s="106"/>
      <c r="Q39" s="106"/>
      <c r="R39" s="106"/>
      <c r="S39" s="106"/>
      <c r="T39" s="106"/>
      <c r="U39" s="106"/>
      <c r="V39" s="106"/>
      <c r="W39" s="107"/>
      <c r="X39" s="513"/>
      <c r="Y39" s="870"/>
    </row>
    <row r="40" spans="1:25" s="109" customFormat="1" ht="12.6" customHeight="1">
      <c r="A40" s="946"/>
      <c r="B40" s="949"/>
      <c r="C40" s="343" t="s">
        <v>457</v>
      </c>
      <c r="D40" s="335" t="s">
        <v>350</v>
      </c>
      <c r="E40" s="344" t="s">
        <v>353</v>
      </c>
      <c r="F40" s="344" t="s">
        <v>39</v>
      </c>
      <c r="G40" s="344" t="s">
        <v>354</v>
      </c>
      <c r="H40" s="345">
        <v>910</v>
      </c>
      <c r="I40" s="881" t="s">
        <v>25</v>
      </c>
      <c r="J40" s="113"/>
      <c r="K40" s="114"/>
      <c r="L40" s="531">
        <v>25628</v>
      </c>
      <c r="M40" s="115">
        <v>20299</v>
      </c>
      <c r="N40" s="531">
        <v>30750</v>
      </c>
      <c r="O40" s="531"/>
      <c r="P40" s="115"/>
      <c r="Q40" s="115"/>
      <c r="R40" s="115"/>
      <c r="S40" s="115"/>
      <c r="T40" s="115"/>
      <c r="U40" s="115"/>
      <c r="V40" s="115"/>
      <c r="W40" s="116"/>
      <c r="X40" s="514"/>
      <c r="Y40" s="108"/>
    </row>
    <row r="41" spans="1:25" s="109" customFormat="1" ht="12.6" customHeight="1">
      <c r="A41" s="946"/>
      <c r="B41" s="950"/>
      <c r="C41" s="62"/>
      <c r="D41" s="117"/>
      <c r="E41" s="117"/>
      <c r="F41" s="117"/>
      <c r="G41" s="118"/>
      <c r="H41" s="119"/>
      <c r="I41" s="119"/>
      <c r="J41" s="63"/>
      <c r="K41" s="120"/>
      <c r="L41" s="532"/>
      <c r="M41" s="121"/>
      <c r="N41" s="532"/>
      <c r="O41" s="532"/>
      <c r="P41" s="121"/>
      <c r="Q41" s="121"/>
      <c r="R41" s="121"/>
      <c r="S41" s="121"/>
      <c r="T41" s="121"/>
      <c r="U41" s="121"/>
      <c r="V41" s="121"/>
      <c r="W41" s="122"/>
      <c r="X41" s="515"/>
      <c r="Y41" s="108"/>
    </row>
    <row r="42" spans="1:25" s="109" customFormat="1" ht="12.6" customHeight="1">
      <c r="A42" s="946"/>
      <c r="B42" s="123"/>
      <c r="C42" s="124"/>
      <c r="D42" s="123"/>
      <c r="E42" s="123"/>
      <c r="F42" s="123"/>
      <c r="G42" s="123"/>
      <c r="H42" s="125">
        <f>SUM(H39:H41)</f>
        <v>1820</v>
      </c>
      <c r="I42" s="123"/>
      <c r="J42" s="951" t="s">
        <v>122</v>
      </c>
      <c r="K42" s="126" t="s">
        <v>107</v>
      </c>
      <c r="L42" s="628">
        <f>SUM(L39:L41)</f>
        <v>48637</v>
      </c>
      <c r="M42" s="629">
        <f t="shared" ref="M42:W42" si="11">SUM(M39:M41)</f>
        <v>35111</v>
      </c>
      <c r="N42" s="847">
        <f t="shared" si="11"/>
        <v>57797</v>
      </c>
      <c r="O42" s="629">
        <f t="shared" si="11"/>
        <v>0</v>
      </c>
      <c r="P42" s="629">
        <f t="shared" si="11"/>
        <v>0</v>
      </c>
      <c r="Q42" s="629">
        <f t="shared" si="11"/>
        <v>0</v>
      </c>
      <c r="R42" s="629">
        <f t="shared" si="11"/>
        <v>0</v>
      </c>
      <c r="S42" s="629">
        <f t="shared" si="11"/>
        <v>0</v>
      </c>
      <c r="T42" s="629">
        <f t="shared" si="11"/>
        <v>0</v>
      </c>
      <c r="U42" s="629">
        <f t="shared" si="11"/>
        <v>0</v>
      </c>
      <c r="V42" s="629">
        <f t="shared" si="11"/>
        <v>0</v>
      </c>
      <c r="W42" s="629">
        <f t="shared" si="11"/>
        <v>0</v>
      </c>
      <c r="X42" s="516"/>
    </row>
    <row r="43" spans="1:25" s="109" customFormat="1" ht="12.6" customHeight="1">
      <c r="A43" s="946"/>
      <c r="B43" s="123"/>
      <c r="C43" s="139"/>
      <c r="D43" s="138"/>
      <c r="E43" s="138"/>
      <c r="F43" s="138"/>
      <c r="G43" s="138"/>
      <c r="H43" s="138"/>
      <c r="I43" s="138"/>
      <c r="J43" s="951"/>
      <c r="K43" s="127" t="s">
        <v>108</v>
      </c>
      <c r="L43" s="537">
        <f t="shared" ref="L43:W43" si="12">L42/($H$42*L2)</f>
        <v>1.2147102897102897</v>
      </c>
      <c r="M43" s="537">
        <f t="shared" si="12"/>
        <v>1.2861172161172161</v>
      </c>
      <c r="N43" s="537">
        <f t="shared" si="12"/>
        <v>1.4434815184815184</v>
      </c>
      <c r="O43" s="537" t="e">
        <f t="shared" si="12"/>
        <v>#DIV/0!</v>
      </c>
      <c r="P43" s="537" t="e">
        <f t="shared" si="12"/>
        <v>#DIV/0!</v>
      </c>
      <c r="Q43" s="537" t="e">
        <f t="shared" si="12"/>
        <v>#DIV/0!</v>
      </c>
      <c r="R43" s="537" t="e">
        <f t="shared" si="12"/>
        <v>#DIV/0!</v>
      </c>
      <c r="S43" s="537" t="e">
        <f t="shared" si="12"/>
        <v>#DIV/0!</v>
      </c>
      <c r="T43" s="537" t="e">
        <f t="shared" si="12"/>
        <v>#DIV/0!</v>
      </c>
      <c r="U43" s="537" t="e">
        <f t="shared" si="12"/>
        <v>#DIV/0!</v>
      </c>
      <c r="V43" s="537" t="e">
        <f t="shared" si="12"/>
        <v>#DIV/0!</v>
      </c>
      <c r="W43" s="537" t="e">
        <f t="shared" si="12"/>
        <v>#DIV/0!</v>
      </c>
      <c r="X43" s="517"/>
    </row>
    <row r="44" spans="1:25" s="871" customFormat="1" ht="12.6" customHeight="1">
      <c r="A44" s="953" t="s">
        <v>123</v>
      </c>
      <c r="B44" s="948">
        <v>3</v>
      </c>
      <c r="C44" s="856" t="s">
        <v>355</v>
      </c>
      <c r="D44" s="857" t="s">
        <v>356</v>
      </c>
      <c r="E44" s="872" t="s">
        <v>357</v>
      </c>
      <c r="F44" s="872" t="s">
        <v>39</v>
      </c>
      <c r="G44" s="872" t="s">
        <v>358</v>
      </c>
      <c r="H44" s="858">
        <v>910</v>
      </c>
      <c r="I44" s="875" t="s">
        <v>25</v>
      </c>
      <c r="J44" s="859"/>
      <c r="K44" s="865"/>
      <c r="L44" s="140">
        <v>24069</v>
      </c>
      <c r="M44" s="106">
        <v>15339</v>
      </c>
      <c r="N44" s="140">
        <v>31366</v>
      </c>
      <c r="O44" s="140"/>
      <c r="P44" s="106"/>
      <c r="Q44" s="106"/>
      <c r="R44" s="106"/>
      <c r="S44" s="106"/>
      <c r="T44" s="106"/>
      <c r="U44" s="106"/>
      <c r="V44" s="106"/>
      <c r="W44" s="107"/>
      <c r="X44" s="513"/>
      <c r="Y44" s="870"/>
    </row>
    <row r="45" spans="1:25" s="109" customFormat="1" ht="12.6" customHeight="1">
      <c r="A45" s="946"/>
      <c r="B45" s="949"/>
      <c r="C45" s="347" t="s">
        <v>359</v>
      </c>
      <c r="D45" s="348" t="s">
        <v>356</v>
      </c>
      <c r="E45" s="358" t="s">
        <v>360</v>
      </c>
      <c r="F45" s="358" t="s">
        <v>39</v>
      </c>
      <c r="G45" s="358" t="s">
        <v>358</v>
      </c>
      <c r="H45" s="359">
        <v>910</v>
      </c>
      <c r="I45" s="901" t="s">
        <v>25</v>
      </c>
      <c r="J45" s="113"/>
      <c r="K45" s="114"/>
      <c r="L45" s="129">
        <v>20892</v>
      </c>
      <c r="M45" s="115">
        <v>15143</v>
      </c>
      <c r="N45" s="129">
        <v>24112</v>
      </c>
      <c r="O45" s="129"/>
      <c r="P45" s="129"/>
      <c r="Q45" s="129"/>
      <c r="R45" s="129"/>
      <c r="S45" s="129"/>
      <c r="T45" s="854"/>
      <c r="U45" s="129"/>
      <c r="V45" s="129"/>
      <c r="W45" s="130"/>
      <c r="X45" s="518"/>
      <c r="Y45" s="108"/>
    </row>
    <row r="46" spans="1:25" s="109" customFormat="1" ht="12.6" customHeight="1">
      <c r="A46" s="954"/>
      <c r="B46" s="949"/>
      <c r="C46" s="350" t="s">
        <v>361</v>
      </c>
      <c r="D46" s="335" t="s">
        <v>362</v>
      </c>
      <c r="E46" s="360" t="s">
        <v>363</v>
      </c>
      <c r="F46" s="360" t="s">
        <v>32</v>
      </c>
      <c r="G46" s="361" t="s">
        <v>364</v>
      </c>
      <c r="H46" s="362">
        <v>910</v>
      </c>
      <c r="I46" s="902" t="s">
        <v>25</v>
      </c>
      <c r="J46" s="113"/>
      <c r="K46" s="114"/>
      <c r="L46" s="129">
        <v>24294</v>
      </c>
      <c r="M46" s="115">
        <v>17557</v>
      </c>
      <c r="N46" s="129">
        <v>30516</v>
      </c>
      <c r="O46" s="129"/>
      <c r="P46" s="129"/>
      <c r="Q46" s="129"/>
      <c r="R46" s="129"/>
      <c r="S46" s="129"/>
      <c r="T46" s="129"/>
      <c r="U46" s="129"/>
      <c r="V46" s="129"/>
      <c r="W46" s="130"/>
      <c r="X46" s="518"/>
      <c r="Y46" s="108"/>
    </row>
    <row r="47" spans="1:25" s="109" customFormat="1" ht="12.6" customHeight="1">
      <c r="A47" s="946"/>
      <c r="B47" s="949"/>
      <c r="C47" s="110"/>
      <c r="D47" s="111"/>
      <c r="E47" s="111"/>
      <c r="F47" s="111"/>
      <c r="G47" s="131"/>
      <c r="H47" s="112"/>
      <c r="I47" s="112"/>
      <c r="J47" s="113"/>
      <c r="K47" s="114"/>
      <c r="L47" s="531"/>
      <c r="M47" s="115"/>
      <c r="N47" s="531"/>
      <c r="O47" s="531"/>
      <c r="P47" s="129"/>
      <c r="Q47" s="129"/>
      <c r="R47" s="129"/>
      <c r="S47" s="129"/>
      <c r="T47" s="129"/>
      <c r="U47" s="129"/>
      <c r="V47" s="129"/>
      <c r="W47" s="130"/>
      <c r="X47" s="518"/>
      <c r="Y47" s="108"/>
    </row>
    <row r="48" spans="1:25" s="109" customFormat="1" ht="12.6" customHeight="1">
      <c r="A48" s="946"/>
      <c r="B48" s="950"/>
      <c r="C48" s="62"/>
      <c r="D48" s="117"/>
      <c r="E48" s="117"/>
      <c r="F48" s="117"/>
      <c r="G48" s="132"/>
      <c r="H48" s="119"/>
      <c r="I48" s="119"/>
      <c r="J48" s="63"/>
      <c r="K48" s="120"/>
      <c r="L48" s="532"/>
      <c r="M48" s="121"/>
      <c r="N48" s="532"/>
      <c r="O48" s="532"/>
      <c r="P48" s="133"/>
      <c r="Q48" s="133"/>
      <c r="R48" s="133"/>
      <c r="S48" s="133"/>
      <c r="T48" s="133"/>
      <c r="U48" s="133"/>
      <c r="V48" s="133"/>
      <c r="W48" s="134"/>
      <c r="X48" s="519"/>
      <c r="Y48" s="108"/>
    </row>
    <row r="49" spans="1:25" s="109" customFormat="1" ht="12.6" customHeight="1">
      <c r="A49" s="946"/>
      <c r="B49" s="123"/>
      <c r="C49" s="135"/>
      <c r="D49" s="123"/>
      <c r="E49" s="123"/>
      <c r="F49" s="123"/>
      <c r="G49" s="123"/>
      <c r="H49" s="125">
        <f>SUM(H44:H48)</f>
        <v>2730</v>
      </c>
      <c r="I49" s="123"/>
      <c r="J49" s="951" t="s">
        <v>124</v>
      </c>
      <c r="K49" s="79" t="s">
        <v>107</v>
      </c>
      <c r="L49" s="630">
        <f>SUM(L44:L48)</f>
        <v>69255</v>
      </c>
      <c r="M49" s="630">
        <f t="shared" ref="M49:W49" si="13">SUM(M44:M48)</f>
        <v>48039</v>
      </c>
      <c r="N49" s="848">
        <f t="shared" si="13"/>
        <v>85994</v>
      </c>
      <c r="O49" s="630">
        <f t="shared" si="13"/>
        <v>0</v>
      </c>
      <c r="P49" s="630">
        <f t="shared" si="13"/>
        <v>0</v>
      </c>
      <c r="Q49" s="630">
        <f t="shared" si="13"/>
        <v>0</v>
      </c>
      <c r="R49" s="630">
        <f t="shared" si="13"/>
        <v>0</v>
      </c>
      <c r="S49" s="630">
        <f t="shared" si="13"/>
        <v>0</v>
      </c>
      <c r="T49" s="630">
        <f t="shared" si="13"/>
        <v>0</v>
      </c>
      <c r="U49" s="630">
        <f t="shared" si="13"/>
        <v>0</v>
      </c>
      <c r="V49" s="630">
        <f t="shared" si="13"/>
        <v>0</v>
      </c>
      <c r="W49" s="630">
        <f t="shared" si="13"/>
        <v>0</v>
      </c>
      <c r="X49" s="516"/>
    </row>
    <row r="50" spans="1:25" s="109" customFormat="1" ht="12.6" customHeight="1">
      <c r="A50" s="947"/>
      <c r="B50" s="123"/>
      <c r="C50" s="135"/>
      <c r="D50" s="123"/>
      <c r="E50" s="123"/>
      <c r="F50" s="123"/>
      <c r="G50" s="123"/>
      <c r="H50" s="123"/>
      <c r="I50" s="123"/>
      <c r="J50" s="951"/>
      <c r="K50" s="104" t="s">
        <v>108</v>
      </c>
      <c r="L50" s="534">
        <f t="shared" ref="L50:W50" si="14">L49/($H$49*L2)</f>
        <v>1.1530969030969032</v>
      </c>
      <c r="M50" s="534">
        <f t="shared" si="14"/>
        <v>1.173113553113553</v>
      </c>
      <c r="N50" s="534">
        <f t="shared" si="14"/>
        <v>1.4318015318015318</v>
      </c>
      <c r="O50" s="534" t="e">
        <f t="shared" si="14"/>
        <v>#DIV/0!</v>
      </c>
      <c r="P50" s="534" t="e">
        <f t="shared" si="14"/>
        <v>#DIV/0!</v>
      </c>
      <c r="Q50" s="534" t="e">
        <f t="shared" si="14"/>
        <v>#DIV/0!</v>
      </c>
      <c r="R50" s="534" t="e">
        <f t="shared" si="14"/>
        <v>#DIV/0!</v>
      </c>
      <c r="S50" s="534" t="e">
        <f t="shared" si="14"/>
        <v>#DIV/0!</v>
      </c>
      <c r="T50" s="534" t="e">
        <f t="shared" si="14"/>
        <v>#DIV/0!</v>
      </c>
      <c r="U50" s="534" t="e">
        <f t="shared" si="14"/>
        <v>#DIV/0!</v>
      </c>
      <c r="V50" s="534" t="e">
        <f t="shared" si="14"/>
        <v>#DIV/0!</v>
      </c>
      <c r="W50" s="534" t="e">
        <f t="shared" si="14"/>
        <v>#DIV/0!</v>
      </c>
      <c r="X50" s="517"/>
    </row>
    <row r="51" spans="1:25" s="109" customFormat="1" ht="12.6" customHeight="1">
      <c r="A51" s="946" t="s">
        <v>125</v>
      </c>
      <c r="B51" s="948">
        <v>2</v>
      </c>
      <c r="C51" s="354" t="s">
        <v>41</v>
      </c>
      <c r="D51" s="355" t="s">
        <v>548</v>
      </c>
      <c r="E51" s="357" t="s">
        <v>365</v>
      </c>
      <c r="F51" s="357" t="s">
        <v>42</v>
      </c>
      <c r="G51" s="357" t="s">
        <v>366</v>
      </c>
      <c r="H51" s="342">
        <v>910</v>
      </c>
      <c r="I51" s="859" t="s">
        <v>16</v>
      </c>
      <c r="J51" s="61"/>
      <c r="K51" s="105"/>
      <c r="L51" s="885">
        <v>0</v>
      </c>
      <c r="M51" s="885">
        <v>0</v>
      </c>
      <c r="N51" s="885">
        <v>0</v>
      </c>
      <c r="O51" s="530"/>
      <c r="P51" s="106"/>
      <c r="Q51" s="106"/>
      <c r="R51" s="106"/>
      <c r="S51" s="106"/>
      <c r="T51" s="530"/>
      <c r="U51" s="530"/>
      <c r="V51" s="530"/>
      <c r="W51" s="107"/>
      <c r="X51" s="513"/>
      <c r="Y51" s="108"/>
    </row>
    <row r="52" spans="1:25" s="109" customFormat="1" ht="12.6" customHeight="1">
      <c r="A52" s="946"/>
      <c r="B52" s="949"/>
      <c r="C52" s="465" t="s">
        <v>549</v>
      </c>
      <c r="D52" s="466" t="s">
        <v>548</v>
      </c>
      <c r="E52" s="467" t="s">
        <v>547</v>
      </c>
      <c r="F52" s="467" t="s">
        <v>546</v>
      </c>
      <c r="G52" s="467" t="s">
        <v>545</v>
      </c>
      <c r="H52" s="468">
        <v>910</v>
      </c>
      <c r="I52" s="903" t="s">
        <v>550</v>
      </c>
      <c r="J52" s="365"/>
      <c r="K52" s="114"/>
      <c r="L52" s="531">
        <v>9745</v>
      </c>
      <c r="M52" s="366">
        <v>4140</v>
      </c>
      <c r="N52" s="535">
        <v>9329</v>
      </c>
      <c r="O52" s="535"/>
      <c r="P52" s="366"/>
      <c r="Q52" s="366"/>
      <c r="R52" s="366"/>
      <c r="S52" s="366"/>
      <c r="T52" s="366"/>
      <c r="U52" s="366"/>
      <c r="V52" s="366"/>
      <c r="W52" s="367"/>
      <c r="X52" s="520"/>
      <c r="Y52" s="108"/>
    </row>
    <row r="53" spans="1:25" s="109" customFormat="1" ht="12.6" customHeight="1">
      <c r="A53" s="946"/>
      <c r="B53" s="950"/>
      <c r="C53" s="136"/>
      <c r="D53" s="117"/>
      <c r="E53" s="117"/>
      <c r="F53" s="117"/>
      <c r="G53" s="117"/>
      <c r="H53" s="119"/>
      <c r="I53" s="119"/>
      <c r="J53" s="63"/>
      <c r="K53" s="120"/>
      <c r="L53" s="532"/>
      <c r="M53" s="121"/>
      <c r="N53" s="532"/>
      <c r="O53" s="532"/>
      <c r="P53" s="121"/>
      <c r="Q53" s="121"/>
      <c r="R53" s="121"/>
      <c r="S53" s="137"/>
      <c r="T53" s="121"/>
      <c r="U53" s="121"/>
      <c r="V53" s="121"/>
      <c r="W53" s="122"/>
      <c r="X53" s="515"/>
      <c r="Y53" s="108"/>
    </row>
    <row r="54" spans="1:25" s="109" customFormat="1" ht="12.6" customHeight="1">
      <c r="A54" s="946"/>
      <c r="B54" s="123"/>
      <c r="C54" s="124"/>
      <c r="D54" s="123"/>
      <c r="E54" s="123"/>
      <c r="F54" s="123"/>
      <c r="G54" s="123"/>
      <c r="H54" s="125">
        <f>SUM(H51:H53)</f>
        <v>1820</v>
      </c>
      <c r="I54" s="123"/>
      <c r="J54" s="951" t="s">
        <v>126</v>
      </c>
      <c r="K54" s="79" t="s">
        <v>107</v>
      </c>
      <c r="L54" s="629">
        <f>SUM(L51:L53)</f>
        <v>9745</v>
      </c>
      <c r="M54" s="629">
        <f t="shared" ref="M54:W54" si="15">SUM(M51:M53)</f>
        <v>4140</v>
      </c>
      <c r="N54" s="847">
        <f t="shared" si="15"/>
        <v>9329</v>
      </c>
      <c r="O54" s="629">
        <f t="shared" si="15"/>
        <v>0</v>
      </c>
      <c r="P54" s="629">
        <f t="shared" si="15"/>
        <v>0</v>
      </c>
      <c r="Q54" s="629">
        <f t="shared" si="15"/>
        <v>0</v>
      </c>
      <c r="R54" s="629">
        <f t="shared" si="15"/>
        <v>0</v>
      </c>
      <c r="S54" s="629">
        <f t="shared" si="15"/>
        <v>0</v>
      </c>
      <c r="T54" s="629">
        <f t="shared" si="15"/>
        <v>0</v>
      </c>
      <c r="U54" s="629">
        <f t="shared" si="15"/>
        <v>0</v>
      </c>
      <c r="V54" s="629">
        <f t="shared" si="15"/>
        <v>0</v>
      </c>
      <c r="W54" s="629">
        <f t="shared" si="15"/>
        <v>0</v>
      </c>
      <c r="X54" s="516"/>
    </row>
    <row r="55" spans="1:25" s="109" customFormat="1" ht="12.6" customHeight="1">
      <c r="A55" s="947"/>
      <c r="B55" s="138"/>
      <c r="C55" s="139"/>
      <c r="D55" s="138"/>
      <c r="E55" s="138"/>
      <c r="F55" s="138"/>
      <c r="G55" s="138"/>
      <c r="H55" s="138"/>
      <c r="I55" s="138"/>
      <c r="J55" s="952"/>
      <c r="K55" s="82" t="s">
        <v>108</v>
      </c>
      <c r="L55" s="536">
        <f t="shared" ref="L55:W55" si="16">L54/($H$54*L2)</f>
        <v>0.24338161838161837</v>
      </c>
      <c r="M55" s="536">
        <f t="shared" si="16"/>
        <v>0.15164835164835164</v>
      </c>
      <c r="N55" s="536">
        <f t="shared" si="16"/>
        <v>0.232992007992008</v>
      </c>
      <c r="O55" s="536" t="e">
        <f t="shared" si="16"/>
        <v>#DIV/0!</v>
      </c>
      <c r="P55" s="536" t="e">
        <f t="shared" si="16"/>
        <v>#DIV/0!</v>
      </c>
      <c r="Q55" s="536" t="e">
        <f t="shared" si="16"/>
        <v>#DIV/0!</v>
      </c>
      <c r="R55" s="536" t="e">
        <f t="shared" si="16"/>
        <v>#DIV/0!</v>
      </c>
      <c r="S55" s="536" t="e">
        <f t="shared" si="16"/>
        <v>#DIV/0!</v>
      </c>
      <c r="T55" s="536" t="e">
        <f t="shared" si="16"/>
        <v>#DIV/0!</v>
      </c>
      <c r="U55" s="536" t="e">
        <f t="shared" si="16"/>
        <v>#DIV/0!</v>
      </c>
      <c r="V55" s="536" t="e">
        <f t="shared" si="16"/>
        <v>#DIV/0!</v>
      </c>
      <c r="W55" s="536" t="e">
        <f t="shared" si="16"/>
        <v>#DIV/0!</v>
      </c>
      <c r="X55" s="521"/>
    </row>
    <row r="56" spans="1:25" s="93" customFormat="1" ht="12.6" customHeight="1">
      <c r="A56" s="943" t="s">
        <v>116</v>
      </c>
      <c r="B56" s="169">
        <v>0</v>
      </c>
      <c r="C56" s="91"/>
      <c r="D56" s="83"/>
      <c r="E56" s="91"/>
      <c r="F56" s="91"/>
      <c r="G56" s="91"/>
      <c r="H56" s="91"/>
      <c r="I56" s="92"/>
      <c r="J56" s="92"/>
      <c r="K56" s="105"/>
      <c r="L56" s="84"/>
      <c r="M56" s="91"/>
      <c r="N56" s="92"/>
      <c r="O56" s="92"/>
      <c r="P56" s="91"/>
      <c r="Q56" s="91"/>
      <c r="R56" s="91"/>
      <c r="S56" s="91"/>
      <c r="T56" s="91"/>
      <c r="U56" s="91"/>
      <c r="V56" s="91"/>
      <c r="W56" s="167"/>
      <c r="X56" s="522"/>
    </row>
    <row r="57" spans="1:25" s="93" customFormat="1" ht="12.6" hidden="1" customHeight="1">
      <c r="A57" s="943"/>
      <c r="B57" s="94"/>
      <c r="C57" s="95"/>
      <c r="D57" s="72"/>
      <c r="E57" s="95"/>
      <c r="F57" s="95"/>
      <c r="G57" s="95"/>
      <c r="H57" s="95"/>
      <c r="I57" s="96"/>
      <c r="J57" s="96"/>
      <c r="K57" s="120"/>
      <c r="L57" s="73"/>
      <c r="M57" s="95"/>
      <c r="N57" s="96"/>
      <c r="O57" s="96"/>
      <c r="P57" s="95"/>
      <c r="Q57" s="95"/>
      <c r="R57" s="95"/>
      <c r="S57" s="95"/>
      <c r="T57" s="95"/>
      <c r="U57" s="95"/>
      <c r="V57" s="95"/>
      <c r="W57" s="168"/>
      <c r="X57" s="523"/>
    </row>
    <row r="58" spans="1:25" s="93" customFormat="1" ht="12.6" customHeight="1">
      <c r="A58" s="943"/>
      <c r="B58" s="614"/>
      <c r="C58" s="615"/>
      <c r="D58" s="604"/>
      <c r="E58" s="615"/>
      <c r="F58" s="615"/>
      <c r="G58" s="615"/>
      <c r="H58" s="616">
        <f>SUM(H56:H57)</f>
        <v>0</v>
      </c>
      <c r="I58" s="617"/>
      <c r="J58" s="944" t="s">
        <v>117</v>
      </c>
      <c r="K58" s="606" t="s">
        <v>107</v>
      </c>
      <c r="L58" s="632">
        <f t="shared" ref="L58" si="17">SUM(L56:L57)</f>
        <v>0</v>
      </c>
      <c r="M58" s="632">
        <f t="shared" ref="M58:W58" si="18">SUM(M56:M57)</f>
        <v>0</v>
      </c>
      <c r="N58" s="606">
        <f t="shared" si="18"/>
        <v>0</v>
      </c>
      <c r="O58" s="632">
        <f t="shared" si="18"/>
        <v>0</v>
      </c>
      <c r="P58" s="632">
        <f t="shared" si="18"/>
        <v>0</v>
      </c>
      <c r="Q58" s="632">
        <f t="shared" si="18"/>
        <v>0</v>
      </c>
      <c r="R58" s="632">
        <f t="shared" si="18"/>
        <v>0</v>
      </c>
      <c r="S58" s="632">
        <f t="shared" si="18"/>
        <v>0</v>
      </c>
      <c r="T58" s="632">
        <f t="shared" si="18"/>
        <v>0</v>
      </c>
      <c r="U58" s="632">
        <f t="shared" si="18"/>
        <v>0</v>
      </c>
      <c r="V58" s="632">
        <f t="shared" si="18"/>
        <v>0</v>
      </c>
      <c r="W58" s="632">
        <f t="shared" si="18"/>
        <v>0</v>
      </c>
      <c r="X58" s="510"/>
    </row>
    <row r="59" spans="1:25" s="93" customFormat="1" ht="12.6" customHeight="1">
      <c r="A59" s="943"/>
      <c r="B59" s="618"/>
      <c r="C59" s="97"/>
      <c r="D59" s="87"/>
      <c r="E59" s="97"/>
      <c r="F59" s="97"/>
      <c r="G59" s="97"/>
      <c r="H59" s="97"/>
      <c r="I59" s="591"/>
      <c r="J59" s="945"/>
      <c r="K59" s="82" t="s">
        <v>108</v>
      </c>
      <c r="L59" s="529" t="e">
        <f t="shared" ref="L59:W59" si="19">L58/($H$58*L3)</f>
        <v>#DIV/0!</v>
      </c>
      <c r="M59" s="529" t="e">
        <f t="shared" si="19"/>
        <v>#DIV/0!</v>
      </c>
      <c r="N59" s="529" t="e">
        <f t="shared" si="19"/>
        <v>#DIV/0!</v>
      </c>
      <c r="O59" s="529" t="e">
        <f t="shared" si="19"/>
        <v>#DIV/0!</v>
      </c>
      <c r="P59" s="529" t="e">
        <f t="shared" si="19"/>
        <v>#DIV/0!</v>
      </c>
      <c r="Q59" s="529" t="e">
        <f t="shared" si="19"/>
        <v>#DIV/0!</v>
      </c>
      <c r="R59" s="529" t="e">
        <f t="shared" si="19"/>
        <v>#DIV/0!</v>
      </c>
      <c r="S59" s="529" t="e">
        <f t="shared" si="19"/>
        <v>#DIV/0!</v>
      </c>
      <c r="T59" s="529" t="e">
        <f t="shared" si="19"/>
        <v>#DIV/0!</v>
      </c>
      <c r="U59" s="529" t="e">
        <f t="shared" si="19"/>
        <v>#DIV/0!</v>
      </c>
      <c r="V59" s="529" t="e">
        <f t="shared" si="19"/>
        <v>#DIV/0!</v>
      </c>
      <c r="W59" s="529" t="e">
        <f t="shared" si="19"/>
        <v>#DIV/0!</v>
      </c>
      <c r="X59" s="508"/>
    </row>
    <row r="60" spans="1:25" s="871" customFormat="1" ht="12.6" customHeight="1">
      <c r="A60" s="953" t="s">
        <v>127</v>
      </c>
      <c r="B60" s="948">
        <v>3</v>
      </c>
      <c r="C60" s="856" t="s">
        <v>367</v>
      </c>
      <c r="D60" s="857" t="s">
        <v>45</v>
      </c>
      <c r="E60" s="872" t="s">
        <v>368</v>
      </c>
      <c r="F60" s="872" t="s">
        <v>42</v>
      </c>
      <c r="G60" s="873" t="s">
        <v>458</v>
      </c>
      <c r="H60" s="858">
        <v>910</v>
      </c>
      <c r="I60" s="874" t="s">
        <v>25</v>
      </c>
      <c r="J60" s="859"/>
      <c r="K60" s="865"/>
      <c r="L60" s="140">
        <v>19667</v>
      </c>
      <c r="M60" s="106">
        <v>13014</v>
      </c>
      <c r="N60" s="140">
        <v>17333</v>
      </c>
      <c r="O60" s="140"/>
      <c r="P60" s="106"/>
      <c r="Q60" s="140"/>
      <c r="R60" s="106"/>
      <c r="S60" s="106"/>
      <c r="T60" s="140"/>
      <c r="U60" s="106"/>
      <c r="V60" s="106"/>
      <c r="W60" s="107"/>
      <c r="X60" s="513"/>
      <c r="Y60" s="870"/>
    </row>
    <row r="61" spans="1:25" s="109" customFormat="1" ht="12.6" customHeight="1">
      <c r="A61" s="946"/>
      <c r="B61" s="949"/>
      <c r="C61" s="343" t="s">
        <v>44</v>
      </c>
      <c r="D61" s="335" t="s">
        <v>45</v>
      </c>
      <c r="E61" s="363" t="s">
        <v>369</v>
      </c>
      <c r="F61" s="363" t="s">
        <v>42</v>
      </c>
      <c r="G61" s="364" t="s">
        <v>370</v>
      </c>
      <c r="H61" s="345">
        <v>910</v>
      </c>
      <c r="I61" s="902" t="s">
        <v>25</v>
      </c>
      <c r="J61" s="113"/>
      <c r="K61" s="114"/>
      <c r="L61" s="129">
        <v>21497</v>
      </c>
      <c r="M61" s="115">
        <v>13307</v>
      </c>
      <c r="N61" s="129">
        <v>25482</v>
      </c>
      <c r="O61" s="129"/>
      <c r="P61" s="115"/>
      <c r="Q61" s="129"/>
      <c r="R61" s="115"/>
      <c r="S61" s="115"/>
      <c r="T61" s="129"/>
      <c r="U61" s="115"/>
      <c r="V61" s="115"/>
      <c r="W61" s="116"/>
      <c r="X61" s="514"/>
      <c r="Y61" s="108"/>
    </row>
    <row r="62" spans="1:25" s="109" customFormat="1" ht="12.6" customHeight="1">
      <c r="A62" s="946"/>
      <c r="B62" s="949"/>
      <c r="C62" s="343" t="s">
        <v>46</v>
      </c>
      <c r="D62" s="335" t="s">
        <v>45</v>
      </c>
      <c r="E62" s="363" t="s">
        <v>371</v>
      </c>
      <c r="F62" s="363" t="s">
        <v>42</v>
      </c>
      <c r="G62" s="364" t="s">
        <v>370</v>
      </c>
      <c r="H62" s="345">
        <v>910</v>
      </c>
      <c r="I62" s="902" t="s">
        <v>25</v>
      </c>
      <c r="J62" s="113"/>
      <c r="K62" s="114"/>
      <c r="L62" s="129">
        <v>24023</v>
      </c>
      <c r="M62" s="715">
        <v>15658</v>
      </c>
      <c r="N62" s="129">
        <v>26070</v>
      </c>
      <c r="O62" s="129"/>
      <c r="P62" s="115"/>
      <c r="Q62" s="129"/>
      <c r="R62" s="115"/>
      <c r="S62" s="141"/>
      <c r="T62" s="141"/>
      <c r="U62" s="115"/>
      <c r="V62" s="115"/>
      <c r="W62" s="116"/>
      <c r="X62" s="514"/>
      <c r="Y62" s="108"/>
    </row>
    <row r="63" spans="1:25" s="109" customFormat="1" ht="12.6" customHeight="1">
      <c r="A63" s="946"/>
      <c r="B63" s="949"/>
      <c r="C63" s="343" t="s">
        <v>619</v>
      </c>
      <c r="D63" s="335" t="s">
        <v>45</v>
      </c>
      <c r="E63" s="128" t="s">
        <v>620</v>
      </c>
      <c r="F63" s="363" t="s">
        <v>42</v>
      </c>
      <c r="G63" s="128" t="s">
        <v>621</v>
      </c>
      <c r="H63" s="59">
        <v>910</v>
      </c>
      <c r="I63" s="904" t="s">
        <v>38</v>
      </c>
      <c r="J63" s="113"/>
      <c r="K63" s="114"/>
      <c r="L63" s="129">
        <v>24582</v>
      </c>
      <c r="M63" s="115">
        <v>17120</v>
      </c>
      <c r="N63" s="129">
        <v>28995</v>
      </c>
      <c r="O63" s="129"/>
      <c r="P63" s="129"/>
      <c r="Q63" s="129"/>
      <c r="R63" s="129"/>
      <c r="S63" s="129"/>
      <c r="T63" s="531"/>
      <c r="U63" s="115"/>
      <c r="V63" s="115"/>
      <c r="W63" s="116"/>
      <c r="X63" s="514"/>
      <c r="Y63" s="108"/>
    </row>
    <row r="64" spans="1:25" s="109" customFormat="1" ht="12.6" customHeight="1">
      <c r="A64" s="946"/>
      <c r="B64" s="950"/>
      <c r="C64" s="62"/>
      <c r="D64" s="117"/>
      <c r="E64" s="117"/>
      <c r="F64" s="117"/>
      <c r="G64" s="117"/>
      <c r="H64" s="119"/>
      <c r="I64" s="905"/>
      <c r="J64" s="63"/>
      <c r="K64" s="120"/>
      <c r="L64" s="532"/>
      <c r="M64" s="121"/>
      <c r="N64" s="532"/>
      <c r="O64" s="532"/>
      <c r="P64" s="121"/>
      <c r="Q64" s="121"/>
      <c r="R64" s="121"/>
      <c r="S64" s="121"/>
      <c r="T64" s="121"/>
      <c r="U64" s="121"/>
      <c r="V64" s="121"/>
      <c r="W64" s="122"/>
      <c r="X64" s="515"/>
      <c r="Y64" s="108"/>
    </row>
    <row r="65" spans="1:25" s="109" customFormat="1" ht="12.6" customHeight="1">
      <c r="A65" s="946"/>
      <c r="B65" s="142"/>
      <c r="C65" s="124"/>
      <c r="D65" s="123"/>
      <c r="E65" s="123"/>
      <c r="F65" s="123"/>
      <c r="G65" s="123"/>
      <c r="H65" s="125">
        <f>SUM(H60:H64)</f>
        <v>3640</v>
      </c>
      <c r="I65" s="123"/>
      <c r="J65" s="951" t="s">
        <v>128</v>
      </c>
      <c r="K65" s="79" t="s">
        <v>107</v>
      </c>
      <c r="L65" s="629">
        <f>SUM(L60:L64)</f>
        <v>89769</v>
      </c>
      <c r="M65" s="629">
        <f t="shared" ref="M65:W65" si="20">SUM(M60:M64)</f>
        <v>59099</v>
      </c>
      <c r="N65" s="847">
        <f t="shared" si="20"/>
        <v>97880</v>
      </c>
      <c r="O65" s="629">
        <f t="shared" si="20"/>
        <v>0</v>
      </c>
      <c r="P65" s="629">
        <f t="shared" si="20"/>
        <v>0</v>
      </c>
      <c r="Q65" s="629">
        <f t="shared" si="20"/>
        <v>0</v>
      </c>
      <c r="R65" s="629">
        <f t="shared" si="20"/>
        <v>0</v>
      </c>
      <c r="S65" s="629">
        <f t="shared" si="20"/>
        <v>0</v>
      </c>
      <c r="T65" s="629">
        <f t="shared" si="20"/>
        <v>0</v>
      </c>
      <c r="U65" s="629">
        <f t="shared" si="20"/>
        <v>0</v>
      </c>
      <c r="V65" s="629">
        <f t="shared" si="20"/>
        <v>0</v>
      </c>
      <c r="W65" s="629">
        <f t="shared" si="20"/>
        <v>0</v>
      </c>
      <c r="X65" s="516"/>
    </row>
    <row r="66" spans="1:25" s="109" customFormat="1" ht="12.6" customHeight="1">
      <c r="A66" s="947"/>
      <c r="B66" s="143"/>
      <c r="C66" s="139"/>
      <c r="D66" s="138"/>
      <c r="E66" s="138"/>
      <c r="F66" s="138"/>
      <c r="G66" s="138"/>
      <c r="H66" s="138"/>
      <c r="I66" s="138"/>
      <c r="J66" s="952"/>
      <c r="K66" s="82" t="s">
        <v>108</v>
      </c>
      <c r="L66" s="536">
        <f t="shared" ref="L66:W66" si="21">L65/($H$65*L2)</f>
        <v>1.1209915084915085</v>
      </c>
      <c r="M66" s="536">
        <f t="shared" si="21"/>
        <v>1.0823992673992675</v>
      </c>
      <c r="N66" s="536">
        <f t="shared" si="21"/>
        <v>1.2222777222777224</v>
      </c>
      <c r="O66" s="536" t="e">
        <f t="shared" si="21"/>
        <v>#DIV/0!</v>
      </c>
      <c r="P66" s="536" t="e">
        <f t="shared" si="21"/>
        <v>#DIV/0!</v>
      </c>
      <c r="Q66" s="536" t="e">
        <f t="shared" si="21"/>
        <v>#DIV/0!</v>
      </c>
      <c r="R66" s="536" t="e">
        <f t="shared" si="21"/>
        <v>#DIV/0!</v>
      </c>
      <c r="S66" s="536" t="e">
        <f t="shared" si="21"/>
        <v>#DIV/0!</v>
      </c>
      <c r="T66" s="536" t="e">
        <f t="shared" si="21"/>
        <v>#DIV/0!</v>
      </c>
      <c r="U66" s="536" t="e">
        <f t="shared" si="21"/>
        <v>#DIV/0!</v>
      </c>
      <c r="V66" s="536" t="e">
        <f t="shared" si="21"/>
        <v>#DIV/0!</v>
      </c>
      <c r="W66" s="536" t="e">
        <f t="shared" si="21"/>
        <v>#DIV/0!</v>
      </c>
      <c r="X66" s="521"/>
    </row>
    <row r="67" spans="1:25" s="109" customFormat="1" ht="12.6" customHeight="1">
      <c r="A67" s="953" t="s">
        <v>129</v>
      </c>
      <c r="B67" s="948">
        <v>4</v>
      </c>
      <c r="C67" s="339" t="s">
        <v>372</v>
      </c>
      <c r="D67" s="340" t="s">
        <v>373</v>
      </c>
      <c r="E67" s="357" t="s">
        <v>374</v>
      </c>
      <c r="F67" s="357" t="s">
        <v>42</v>
      </c>
      <c r="G67" s="357" t="s">
        <v>375</v>
      </c>
      <c r="H67" s="342">
        <v>910</v>
      </c>
      <c r="I67" s="859" t="s">
        <v>25</v>
      </c>
      <c r="J67" s="859"/>
      <c r="K67" s="105"/>
      <c r="L67" s="140">
        <v>23148</v>
      </c>
      <c r="M67" s="140">
        <v>16109</v>
      </c>
      <c r="N67" s="140">
        <v>28692</v>
      </c>
      <c r="O67" s="140"/>
      <c r="P67" s="140"/>
      <c r="Q67" s="140"/>
      <c r="R67" s="140"/>
      <c r="S67" s="140"/>
      <c r="T67" s="140"/>
      <c r="U67" s="140"/>
      <c r="V67" s="140"/>
      <c r="W67" s="851"/>
      <c r="X67" s="513"/>
      <c r="Y67" s="108"/>
    </row>
    <row r="68" spans="1:25" s="109" customFormat="1" ht="12.6" customHeight="1">
      <c r="A68" s="946"/>
      <c r="B68" s="949"/>
      <c r="C68" s="343" t="s">
        <v>48</v>
      </c>
      <c r="D68" s="335" t="s">
        <v>373</v>
      </c>
      <c r="E68" s="363" t="s">
        <v>376</v>
      </c>
      <c r="F68" s="363" t="s">
        <v>42</v>
      </c>
      <c r="G68" s="363" t="s">
        <v>377</v>
      </c>
      <c r="H68" s="345">
        <v>910</v>
      </c>
      <c r="I68" s="881" t="s">
        <v>25</v>
      </c>
      <c r="J68" s="881"/>
      <c r="K68" s="114"/>
      <c r="L68" s="129">
        <v>27835</v>
      </c>
      <c r="M68" s="129">
        <v>19930</v>
      </c>
      <c r="N68" s="129">
        <v>32356</v>
      </c>
      <c r="O68" s="129"/>
      <c r="P68" s="129"/>
      <c r="Q68" s="129"/>
      <c r="R68" s="129"/>
      <c r="S68" s="129"/>
      <c r="T68" s="129"/>
      <c r="U68" s="129"/>
      <c r="V68" s="129"/>
      <c r="W68" s="130"/>
      <c r="X68" s="514"/>
      <c r="Y68" s="108"/>
    </row>
    <row r="69" spans="1:25" s="109" customFormat="1" ht="12.6" customHeight="1">
      <c r="A69" s="946"/>
      <c r="B69" s="949"/>
      <c r="C69" s="343" t="s">
        <v>378</v>
      </c>
      <c r="D69" s="335" t="s">
        <v>373</v>
      </c>
      <c r="E69" s="363" t="s">
        <v>379</v>
      </c>
      <c r="F69" s="363" t="s">
        <v>42</v>
      </c>
      <c r="G69" s="363" t="s">
        <v>380</v>
      </c>
      <c r="H69" s="345">
        <v>910</v>
      </c>
      <c r="I69" s="881" t="s">
        <v>25</v>
      </c>
      <c r="J69" s="881"/>
      <c r="K69" s="114"/>
      <c r="L69" s="129">
        <v>26471</v>
      </c>
      <c r="M69" s="129">
        <v>17275</v>
      </c>
      <c r="N69" s="129">
        <v>31957</v>
      </c>
      <c r="O69" s="129"/>
      <c r="P69" s="129"/>
      <c r="Q69" s="129"/>
      <c r="R69" s="129"/>
      <c r="S69" s="129"/>
      <c r="T69" s="129"/>
      <c r="U69" s="129"/>
      <c r="V69" s="129"/>
      <c r="W69" s="130"/>
      <c r="X69" s="514"/>
      <c r="Y69" s="108"/>
    </row>
    <row r="70" spans="1:25" s="109" customFormat="1" ht="12.6" customHeight="1">
      <c r="A70" s="946"/>
      <c r="B70" s="949"/>
      <c r="C70" s="464" t="s">
        <v>544</v>
      </c>
      <c r="D70" s="335" t="s">
        <v>373</v>
      </c>
      <c r="E70" s="111" t="s">
        <v>543</v>
      </c>
      <c r="F70" s="363" t="s">
        <v>42</v>
      </c>
      <c r="G70" s="111" t="s">
        <v>542</v>
      </c>
      <c r="H70" s="110">
        <v>910</v>
      </c>
      <c r="I70" s="906" t="s">
        <v>550</v>
      </c>
      <c r="J70" s="881"/>
      <c r="K70" s="114"/>
      <c r="L70" s="129">
        <v>24755</v>
      </c>
      <c r="M70" s="129">
        <v>19522</v>
      </c>
      <c r="N70" s="129">
        <v>30839</v>
      </c>
      <c r="O70" s="129"/>
      <c r="P70" s="129"/>
      <c r="Q70" s="129"/>
      <c r="R70" s="129"/>
      <c r="S70" s="129"/>
      <c r="T70" s="129"/>
      <c r="U70" s="129"/>
      <c r="V70" s="129"/>
      <c r="W70" s="130"/>
      <c r="X70" s="514"/>
      <c r="Y70" s="108"/>
    </row>
    <row r="71" spans="1:25" s="109" customFormat="1" ht="12.6" customHeight="1">
      <c r="A71" s="946"/>
      <c r="B71" s="950"/>
      <c r="C71" s="62"/>
      <c r="D71" s="117"/>
      <c r="E71" s="117"/>
      <c r="F71" s="117"/>
      <c r="G71" s="117"/>
      <c r="H71" s="62"/>
      <c r="I71" s="119"/>
      <c r="J71" s="63"/>
      <c r="K71" s="120"/>
      <c r="L71" s="532"/>
      <c r="M71" s="121"/>
      <c r="N71" s="532"/>
      <c r="O71" s="532"/>
      <c r="P71" s="121"/>
      <c r="Q71" s="121"/>
      <c r="R71" s="121"/>
      <c r="S71" s="121"/>
      <c r="T71" s="121"/>
      <c r="U71" s="121"/>
      <c r="V71" s="121"/>
      <c r="W71" s="122"/>
      <c r="X71" s="515"/>
      <c r="Y71" s="108"/>
    </row>
    <row r="72" spans="1:25" s="109" customFormat="1" ht="12.6" customHeight="1">
      <c r="A72" s="946"/>
      <c r="B72" s="123"/>
      <c r="C72" s="124"/>
      <c r="D72" s="144"/>
      <c r="E72" s="123"/>
      <c r="F72" s="123"/>
      <c r="G72" s="123"/>
      <c r="H72" s="125">
        <f>SUM(H67:H71)</f>
        <v>3640</v>
      </c>
      <c r="I72" s="123"/>
      <c r="J72" s="951" t="s">
        <v>129</v>
      </c>
      <c r="K72" s="79" t="s">
        <v>107</v>
      </c>
      <c r="L72" s="630">
        <f>SUM(L67:L71)</f>
        <v>102209</v>
      </c>
      <c r="M72" s="630">
        <f t="shared" ref="M72:W72" si="22">SUM(M67:M71)</f>
        <v>72836</v>
      </c>
      <c r="N72" s="848">
        <f t="shared" si="22"/>
        <v>123844</v>
      </c>
      <c r="O72" s="630">
        <f t="shared" si="22"/>
        <v>0</v>
      </c>
      <c r="P72" s="630">
        <f t="shared" si="22"/>
        <v>0</v>
      </c>
      <c r="Q72" s="630">
        <f t="shared" si="22"/>
        <v>0</v>
      </c>
      <c r="R72" s="630">
        <f t="shared" si="22"/>
        <v>0</v>
      </c>
      <c r="S72" s="630">
        <f t="shared" si="22"/>
        <v>0</v>
      </c>
      <c r="T72" s="630">
        <f t="shared" si="22"/>
        <v>0</v>
      </c>
      <c r="U72" s="630">
        <f t="shared" si="22"/>
        <v>0</v>
      </c>
      <c r="V72" s="630">
        <f t="shared" si="22"/>
        <v>0</v>
      </c>
      <c r="W72" s="630">
        <f t="shared" si="22"/>
        <v>0</v>
      </c>
      <c r="X72" s="516"/>
    </row>
    <row r="73" spans="1:25" s="109" customFormat="1" ht="12.6" customHeight="1">
      <c r="A73" s="947"/>
      <c r="B73" s="138"/>
      <c r="C73" s="139"/>
      <c r="D73" s="145"/>
      <c r="E73" s="138"/>
      <c r="F73" s="138"/>
      <c r="G73" s="138"/>
      <c r="H73" s="138"/>
      <c r="I73" s="138"/>
      <c r="J73" s="952"/>
      <c r="K73" s="82" t="s">
        <v>108</v>
      </c>
      <c r="L73" s="537">
        <f t="shared" ref="L73:W73" si="23">L72/($H$72*L2)</f>
        <v>1.2763361638361639</v>
      </c>
      <c r="M73" s="537">
        <f t="shared" si="23"/>
        <v>1.333992673992674</v>
      </c>
      <c r="N73" s="537">
        <f t="shared" si="23"/>
        <v>1.5465034965034965</v>
      </c>
      <c r="O73" s="537" t="e">
        <f t="shared" si="23"/>
        <v>#DIV/0!</v>
      </c>
      <c r="P73" s="537" t="e">
        <f t="shared" si="23"/>
        <v>#DIV/0!</v>
      </c>
      <c r="Q73" s="537" t="e">
        <f t="shared" si="23"/>
        <v>#DIV/0!</v>
      </c>
      <c r="R73" s="537" t="e">
        <f t="shared" si="23"/>
        <v>#DIV/0!</v>
      </c>
      <c r="S73" s="537" t="e">
        <f t="shared" si="23"/>
        <v>#DIV/0!</v>
      </c>
      <c r="T73" s="537" t="e">
        <f t="shared" si="23"/>
        <v>#DIV/0!</v>
      </c>
      <c r="U73" s="537" t="e">
        <f t="shared" si="23"/>
        <v>#DIV/0!</v>
      </c>
      <c r="V73" s="537" t="e">
        <f t="shared" si="23"/>
        <v>#DIV/0!</v>
      </c>
      <c r="W73" s="537" t="e">
        <f t="shared" si="23"/>
        <v>#DIV/0!</v>
      </c>
      <c r="X73" s="521"/>
    </row>
    <row r="74" spans="1:25" s="109" customFormat="1" ht="12.6" customHeight="1">
      <c r="A74" s="963" t="s">
        <v>130</v>
      </c>
      <c r="B74" s="948">
        <v>2</v>
      </c>
      <c r="C74" s="354" t="s">
        <v>381</v>
      </c>
      <c r="D74" s="340" t="s">
        <v>382</v>
      </c>
      <c r="E74" s="357" t="s">
        <v>383</v>
      </c>
      <c r="F74" s="357" t="s">
        <v>50</v>
      </c>
      <c r="G74" s="357" t="s">
        <v>384</v>
      </c>
      <c r="H74" s="342">
        <v>910</v>
      </c>
      <c r="I74" s="859" t="s">
        <v>25</v>
      </c>
      <c r="J74" s="61"/>
      <c r="K74" s="114"/>
      <c r="L74" s="140">
        <v>3897</v>
      </c>
      <c r="M74" s="140">
        <v>5002</v>
      </c>
      <c r="N74" s="140">
        <v>11523</v>
      </c>
      <c r="O74" s="140"/>
      <c r="P74" s="140"/>
      <c r="Q74" s="140"/>
      <c r="R74" s="140"/>
      <c r="S74" s="140"/>
      <c r="T74" s="140"/>
      <c r="U74" s="140"/>
      <c r="V74" s="140"/>
      <c r="W74" s="851"/>
      <c r="X74" s="513"/>
      <c r="Y74" s="108"/>
    </row>
    <row r="75" spans="1:25" s="109" customFormat="1" ht="12.6" customHeight="1">
      <c r="A75" s="964"/>
      <c r="B75" s="949"/>
      <c r="C75" s="148" t="s">
        <v>385</v>
      </c>
      <c r="D75" s="335" t="s">
        <v>386</v>
      </c>
      <c r="E75" s="363" t="s">
        <v>387</v>
      </c>
      <c r="F75" s="363" t="s">
        <v>388</v>
      </c>
      <c r="G75" s="363" t="s">
        <v>389</v>
      </c>
      <c r="H75" s="345">
        <v>910</v>
      </c>
      <c r="I75" s="881" t="s">
        <v>25</v>
      </c>
      <c r="J75" s="365"/>
      <c r="K75" s="114"/>
      <c r="L75" s="852">
        <v>20315</v>
      </c>
      <c r="M75" s="852">
        <v>11317</v>
      </c>
      <c r="N75" s="852">
        <v>23936</v>
      </c>
      <c r="O75" s="852"/>
      <c r="P75" s="852"/>
      <c r="Q75" s="852"/>
      <c r="R75" s="852"/>
      <c r="S75" s="852"/>
      <c r="T75" s="852"/>
      <c r="U75" s="852"/>
      <c r="V75" s="852"/>
      <c r="W75" s="853"/>
      <c r="X75" s="520"/>
      <c r="Y75" s="108"/>
    </row>
    <row r="76" spans="1:25" s="109" customFormat="1" ht="12.6" customHeight="1">
      <c r="A76" s="964"/>
      <c r="B76" s="950"/>
      <c r="C76" s="62"/>
      <c r="D76" s="117"/>
      <c r="E76" s="117"/>
      <c r="F76" s="117"/>
      <c r="G76" s="117"/>
      <c r="H76" s="119"/>
      <c r="I76" s="119"/>
      <c r="J76" s="63"/>
      <c r="K76" s="120"/>
      <c r="L76" s="532"/>
      <c r="M76" s="121"/>
      <c r="N76" s="532"/>
      <c r="O76" s="532"/>
      <c r="P76" s="121"/>
      <c r="Q76" s="121"/>
      <c r="R76" s="121"/>
      <c r="S76" s="121"/>
      <c r="T76" s="121"/>
      <c r="U76" s="121"/>
      <c r="V76" s="121"/>
      <c r="W76" s="122"/>
      <c r="X76" s="515"/>
      <c r="Y76" s="108"/>
    </row>
    <row r="77" spans="1:25" s="109" customFormat="1" ht="12.6" customHeight="1">
      <c r="A77" s="964"/>
      <c r="B77" s="123"/>
      <c r="C77" s="124"/>
      <c r="D77" s="123"/>
      <c r="E77" s="123"/>
      <c r="F77" s="123"/>
      <c r="G77" s="123"/>
      <c r="H77" s="125">
        <f>SUM(H74:H76)</f>
        <v>1820</v>
      </c>
      <c r="I77" s="123"/>
      <c r="J77" s="951" t="s">
        <v>131</v>
      </c>
      <c r="K77" s="79" t="s">
        <v>107</v>
      </c>
      <c r="L77" s="629">
        <f t="shared" ref="L77" si="24">SUM(L74:L76)</f>
        <v>24212</v>
      </c>
      <c r="M77" s="629">
        <f t="shared" ref="M77:W77" si="25">SUM(M74:M76)</f>
        <v>16319</v>
      </c>
      <c r="N77" s="847">
        <f t="shared" si="25"/>
        <v>35459</v>
      </c>
      <c r="O77" s="629">
        <f t="shared" si="25"/>
        <v>0</v>
      </c>
      <c r="P77" s="629">
        <f t="shared" si="25"/>
        <v>0</v>
      </c>
      <c r="Q77" s="629">
        <f t="shared" si="25"/>
        <v>0</v>
      </c>
      <c r="R77" s="629">
        <f t="shared" si="25"/>
        <v>0</v>
      </c>
      <c r="S77" s="629">
        <f t="shared" si="25"/>
        <v>0</v>
      </c>
      <c r="T77" s="629">
        <f t="shared" si="25"/>
        <v>0</v>
      </c>
      <c r="U77" s="629">
        <f t="shared" si="25"/>
        <v>0</v>
      </c>
      <c r="V77" s="629">
        <f t="shared" si="25"/>
        <v>0</v>
      </c>
      <c r="W77" s="629">
        <f t="shared" si="25"/>
        <v>0</v>
      </c>
      <c r="X77" s="516"/>
    </row>
    <row r="78" spans="1:25" s="109" customFormat="1" ht="12.6" customHeight="1">
      <c r="A78" s="965"/>
      <c r="B78" s="123"/>
      <c r="C78" s="124"/>
      <c r="D78" s="123"/>
      <c r="E78" s="123"/>
      <c r="F78" s="123"/>
      <c r="G78" s="123"/>
      <c r="H78" s="123"/>
      <c r="I78" s="123"/>
      <c r="J78" s="952"/>
      <c r="K78" s="104" t="s">
        <v>108</v>
      </c>
      <c r="L78" s="533">
        <f t="shared" ref="L78:W78" si="26">L77/($H$77*L3)</f>
        <v>0.60469530469530475</v>
      </c>
      <c r="M78" s="533">
        <f t="shared" si="26"/>
        <v>0.59776556776556777</v>
      </c>
      <c r="N78" s="533">
        <f t="shared" si="26"/>
        <v>0.88558941058941054</v>
      </c>
      <c r="O78" s="533" t="e">
        <f t="shared" si="26"/>
        <v>#DIV/0!</v>
      </c>
      <c r="P78" s="533" t="e">
        <f t="shared" si="26"/>
        <v>#DIV/0!</v>
      </c>
      <c r="Q78" s="533" t="e">
        <f t="shared" si="26"/>
        <v>#DIV/0!</v>
      </c>
      <c r="R78" s="533" t="e">
        <f t="shared" si="26"/>
        <v>#DIV/0!</v>
      </c>
      <c r="S78" s="533" t="e">
        <f t="shared" si="26"/>
        <v>#DIV/0!</v>
      </c>
      <c r="T78" s="533" t="e">
        <f t="shared" si="26"/>
        <v>#DIV/0!</v>
      </c>
      <c r="U78" s="533" t="e">
        <f t="shared" si="26"/>
        <v>#DIV/0!</v>
      </c>
      <c r="V78" s="533" t="e">
        <f t="shared" si="26"/>
        <v>#DIV/0!</v>
      </c>
      <c r="W78" s="533" t="e">
        <f t="shared" si="26"/>
        <v>#DIV/0!</v>
      </c>
      <c r="X78" s="517"/>
    </row>
    <row r="79" spans="1:25" s="109" customFormat="1">
      <c r="A79" s="953" t="s">
        <v>132</v>
      </c>
      <c r="B79" s="948">
        <v>2</v>
      </c>
      <c r="C79" s="339" t="s">
        <v>390</v>
      </c>
      <c r="D79" s="340" t="s">
        <v>391</v>
      </c>
      <c r="E79" s="357" t="s">
        <v>392</v>
      </c>
      <c r="F79" s="357" t="s">
        <v>393</v>
      </c>
      <c r="G79" s="357" t="s">
        <v>394</v>
      </c>
      <c r="H79" s="342">
        <v>910</v>
      </c>
      <c r="I79" s="859" t="s">
        <v>25</v>
      </c>
      <c r="J79" s="61" t="s">
        <v>395</v>
      </c>
      <c r="K79" s="146"/>
      <c r="L79" s="530">
        <v>18055</v>
      </c>
      <c r="M79" s="106">
        <v>13250</v>
      </c>
      <c r="N79" s="530">
        <v>12050</v>
      </c>
      <c r="O79" s="530"/>
      <c r="P79" s="106"/>
      <c r="Q79" s="106"/>
      <c r="R79" s="106"/>
      <c r="S79" s="106"/>
      <c r="T79" s="106"/>
      <c r="U79" s="106"/>
      <c r="V79" s="106"/>
      <c r="W79" s="107"/>
      <c r="X79" s="513"/>
      <c r="Y79" s="108"/>
    </row>
    <row r="80" spans="1:25" s="109" customFormat="1">
      <c r="A80" s="946"/>
      <c r="B80" s="949"/>
      <c r="C80" s="343" t="s">
        <v>396</v>
      </c>
      <c r="D80" s="335" t="s">
        <v>391</v>
      </c>
      <c r="E80" s="363" t="s">
        <v>397</v>
      </c>
      <c r="F80" s="363" t="s">
        <v>393</v>
      </c>
      <c r="G80" s="363" t="s">
        <v>398</v>
      </c>
      <c r="H80" s="345">
        <v>910</v>
      </c>
      <c r="I80" s="881" t="s">
        <v>38</v>
      </c>
      <c r="J80" s="113"/>
      <c r="K80" s="368"/>
      <c r="L80" s="535">
        <v>16069</v>
      </c>
      <c r="M80" s="366">
        <v>8480</v>
      </c>
      <c r="N80" s="535">
        <v>11546</v>
      </c>
      <c r="O80" s="535"/>
      <c r="P80" s="366"/>
      <c r="Q80" s="366"/>
      <c r="R80" s="366"/>
      <c r="S80" s="366"/>
      <c r="T80" s="366"/>
      <c r="U80" s="366"/>
      <c r="V80" s="366"/>
      <c r="W80" s="367"/>
      <c r="X80" s="520"/>
      <c r="Y80" s="108"/>
    </row>
    <row r="81" spans="1:25" s="109" customFormat="1" ht="12.6" customHeight="1">
      <c r="A81" s="946"/>
      <c r="B81" s="950"/>
      <c r="C81" s="62"/>
      <c r="D81" s="117"/>
      <c r="E81" s="117"/>
      <c r="F81" s="117"/>
      <c r="G81" s="117"/>
      <c r="H81" s="119"/>
      <c r="I81" s="119"/>
      <c r="J81" s="63"/>
      <c r="K81" s="120"/>
      <c r="L81" s="532"/>
      <c r="M81" s="121"/>
      <c r="N81" s="532"/>
      <c r="O81" s="532"/>
      <c r="P81" s="121"/>
      <c r="Q81" s="121"/>
      <c r="R81" s="121"/>
      <c r="S81" s="121"/>
      <c r="T81" s="121"/>
      <c r="U81" s="121"/>
      <c r="V81" s="121"/>
      <c r="W81" s="122"/>
      <c r="X81" s="515"/>
      <c r="Y81" s="108"/>
    </row>
    <row r="82" spans="1:25" s="109" customFormat="1" ht="12.6" customHeight="1">
      <c r="A82" s="946"/>
      <c r="B82" s="123"/>
      <c r="C82" s="124"/>
      <c r="D82" s="123"/>
      <c r="E82" s="123"/>
      <c r="F82" s="123"/>
      <c r="G82" s="123"/>
      <c r="H82" s="125">
        <f>SUM(H79:H81)</f>
        <v>1820</v>
      </c>
      <c r="I82" s="123"/>
      <c r="J82" s="951" t="s">
        <v>133</v>
      </c>
      <c r="K82" s="79" t="s">
        <v>107</v>
      </c>
      <c r="L82" s="629">
        <f t="shared" ref="L82" si="27">SUM(L79:L81)</f>
        <v>34124</v>
      </c>
      <c r="M82" s="629">
        <f t="shared" ref="M82:W82" si="28">SUM(M79:M81)</f>
        <v>21730</v>
      </c>
      <c r="N82" s="847">
        <f t="shared" si="28"/>
        <v>23596</v>
      </c>
      <c r="O82" s="629">
        <f t="shared" si="28"/>
        <v>0</v>
      </c>
      <c r="P82" s="629">
        <f t="shared" si="28"/>
        <v>0</v>
      </c>
      <c r="Q82" s="629">
        <f t="shared" si="28"/>
        <v>0</v>
      </c>
      <c r="R82" s="629">
        <f t="shared" si="28"/>
        <v>0</v>
      </c>
      <c r="S82" s="629">
        <f t="shared" si="28"/>
        <v>0</v>
      </c>
      <c r="T82" s="629">
        <f t="shared" si="28"/>
        <v>0</v>
      </c>
      <c r="U82" s="629">
        <f t="shared" si="28"/>
        <v>0</v>
      </c>
      <c r="V82" s="629">
        <f t="shared" si="28"/>
        <v>0</v>
      </c>
      <c r="W82" s="629">
        <f t="shared" si="28"/>
        <v>0</v>
      </c>
      <c r="X82" s="516"/>
    </row>
    <row r="83" spans="1:25" s="109" customFormat="1" ht="12.6" customHeight="1">
      <c r="A83" s="947"/>
      <c r="B83" s="123"/>
      <c r="C83" s="124"/>
      <c r="D83" s="123"/>
      <c r="E83" s="123"/>
      <c r="F83" s="123"/>
      <c r="G83" s="123"/>
      <c r="H83" s="123"/>
      <c r="I83" s="123"/>
      <c r="J83" s="952"/>
      <c r="K83" s="82" t="s">
        <v>108</v>
      </c>
      <c r="L83" s="536">
        <f t="shared" ref="L83:W83" si="29">L82/($H$82*L2)</f>
        <v>0.85224775224775229</v>
      </c>
      <c r="M83" s="536">
        <f t="shared" si="29"/>
        <v>0.79597069597069592</v>
      </c>
      <c r="N83" s="536">
        <f t="shared" si="29"/>
        <v>0.58931068931068931</v>
      </c>
      <c r="O83" s="536" t="e">
        <f t="shared" si="29"/>
        <v>#DIV/0!</v>
      </c>
      <c r="P83" s="536" t="e">
        <f t="shared" si="29"/>
        <v>#DIV/0!</v>
      </c>
      <c r="Q83" s="536" t="e">
        <f t="shared" si="29"/>
        <v>#DIV/0!</v>
      </c>
      <c r="R83" s="536" t="e">
        <f t="shared" si="29"/>
        <v>#DIV/0!</v>
      </c>
      <c r="S83" s="536" t="e">
        <f t="shared" si="29"/>
        <v>#DIV/0!</v>
      </c>
      <c r="T83" s="536" t="e">
        <f t="shared" si="29"/>
        <v>#DIV/0!</v>
      </c>
      <c r="U83" s="536" t="e">
        <f t="shared" si="29"/>
        <v>#DIV/0!</v>
      </c>
      <c r="V83" s="536" t="e">
        <f t="shared" si="29"/>
        <v>#DIV/0!</v>
      </c>
      <c r="W83" s="536" t="e">
        <f t="shared" si="29"/>
        <v>#DIV/0!</v>
      </c>
      <c r="X83" s="521"/>
    </row>
    <row r="84" spans="1:25" s="109" customFormat="1" ht="12.6" customHeight="1">
      <c r="A84" s="955" t="s">
        <v>134</v>
      </c>
      <c r="B84" s="958">
        <v>2</v>
      </c>
      <c r="C84" s="339" t="s">
        <v>399</v>
      </c>
      <c r="D84" s="340" t="s">
        <v>53</v>
      </c>
      <c r="E84" s="357" t="s">
        <v>400</v>
      </c>
      <c r="F84" s="357" t="s">
        <v>388</v>
      </c>
      <c r="G84" s="357" t="s">
        <v>401</v>
      </c>
      <c r="H84" s="342">
        <v>910</v>
      </c>
      <c r="I84" s="859" t="s">
        <v>25</v>
      </c>
      <c r="J84" s="147"/>
      <c r="K84" s="146"/>
      <c r="L84" s="530">
        <v>19083</v>
      </c>
      <c r="M84" s="106">
        <v>11551</v>
      </c>
      <c r="N84" s="530">
        <v>21417</v>
      </c>
      <c r="O84" s="530"/>
      <c r="P84" s="106"/>
      <c r="Q84" s="106"/>
      <c r="R84" s="106"/>
      <c r="S84" s="106"/>
      <c r="T84" s="106"/>
      <c r="U84" s="106"/>
      <c r="V84" s="106"/>
      <c r="W84" s="107"/>
      <c r="X84" s="513"/>
      <c r="Y84" s="108"/>
    </row>
    <row r="85" spans="1:25" s="109" customFormat="1" ht="12.6" customHeight="1">
      <c r="A85" s="956"/>
      <c r="B85" s="959"/>
      <c r="C85" s="343" t="s">
        <v>54</v>
      </c>
      <c r="D85" s="335" t="s">
        <v>402</v>
      </c>
      <c r="E85" s="363" t="s">
        <v>403</v>
      </c>
      <c r="F85" s="363" t="s">
        <v>388</v>
      </c>
      <c r="G85" s="363" t="s">
        <v>404</v>
      </c>
      <c r="H85" s="345">
        <v>910</v>
      </c>
      <c r="I85" s="881" t="s">
        <v>38</v>
      </c>
      <c r="J85" s="148"/>
      <c r="K85" s="114"/>
      <c r="L85" s="531">
        <v>22024</v>
      </c>
      <c r="M85" s="115">
        <v>15204</v>
      </c>
      <c r="N85" s="531">
        <v>24031</v>
      </c>
      <c r="O85" s="531"/>
      <c r="P85" s="115"/>
      <c r="Q85" s="115"/>
      <c r="R85" s="115"/>
      <c r="S85" s="115"/>
      <c r="T85" s="115"/>
      <c r="U85" s="115"/>
      <c r="V85" s="115"/>
      <c r="W85" s="116"/>
      <c r="X85" s="514"/>
      <c r="Y85" s="108"/>
    </row>
    <row r="86" spans="1:25" s="109" customFormat="1" ht="12.6" customHeight="1">
      <c r="A86" s="956"/>
      <c r="B86" s="959"/>
      <c r="C86" s="110"/>
      <c r="D86" s="111"/>
      <c r="E86" s="111"/>
      <c r="F86" s="111"/>
      <c r="G86" s="111"/>
      <c r="H86" s="112"/>
      <c r="I86" s="112"/>
      <c r="J86" s="148"/>
      <c r="K86" s="149"/>
      <c r="L86" s="531"/>
      <c r="M86" s="115"/>
      <c r="N86" s="531"/>
      <c r="O86" s="531"/>
      <c r="P86" s="115"/>
      <c r="Q86" s="115"/>
      <c r="R86" s="115"/>
      <c r="S86" s="115"/>
      <c r="T86" s="115"/>
      <c r="U86" s="115"/>
      <c r="V86" s="115"/>
      <c r="W86" s="116"/>
      <c r="X86" s="514"/>
      <c r="Y86" s="108"/>
    </row>
    <row r="87" spans="1:25" s="109" customFormat="1" ht="12.6" customHeight="1">
      <c r="A87" s="956"/>
      <c r="B87" s="960"/>
      <c r="C87" s="62"/>
      <c r="D87" s="117"/>
      <c r="E87" s="117"/>
      <c r="F87" s="117"/>
      <c r="G87" s="117"/>
      <c r="H87" s="119"/>
      <c r="I87" s="119"/>
      <c r="J87" s="150"/>
      <c r="K87" s="151"/>
      <c r="L87" s="532"/>
      <c r="M87" s="121"/>
      <c r="N87" s="532"/>
      <c r="O87" s="532"/>
      <c r="P87" s="121"/>
      <c r="Q87" s="121"/>
      <c r="R87" s="121"/>
      <c r="S87" s="121"/>
      <c r="T87" s="121"/>
      <c r="U87" s="121"/>
      <c r="V87" s="121"/>
      <c r="W87" s="122"/>
      <c r="X87" s="515"/>
      <c r="Y87" s="108"/>
    </row>
    <row r="88" spans="1:25" s="109" customFormat="1" ht="12.6" customHeight="1">
      <c r="A88" s="956"/>
      <c r="B88" s="152"/>
      <c r="C88" s="153"/>
      <c r="D88" s="123"/>
      <c r="E88" s="152"/>
      <c r="F88" s="152"/>
      <c r="G88" s="152"/>
      <c r="H88" s="154">
        <f>SUM(H84:H87)</f>
        <v>1820</v>
      </c>
      <c r="I88" s="152"/>
      <c r="J88" s="961" t="s">
        <v>135</v>
      </c>
      <c r="K88" s="79" t="s">
        <v>107</v>
      </c>
      <c r="L88" s="630">
        <f>SUM(L84:L87)</f>
        <v>41107</v>
      </c>
      <c r="M88" s="630">
        <f t="shared" ref="M88:W88" si="30">SUM(M84:M87)</f>
        <v>26755</v>
      </c>
      <c r="N88" s="848">
        <f t="shared" si="30"/>
        <v>45448</v>
      </c>
      <c r="O88" s="630">
        <f t="shared" si="30"/>
        <v>0</v>
      </c>
      <c r="P88" s="630">
        <f t="shared" si="30"/>
        <v>0</v>
      </c>
      <c r="Q88" s="630">
        <f t="shared" si="30"/>
        <v>0</v>
      </c>
      <c r="R88" s="630">
        <f t="shared" si="30"/>
        <v>0</v>
      </c>
      <c r="S88" s="630">
        <f t="shared" si="30"/>
        <v>0</v>
      </c>
      <c r="T88" s="630">
        <f t="shared" si="30"/>
        <v>0</v>
      </c>
      <c r="U88" s="630">
        <f t="shared" si="30"/>
        <v>0</v>
      </c>
      <c r="V88" s="630">
        <f t="shared" si="30"/>
        <v>0</v>
      </c>
      <c r="W88" s="630">
        <f t="shared" si="30"/>
        <v>0</v>
      </c>
      <c r="X88" s="516"/>
    </row>
    <row r="89" spans="1:25" s="109" customFormat="1" ht="12.6" customHeight="1">
      <c r="A89" s="957"/>
      <c r="B89" s="155"/>
      <c r="C89" s="156"/>
      <c r="D89" s="138"/>
      <c r="E89" s="155"/>
      <c r="F89" s="155"/>
      <c r="G89" s="155"/>
      <c r="H89" s="155"/>
      <c r="I89" s="155"/>
      <c r="J89" s="962"/>
      <c r="K89" s="82" t="s">
        <v>108</v>
      </c>
      <c r="L89" s="537">
        <f t="shared" ref="L89:W89" si="31">L88/($H$88*L2)</f>
        <v>1.0266483516483516</v>
      </c>
      <c r="M89" s="537">
        <f t="shared" si="31"/>
        <v>0.98003663003663</v>
      </c>
      <c r="N89" s="537">
        <f t="shared" si="31"/>
        <v>1.1350649350649351</v>
      </c>
      <c r="O89" s="537" t="e">
        <f t="shared" si="31"/>
        <v>#DIV/0!</v>
      </c>
      <c r="P89" s="537" t="e">
        <f t="shared" si="31"/>
        <v>#DIV/0!</v>
      </c>
      <c r="Q89" s="537" t="e">
        <f t="shared" si="31"/>
        <v>#DIV/0!</v>
      </c>
      <c r="R89" s="537" t="e">
        <f t="shared" si="31"/>
        <v>#DIV/0!</v>
      </c>
      <c r="S89" s="537" t="e">
        <f t="shared" si="31"/>
        <v>#DIV/0!</v>
      </c>
      <c r="T89" s="537" t="e">
        <f t="shared" si="31"/>
        <v>#DIV/0!</v>
      </c>
      <c r="U89" s="537" t="e">
        <f t="shared" si="31"/>
        <v>#DIV/0!</v>
      </c>
      <c r="V89" s="537" t="e">
        <f t="shared" si="31"/>
        <v>#DIV/0!</v>
      </c>
      <c r="W89" s="537" t="e">
        <f t="shared" si="31"/>
        <v>#DIV/0!</v>
      </c>
      <c r="X89" s="521"/>
    </row>
    <row r="90" spans="1:25" ht="12.6" customHeight="1">
      <c r="A90" s="933" t="s">
        <v>118</v>
      </c>
      <c r="B90" s="942">
        <v>2</v>
      </c>
      <c r="C90" s="369" t="s">
        <v>405</v>
      </c>
      <c r="D90" s="370" t="s">
        <v>406</v>
      </c>
      <c r="E90" s="371" t="s">
        <v>407</v>
      </c>
      <c r="F90" s="371" t="s">
        <v>408</v>
      </c>
      <c r="G90" s="371" t="s">
        <v>409</v>
      </c>
      <c r="H90" s="372">
        <v>910</v>
      </c>
      <c r="I90" s="859" t="s">
        <v>25</v>
      </c>
      <c r="J90" s="84"/>
      <c r="K90" s="146"/>
      <c r="L90" s="542">
        <v>21736</v>
      </c>
      <c r="M90" s="556">
        <v>15067</v>
      </c>
      <c r="N90" s="542">
        <v>20638</v>
      </c>
      <c r="O90" s="542"/>
      <c r="P90" s="556"/>
      <c r="Q90" s="556"/>
      <c r="R90" s="556"/>
      <c r="S90" s="556"/>
      <c r="T90" s="556"/>
      <c r="U90" s="556"/>
      <c r="V90" s="556"/>
      <c r="W90" s="557"/>
      <c r="X90" s="510"/>
    </row>
    <row r="91" spans="1:25" ht="12.6" customHeight="1">
      <c r="A91" s="933"/>
      <c r="B91" s="940"/>
      <c r="C91" s="373" t="s">
        <v>410</v>
      </c>
      <c r="D91" s="374" t="s">
        <v>406</v>
      </c>
      <c r="E91" s="375" t="s">
        <v>411</v>
      </c>
      <c r="F91" s="375" t="s">
        <v>56</v>
      </c>
      <c r="G91" s="375" t="s">
        <v>57</v>
      </c>
      <c r="H91" s="376">
        <v>910</v>
      </c>
      <c r="I91" s="881" t="s">
        <v>25</v>
      </c>
      <c r="J91" s="101"/>
      <c r="K91" s="114"/>
      <c r="L91" s="543">
        <v>21282</v>
      </c>
      <c r="M91" s="558">
        <v>15244</v>
      </c>
      <c r="N91" s="543">
        <v>20283</v>
      </c>
      <c r="O91" s="543"/>
      <c r="P91" s="558"/>
      <c r="Q91" s="558"/>
      <c r="R91" s="558"/>
      <c r="S91" s="558"/>
      <c r="T91" s="558"/>
      <c r="U91" s="558"/>
      <c r="V91" s="558"/>
      <c r="W91" s="559"/>
      <c r="X91" s="512"/>
    </row>
    <row r="92" spans="1:25" ht="12.6" customHeight="1">
      <c r="A92" s="933"/>
      <c r="B92" s="941"/>
      <c r="C92" s="71"/>
      <c r="D92" s="72"/>
      <c r="E92" s="71"/>
      <c r="F92" s="71"/>
      <c r="G92" s="71"/>
      <c r="H92" s="71"/>
      <c r="I92" s="73"/>
      <c r="J92" s="73"/>
      <c r="K92" s="151"/>
      <c r="L92" s="560"/>
      <c r="M92" s="561"/>
      <c r="N92" s="560"/>
      <c r="O92" s="560"/>
      <c r="P92" s="561"/>
      <c r="Q92" s="561"/>
      <c r="R92" s="561"/>
      <c r="S92" s="561"/>
      <c r="T92" s="561"/>
      <c r="U92" s="561"/>
      <c r="V92" s="561"/>
      <c r="W92" s="562"/>
      <c r="X92" s="506"/>
    </row>
    <row r="93" spans="1:25" ht="12.6" customHeight="1">
      <c r="A93" s="933"/>
      <c r="B93" s="76"/>
      <c r="C93" s="76"/>
      <c r="D93" s="86"/>
      <c r="E93" s="76"/>
      <c r="F93" s="76"/>
      <c r="G93" s="76"/>
      <c r="H93" s="77">
        <f>SUM(H90:H92)</f>
        <v>1820</v>
      </c>
      <c r="I93" s="78"/>
      <c r="J93" s="938" t="s">
        <v>119</v>
      </c>
      <c r="K93" s="79" t="s">
        <v>107</v>
      </c>
      <c r="L93" s="626">
        <f>SUM(L90:L92)</f>
        <v>43018</v>
      </c>
      <c r="M93" s="626">
        <f t="shared" ref="M93:W93" si="32">SUM(M90:M92)</f>
        <v>30311</v>
      </c>
      <c r="N93" s="845">
        <f t="shared" si="32"/>
        <v>40921</v>
      </c>
      <c r="O93" s="626">
        <f t="shared" si="32"/>
        <v>0</v>
      </c>
      <c r="P93" s="626">
        <f t="shared" si="32"/>
        <v>0</v>
      </c>
      <c r="Q93" s="626">
        <f t="shared" si="32"/>
        <v>0</v>
      </c>
      <c r="R93" s="626">
        <f t="shared" si="32"/>
        <v>0</v>
      </c>
      <c r="S93" s="626">
        <f t="shared" si="32"/>
        <v>0</v>
      </c>
      <c r="T93" s="626">
        <f t="shared" si="32"/>
        <v>0</v>
      </c>
      <c r="U93" s="626">
        <f t="shared" si="32"/>
        <v>0</v>
      </c>
      <c r="V93" s="626">
        <f t="shared" si="32"/>
        <v>0</v>
      </c>
      <c r="W93" s="626">
        <f t="shared" si="32"/>
        <v>0</v>
      </c>
      <c r="X93" s="511"/>
    </row>
    <row r="94" spans="1:25" ht="12.6" customHeight="1">
      <c r="A94" s="933"/>
      <c r="B94" s="80"/>
      <c r="C94" s="80"/>
      <c r="D94" s="87"/>
      <c r="E94" s="80"/>
      <c r="F94" s="80"/>
      <c r="G94" s="80"/>
      <c r="H94" s="80"/>
      <c r="I94" s="81"/>
      <c r="J94" s="937"/>
      <c r="K94" s="82" t="s">
        <v>108</v>
      </c>
      <c r="L94" s="529">
        <f t="shared" ref="L94:W94" si="33">L93/($H$93*L3)</f>
        <v>1.0743756243756244</v>
      </c>
      <c r="M94" s="529">
        <f t="shared" si="33"/>
        <v>1.1102930402930402</v>
      </c>
      <c r="N94" s="529">
        <f t="shared" si="33"/>
        <v>1.0220029970029969</v>
      </c>
      <c r="O94" s="529" t="e">
        <f t="shared" si="33"/>
        <v>#DIV/0!</v>
      </c>
      <c r="P94" s="529" t="e">
        <f t="shared" si="33"/>
        <v>#DIV/0!</v>
      </c>
      <c r="Q94" s="529" t="e">
        <f t="shared" si="33"/>
        <v>#DIV/0!</v>
      </c>
      <c r="R94" s="529" t="e">
        <f t="shared" si="33"/>
        <v>#DIV/0!</v>
      </c>
      <c r="S94" s="529" t="e">
        <f t="shared" si="33"/>
        <v>#DIV/0!</v>
      </c>
      <c r="T94" s="529" t="e">
        <f t="shared" si="33"/>
        <v>#DIV/0!</v>
      </c>
      <c r="U94" s="529" t="e">
        <f t="shared" si="33"/>
        <v>#DIV/0!</v>
      </c>
      <c r="V94" s="529" t="e">
        <f t="shared" si="33"/>
        <v>#DIV/0!</v>
      </c>
      <c r="W94" s="529" t="e">
        <f t="shared" si="33"/>
        <v>#DIV/0!</v>
      </c>
      <c r="X94" s="508"/>
    </row>
    <row r="95" spans="1:25" s="158" customFormat="1" ht="12.6" customHeight="1">
      <c r="A95" s="966" t="s">
        <v>65</v>
      </c>
      <c r="B95" s="969">
        <v>0</v>
      </c>
      <c r="C95" s="60"/>
      <c r="D95" s="60"/>
      <c r="E95" s="60"/>
      <c r="F95" s="60"/>
      <c r="G95" s="60"/>
      <c r="H95" s="60"/>
      <c r="I95" s="64"/>
      <c r="J95" s="64"/>
      <c r="K95" s="146"/>
      <c r="L95" s="64"/>
      <c r="M95" s="60"/>
      <c r="N95" s="64"/>
      <c r="O95" s="64"/>
      <c r="P95" s="60"/>
      <c r="Q95" s="60"/>
      <c r="R95" s="60"/>
      <c r="S95" s="60"/>
      <c r="T95" s="60"/>
      <c r="U95" s="60"/>
      <c r="V95" s="60"/>
      <c r="W95" s="157"/>
      <c r="X95" s="524"/>
    </row>
    <row r="96" spans="1:25" s="158" customFormat="1" ht="12.6" hidden="1" customHeight="1">
      <c r="A96" s="967"/>
      <c r="B96" s="970"/>
      <c r="C96" s="159"/>
      <c r="D96" s="159"/>
      <c r="E96" s="160"/>
      <c r="F96" s="160"/>
      <c r="G96" s="160"/>
      <c r="H96" s="160"/>
      <c r="I96" s="161"/>
      <c r="J96" s="162"/>
      <c r="K96" s="120"/>
      <c r="L96" s="162"/>
      <c r="M96" s="159"/>
      <c r="N96" s="162"/>
      <c r="O96" s="162"/>
      <c r="P96" s="159"/>
      <c r="Q96" s="159"/>
      <c r="R96" s="159"/>
      <c r="S96" s="159"/>
      <c r="T96" s="159"/>
      <c r="U96" s="159"/>
      <c r="V96" s="159"/>
      <c r="W96" s="163"/>
      <c r="X96" s="525"/>
    </row>
    <row r="97" spans="1:26" s="158" customFormat="1" ht="12.6" customHeight="1">
      <c r="A97" s="967"/>
      <c r="B97" s="608"/>
      <c r="C97" s="609"/>
      <c r="D97" s="609"/>
      <c r="E97" s="609"/>
      <c r="F97" s="609"/>
      <c r="G97" s="609"/>
      <c r="H97" s="610">
        <f>SUM(H95:H96)</f>
        <v>0</v>
      </c>
      <c r="I97" s="611"/>
      <c r="J97" s="971" t="s">
        <v>65</v>
      </c>
      <c r="K97" s="612" t="s">
        <v>20</v>
      </c>
      <c r="L97" s="633">
        <f>SUM(L95:L96)</f>
        <v>0</v>
      </c>
      <c r="M97" s="633">
        <f t="shared" ref="M97:V97" si="34">SUM(M95:M96)</f>
        <v>0</v>
      </c>
      <c r="N97" s="849">
        <f>SUM(N95:N96)</f>
        <v>0</v>
      </c>
      <c r="O97" s="633">
        <f t="shared" si="34"/>
        <v>0</v>
      </c>
      <c r="P97" s="633">
        <f t="shared" si="34"/>
        <v>0</v>
      </c>
      <c r="Q97" s="633">
        <f t="shared" si="34"/>
        <v>0</v>
      </c>
      <c r="R97" s="633">
        <f t="shared" si="34"/>
        <v>0</v>
      </c>
      <c r="S97" s="633">
        <f t="shared" si="34"/>
        <v>0</v>
      </c>
      <c r="T97" s="633">
        <f t="shared" si="34"/>
        <v>0</v>
      </c>
      <c r="U97" s="633">
        <f t="shared" si="34"/>
        <v>0</v>
      </c>
      <c r="V97" s="633">
        <f t="shared" si="34"/>
        <v>0</v>
      </c>
      <c r="W97" s="634">
        <f>SUM(W95:W96)</f>
        <v>0</v>
      </c>
      <c r="X97" s="524"/>
    </row>
    <row r="98" spans="1:26" s="158" customFormat="1" ht="12.6" customHeight="1">
      <c r="A98" s="968"/>
      <c r="B98" s="613"/>
      <c r="C98" s="164"/>
      <c r="D98" s="164"/>
      <c r="E98" s="164"/>
      <c r="F98" s="164"/>
      <c r="G98" s="164"/>
      <c r="H98" s="164"/>
      <c r="I98" s="589"/>
      <c r="J98" s="972"/>
      <c r="K98" s="165" t="s">
        <v>21</v>
      </c>
      <c r="L98" s="538" t="e">
        <f t="shared" ref="L98:W98" si="35">L97/($H$97*L3)</f>
        <v>#DIV/0!</v>
      </c>
      <c r="M98" s="538" t="e">
        <f t="shared" si="35"/>
        <v>#DIV/0!</v>
      </c>
      <c r="N98" s="538" t="e">
        <f t="shared" si="35"/>
        <v>#DIV/0!</v>
      </c>
      <c r="O98" s="538" t="e">
        <f t="shared" si="35"/>
        <v>#DIV/0!</v>
      </c>
      <c r="P98" s="538" t="e">
        <f t="shared" si="35"/>
        <v>#DIV/0!</v>
      </c>
      <c r="Q98" s="538" t="e">
        <f t="shared" si="35"/>
        <v>#DIV/0!</v>
      </c>
      <c r="R98" s="538" t="e">
        <f t="shared" si="35"/>
        <v>#DIV/0!</v>
      </c>
      <c r="S98" s="538" t="e">
        <f t="shared" si="35"/>
        <v>#DIV/0!</v>
      </c>
      <c r="T98" s="538" t="e">
        <f t="shared" si="35"/>
        <v>#DIV/0!</v>
      </c>
      <c r="U98" s="538" t="e">
        <f t="shared" si="35"/>
        <v>#DIV/0!</v>
      </c>
      <c r="V98" s="538" t="e">
        <f t="shared" si="35"/>
        <v>#DIV/0!</v>
      </c>
      <c r="W98" s="538" t="e">
        <f t="shared" si="35"/>
        <v>#DIV/0!</v>
      </c>
      <c r="X98" s="526"/>
    </row>
    <row r="99" spans="1:26" ht="12.6" customHeight="1">
      <c r="A99" s="933" t="s">
        <v>120</v>
      </c>
      <c r="B99" s="942">
        <v>7</v>
      </c>
      <c r="C99" s="339" t="s">
        <v>572</v>
      </c>
      <c r="D99" s="340" t="s">
        <v>60</v>
      </c>
      <c r="E99" s="341" t="s">
        <v>422</v>
      </c>
      <c r="F99" s="341" t="s">
        <v>64</v>
      </c>
      <c r="G99" s="341" t="s">
        <v>413</v>
      </c>
      <c r="H99" s="342">
        <v>910</v>
      </c>
      <c r="I99" s="874" t="s">
        <v>25</v>
      </c>
      <c r="J99" s="98"/>
      <c r="K99" s="70"/>
      <c r="L99" s="549">
        <v>21508</v>
      </c>
      <c r="M99" s="550">
        <v>15192</v>
      </c>
      <c r="N99" s="544">
        <v>24106</v>
      </c>
      <c r="O99" s="544"/>
      <c r="P99" s="550"/>
      <c r="Q99" s="550"/>
      <c r="R99" s="550"/>
      <c r="S99" s="550"/>
      <c r="T99" s="550"/>
      <c r="U99" s="550"/>
      <c r="V99" s="551"/>
      <c r="W99" s="552"/>
      <c r="X99" s="504"/>
    </row>
    <row r="100" spans="1:26" ht="12.6" customHeight="1">
      <c r="A100" s="933"/>
      <c r="B100" s="940"/>
      <c r="C100" s="343" t="s">
        <v>59</v>
      </c>
      <c r="D100" s="335" t="s">
        <v>60</v>
      </c>
      <c r="E100" s="344" t="s">
        <v>414</v>
      </c>
      <c r="F100" s="344" t="s">
        <v>64</v>
      </c>
      <c r="G100" s="344" t="s">
        <v>413</v>
      </c>
      <c r="H100" s="345">
        <v>910</v>
      </c>
      <c r="I100" s="902" t="s">
        <v>25</v>
      </c>
      <c r="J100" s="85"/>
      <c r="K100" s="70"/>
      <c r="L100" s="549">
        <v>21883</v>
      </c>
      <c r="M100" s="550">
        <v>15609</v>
      </c>
      <c r="N100" s="544">
        <v>25656</v>
      </c>
      <c r="O100" s="544"/>
      <c r="P100" s="550"/>
      <c r="Q100" s="550"/>
      <c r="R100" s="550"/>
      <c r="S100" s="550"/>
      <c r="T100" s="550"/>
      <c r="U100" s="550"/>
      <c r="V100" s="551"/>
      <c r="W100" s="552"/>
      <c r="X100" s="504"/>
    </row>
    <row r="101" spans="1:26" ht="12.6" customHeight="1">
      <c r="A101" s="933"/>
      <c r="B101" s="940"/>
      <c r="C101" s="343" t="s">
        <v>61</v>
      </c>
      <c r="D101" s="335" t="s">
        <v>60</v>
      </c>
      <c r="E101" s="363" t="s">
        <v>415</v>
      </c>
      <c r="F101" s="344" t="s">
        <v>64</v>
      </c>
      <c r="G101" s="344" t="s">
        <v>413</v>
      </c>
      <c r="H101" s="345">
        <v>910</v>
      </c>
      <c r="I101" s="902" t="s">
        <v>25</v>
      </c>
      <c r="J101" s="85"/>
      <c r="K101" s="70"/>
      <c r="L101" s="553">
        <v>21072</v>
      </c>
      <c r="M101" s="550">
        <v>14268</v>
      </c>
      <c r="N101" s="544">
        <v>22814</v>
      </c>
      <c r="O101" s="544"/>
      <c r="P101" s="550"/>
      <c r="Q101" s="550"/>
      <c r="R101" s="550"/>
      <c r="S101" s="550"/>
      <c r="T101" s="550"/>
      <c r="U101" s="550"/>
      <c r="V101" s="550"/>
      <c r="W101" s="552"/>
      <c r="X101" s="504"/>
      <c r="Z101" s="850"/>
    </row>
    <row r="102" spans="1:26" ht="12.6" customHeight="1">
      <c r="A102" s="933"/>
      <c r="B102" s="940"/>
      <c r="C102" s="343" t="s">
        <v>416</v>
      </c>
      <c r="D102" s="335" t="s">
        <v>60</v>
      </c>
      <c r="E102" s="344" t="s">
        <v>417</v>
      </c>
      <c r="F102" s="344" t="s">
        <v>64</v>
      </c>
      <c r="G102" s="344" t="s">
        <v>413</v>
      </c>
      <c r="H102" s="345">
        <v>910</v>
      </c>
      <c r="I102" s="902" t="s">
        <v>25</v>
      </c>
      <c r="J102" s="85"/>
      <c r="K102" s="70"/>
      <c r="L102" s="553">
        <v>21830</v>
      </c>
      <c r="M102" s="550">
        <v>15348</v>
      </c>
      <c r="N102" s="544">
        <v>24721</v>
      </c>
      <c r="O102" s="544"/>
      <c r="P102" s="550"/>
      <c r="Q102" s="550"/>
      <c r="R102" s="550"/>
      <c r="S102" s="550"/>
      <c r="T102" s="550"/>
      <c r="U102" s="550"/>
      <c r="V102" s="550"/>
      <c r="W102" s="552"/>
      <c r="X102" s="504"/>
    </row>
    <row r="103" spans="1:26" ht="12.6" customHeight="1">
      <c r="A103" s="933"/>
      <c r="B103" s="940"/>
      <c r="C103" s="343" t="s">
        <v>418</v>
      </c>
      <c r="D103" s="335" t="s">
        <v>60</v>
      </c>
      <c r="E103" s="344" t="s">
        <v>419</v>
      </c>
      <c r="F103" s="344" t="s">
        <v>64</v>
      </c>
      <c r="G103" s="344" t="s">
        <v>413</v>
      </c>
      <c r="H103" s="345">
        <v>910</v>
      </c>
      <c r="I103" s="902" t="s">
        <v>16</v>
      </c>
      <c r="J103" s="85"/>
      <c r="K103" s="70"/>
      <c r="L103" s="544">
        <v>23003</v>
      </c>
      <c r="M103" s="550">
        <v>14490</v>
      </c>
      <c r="N103" s="544">
        <v>22897</v>
      </c>
      <c r="O103" s="544"/>
      <c r="P103" s="550"/>
      <c r="Q103" s="550"/>
      <c r="R103" s="550"/>
      <c r="S103" s="550"/>
      <c r="T103" s="550"/>
      <c r="U103" s="550"/>
      <c r="V103" s="550"/>
      <c r="W103" s="552"/>
      <c r="X103" s="504"/>
    </row>
    <row r="104" spans="1:26" s="501" customFormat="1" ht="12.6" customHeight="1">
      <c r="A104" s="933"/>
      <c r="B104" s="940"/>
      <c r="C104" s="878" t="s">
        <v>62</v>
      </c>
      <c r="D104" s="879" t="s">
        <v>63</v>
      </c>
      <c r="E104" s="344" t="s">
        <v>420</v>
      </c>
      <c r="F104" s="344" t="s">
        <v>64</v>
      </c>
      <c r="G104" s="344" t="s">
        <v>421</v>
      </c>
      <c r="H104" s="880">
        <v>910</v>
      </c>
      <c r="I104" s="902" t="s">
        <v>25</v>
      </c>
      <c r="J104" s="907"/>
      <c r="K104" s="860"/>
      <c r="L104" s="861">
        <v>243</v>
      </c>
      <c r="M104" s="729">
        <v>436</v>
      </c>
      <c r="N104" s="861">
        <v>1644</v>
      </c>
      <c r="O104" s="861"/>
      <c r="P104" s="729"/>
      <c r="Q104" s="729"/>
      <c r="R104" s="729"/>
      <c r="S104" s="729"/>
      <c r="T104" s="861"/>
      <c r="U104" s="861"/>
      <c r="V104" s="861"/>
      <c r="W104" s="730"/>
      <c r="X104" s="505"/>
    </row>
    <row r="105" spans="1:26" ht="12.6" customHeight="1">
      <c r="A105" s="933"/>
      <c r="B105" s="940"/>
      <c r="C105" s="343" t="s">
        <v>573</v>
      </c>
      <c r="D105" s="335" t="s">
        <v>60</v>
      </c>
      <c r="E105" s="344" t="s">
        <v>412</v>
      </c>
      <c r="F105" s="344" t="s">
        <v>64</v>
      </c>
      <c r="G105" s="344" t="s">
        <v>413</v>
      </c>
      <c r="H105" s="345">
        <v>910</v>
      </c>
      <c r="I105" s="902" t="s">
        <v>25</v>
      </c>
      <c r="J105" s="85"/>
      <c r="K105" s="70"/>
      <c r="L105" s="545">
        <v>20778</v>
      </c>
      <c r="M105" s="554">
        <v>14553</v>
      </c>
      <c r="N105" s="545">
        <v>23456</v>
      </c>
      <c r="O105" s="545"/>
      <c r="P105" s="554"/>
      <c r="Q105" s="554"/>
      <c r="R105" s="554"/>
      <c r="S105" s="554"/>
      <c r="T105" s="554"/>
      <c r="U105" s="554"/>
      <c r="V105" s="554"/>
      <c r="W105" s="555"/>
      <c r="X105" s="505"/>
    </row>
    <row r="106" spans="1:26" ht="12.6" customHeight="1">
      <c r="A106" s="933"/>
      <c r="B106" s="941"/>
      <c r="C106" s="90"/>
      <c r="D106" s="72"/>
      <c r="E106" s="75"/>
      <c r="F106" s="75"/>
      <c r="G106" s="75"/>
      <c r="H106" s="75"/>
      <c r="I106" s="99"/>
      <c r="J106" s="85"/>
      <c r="K106" s="74"/>
      <c r="L106" s="99"/>
      <c r="M106" s="75"/>
      <c r="N106" s="99"/>
      <c r="O106" s="99"/>
      <c r="P106" s="75"/>
      <c r="Q106" s="75"/>
      <c r="R106" s="75"/>
      <c r="S106" s="75"/>
      <c r="T106" s="75"/>
      <c r="U106" s="75"/>
      <c r="V106" s="75"/>
      <c r="W106" s="166"/>
      <c r="X106" s="506"/>
    </row>
    <row r="107" spans="1:26" ht="12.6" customHeight="1">
      <c r="A107" s="933"/>
      <c r="B107" s="76"/>
      <c r="C107" s="76"/>
      <c r="D107" s="86"/>
      <c r="E107" s="76"/>
      <c r="F107" s="76"/>
      <c r="G107" s="76"/>
      <c r="H107" s="77">
        <f>SUM(H99:H106)</f>
        <v>6370</v>
      </c>
      <c r="I107" s="78"/>
      <c r="J107" s="936" t="s">
        <v>120</v>
      </c>
      <c r="K107" s="79" t="s">
        <v>107</v>
      </c>
      <c r="L107" s="624">
        <f>SUM(L99:L106)</f>
        <v>130317</v>
      </c>
      <c r="M107" s="624">
        <f t="shared" ref="M107:W107" si="36">SUM(M99:M106)</f>
        <v>89896</v>
      </c>
      <c r="N107" s="844">
        <f t="shared" si="36"/>
        <v>145294</v>
      </c>
      <c r="O107" s="624">
        <f t="shared" si="36"/>
        <v>0</v>
      </c>
      <c r="P107" s="624">
        <f t="shared" si="36"/>
        <v>0</v>
      </c>
      <c r="Q107" s="624">
        <f t="shared" si="36"/>
        <v>0</v>
      </c>
      <c r="R107" s="624">
        <f t="shared" si="36"/>
        <v>0</v>
      </c>
      <c r="S107" s="624">
        <f t="shared" si="36"/>
        <v>0</v>
      </c>
      <c r="T107" s="624">
        <f t="shared" si="36"/>
        <v>0</v>
      </c>
      <c r="U107" s="624">
        <f t="shared" si="36"/>
        <v>0</v>
      </c>
      <c r="V107" s="624">
        <f t="shared" si="36"/>
        <v>0</v>
      </c>
      <c r="W107" s="624">
        <f t="shared" si="36"/>
        <v>0</v>
      </c>
      <c r="X107" s="507"/>
    </row>
    <row r="108" spans="1:26" ht="12.6" customHeight="1">
      <c r="A108" s="933"/>
      <c r="B108" s="80"/>
      <c r="C108" s="80"/>
      <c r="D108" s="87"/>
      <c r="E108" s="80"/>
      <c r="F108" s="80"/>
      <c r="G108" s="80"/>
      <c r="H108" s="80"/>
      <c r="I108" s="81"/>
      <c r="J108" s="937"/>
      <c r="K108" s="82" t="s">
        <v>108</v>
      </c>
      <c r="L108" s="529">
        <f t="shared" ref="L108:W108" si="37">L107/($H$107*L3)</f>
        <v>0.92990580847723703</v>
      </c>
      <c r="M108" s="529">
        <f t="shared" si="37"/>
        <v>0.9408267922553637</v>
      </c>
      <c r="N108" s="529">
        <f t="shared" si="37"/>
        <v>1.0367775082060797</v>
      </c>
      <c r="O108" s="529" t="e">
        <f t="shared" si="37"/>
        <v>#DIV/0!</v>
      </c>
      <c r="P108" s="529" t="e">
        <f t="shared" si="37"/>
        <v>#DIV/0!</v>
      </c>
      <c r="Q108" s="529" t="e">
        <f t="shared" si="37"/>
        <v>#DIV/0!</v>
      </c>
      <c r="R108" s="529" t="e">
        <f t="shared" si="37"/>
        <v>#DIV/0!</v>
      </c>
      <c r="S108" s="529" t="e">
        <f t="shared" si="37"/>
        <v>#DIV/0!</v>
      </c>
      <c r="T108" s="529" t="e">
        <f t="shared" si="37"/>
        <v>#DIV/0!</v>
      </c>
      <c r="U108" s="529" t="e">
        <f t="shared" si="37"/>
        <v>#DIV/0!</v>
      </c>
      <c r="V108" s="529" t="e">
        <f t="shared" si="37"/>
        <v>#DIV/0!</v>
      </c>
      <c r="W108" s="529" t="e">
        <f t="shared" si="37"/>
        <v>#DIV/0!</v>
      </c>
      <c r="X108" s="508"/>
    </row>
    <row r="109" spans="1:26">
      <c r="D109" s="100"/>
    </row>
    <row r="110" spans="1:26">
      <c r="D110" s="100"/>
    </row>
    <row r="111" spans="1:26">
      <c r="D111" s="100"/>
    </row>
    <row r="112" spans="1:26">
      <c r="D112" s="100"/>
    </row>
    <row r="113" spans="4:4">
      <c r="D113" s="100"/>
    </row>
    <row r="114" spans="4:4">
      <c r="D114" s="100"/>
    </row>
    <row r="115" spans="4:4">
      <c r="D115" s="100"/>
    </row>
    <row r="116" spans="4:4">
      <c r="D116" s="100"/>
    </row>
    <row r="117" spans="4:4">
      <c r="D117" s="100"/>
    </row>
    <row r="118" spans="4:4">
      <c r="D118" s="100"/>
    </row>
    <row r="119" spans="4:4">
      <c r="D119" s="100"/>
    </row>
    <row r="120" spans="4:4">
      <c r="D120" s="100"/>
    </row>
    <row r="121" spans="4:4">
      <c r="D121" s="100"/>
    </row>
    <row r="122" spans="4:4">
      <c r="D122" s="100"/>
    </row>
    <row r="123" spans="4:4">
      <c r="D123" s="100"/>
    </row>
    <row r="124" spans="4:4">
      <c r="D124" s="100"/>
    </row>
  </sheetData>
  <autoFilter ref="A4:W119" xr:uid="{00000000-0009-0000-0000-000001000000}"/>
  <mergeCells count="50">
    <mergeCell ref="B99:B106"/>
    <mergeCell ref="A95:A98"/>
    <mergeCell ref="B95:B96"/>
    <mergeCell ref="J97:J98"/>
    <mergeCell ref="A90:A94"/>
    <mergeCell ref="J93:J94"/>
    <mergeCell ref="B90:B92"/>
    <mergeCell ref="A99:A108"/>
    <mergeCell ref="J107:J108"/>
    <mergeCell ref="A84:A89"/>
    <mergeCell ref="B84:B87"/>
    <mergeCell ref="J88:J89"/>
    <mergeCell ref="A74:A78"/>
    <mergeCell ref="B74:B76"/>
    <mergeCell ref="J49:J50"/>
    <mergeCell ref="J77:J78"/>
    <mergeCell ref="A79:A83"/>
    <mergeCell ref="B79:B81"/>
    <mergeCell ref="J82:J83"/>
    <mergeCell ref="A60:A66"/>
    <mergeCell ref="B60:B64"/>
    <mergeCell ref="J65:J66"/>
    <mergeCell ref="A67:A73"/>
    <mergeCell ref="B67:B71"/>
    <mergeCell ref="J72:J73"/>
    <mergeCell ref="A28:A32"/>
    <mergeCell ref="J31:J32"/>
    <mergeCell ref="A33:A38"/>
    <mergeCell ref="J37:J38"/>
    <mergeCell ref="A56:A59"/>
    <mergeCell ref="J58:J59"/>
    <mergeCell ref="A51:A55"/>
    <mergeCell ref="B51:B53"/>
    <mergeCell ref="J54:J55"/>
    <mergeCell ref="B28:B30"/>
    <mergeCell ref="B33:B36"/>
    <mergeCell ref="A39:A43"/>
    <mergeCell ref="B39:B41"/>
    <mergeCell ref="J42:J43"/>
    <mergeCell ref="A44:A50"/>
    <mergeCell ref="B44:B48"/>
    <mergeCell ref="A5:A11"/>
    <mergeCell ref="J10:J11"/>
    <mergeCell ref="A12:A18"/>
    <mergeCell ref="J17:J18"/>
    <mergeCell ref="A19:A27"/>
    <mergeCell ref="J26:J27"/>
    <mergeCell ref="B5:B9"/>
    <mergeCell ref="B12:B16"/>
    <mergeCell ref="B19:B25"/>
  </mergeCells>
  <phoneticPr fontId="3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D686-0C54-468C-8EA3-7539952C175E}">
  <sheetPr>
    <tabColor rgb="FFFF0000"/>
  </sheetPr>
  <dimension ref="A2:X91"/>
  <sheetViews>
    <sheetView topLeftCell="A58" zoomScaleNormal="100" workbookViewId="0">
      <selection activeCell="D94" sqref="D94"/>
    </sheetView>
  </sheetViews>
  <sheetFormatPr defaultColWidth="9" defaultRowHeight="15"/>
  <cols>
    <col min="1" max="1" width="23.42578125" style="170" customWidth="1"/>
    <col min="2" max="4" width="8" style="170" customWidth="1"/>
    <col min="5" max="5" width="8" style="171" customWidth="1"/>
    <col min="6" max="10" width="9" style="170"/>
    <col min="11" max="11" width="8.7109375" style="170" customWidth="1"/>
    <col min="12" max="12" width="8.85546875" style="170" customWidth="1"/>
    <col min="13" max="14" width="7.5703125" style="170" customWidth="1"/>
    <col min="15" max="24" width="9" style="170"/>
    <col min="25" max="16384" width="9" style="172"/>
  </cols>
  <sheetData>
    <row r="2" spans="1:24">
      <c r="A2" s="394">
        <v>1</v>
      </c>
      <c r="B2" s="395" t="s">
        <v>136</v>
      </c>
    </row>
    <row r="3" spans="1:24">
      <c r="A3" s="292" t="s">
        <v>136</v>
      </c>
      <c r="B3" s="174" t="s">
        <v>137</v>
      </c>
      <c r="C3" s="174" t="s">
        <v>2</v>
      </c>
      <c r="D3" s="174" t="s">
        <v>3</v>
      </c>
      <c r="E3" s="175" t="s">
        <v>4</v>
      </c>
      <c r="F3" s="174" t="s">
        <v>5</v>
      </c>
      <c r="G3" s="174" t="s">
        <v>6</v>
      </c>
      <c r="H3" s="174" t="s">
        <v>7</v>
      </c>
      <c r="I3" s="174" t="s">
        <v>8</v>
      </c>
      <c r="J3" s="174" t="s">
        <v>9</v>
      </c>
      <c r="K3" s="174" t="s">
        <v>10</v>
      </c>
      <c r="L3" s="174" t="s">
        <v>11</v>
      </c>
      <c r="M3" s="174" t="s">
        <v>12</v>
      </c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</row>
    <row r="4" spans="1:24">
      <c r="A4" s="394" t="s">
        <v>461</v>
      </c>
      <c r="B4" s="176">
        <v>37419</v>
      </c>
      <c r="C4" s="176">
        <v>18771</v>
      </c>
      <c r="D4" s="176">
        <v>42119</v>
      </c>
      <c r="E4" s="175"/>
      <c r="F4" s="177"/>
      <c r="G4" s="177"/>
      <c r="H4" s="177"/>
      <c r="I4" s="177"/>
      <c r="J4" s="177"/>
      <c r="K4" s="177"/>
      <c r="L4" s="177"/>
      <c r="M4" s="177"/>
      <c r="N4" s="178"/>
    </row>
    <row r="5" spans="1:24">
      <c r="E5" s="179" t="s">
        <v>138</v>
      </c>
    </row>
    <row r="6" spans="1:24" ht="13.5" customHeight="1">
      <c r="E6" s="179"/>
    </row>
    <row r="7" spans="1:24">
      <c r="A7" s="395">
        <v>2</v>
      </c>
      <c r="B7" s="395" t="s">
        <v>139</v>
      </c>
    </row>
    <row r="8" spans="1:24">
      <c r="A8" s="292" t="s">
        <v>139</v>
      </c>
      <c r="B8" s="174" t="s">
        <v>137</v>
      </c>
      <c r="C8" s="174" t="s">
        <v>2</v>
      </c>
      <c r="D8" s="174" t="s">
        <v>3</v>
      </c>
      <c r="E8" s="175" t="s">
        <v>4</v>
      </c>
      <c r="F8" s="174" t="s">
        <v>5</v>
      </c>
      <c r="G8" s="174" t="s">
        <v>6</v>
      </c>
      <c r="H8" s="174" t="s">
        <v>7</v>
      </c>
      <c r="I8" s="174" t="s">
        <v>8</v>
      </c>
      <c r="J8" s="174" t="s">
        <v>9</v>
      </c>
      <c r="K8" s="174" t="s">
        <v>10</v>
      </c>
      <c r="L8" s="174" t="s">
        <v>11</v>
      </c>
      <c r="M8" s="174" t="s">
        <v>12</v>
      </c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</row>
    <row r="9" spans="1:24">
      <c r="A9" s="394" t="s">
        <v>462</v>
      </c>
      <c r="B9" s="176">
        <v>33772</v>
      </c>
      <c r="C9" s="176">
        <v>31704</v>
      </c>
      <c r="D9" s="180">
        <v>35107</v>
      </c>
      <c r="E9" s="175"/>
      <c r="F9" s="177"/>
      <c r="G9" s="177"/>
      <c r="H9" s="177"/>
      <c r="I9" s="177"/>
      <c r="J9" s="177"/>
      <c r="K9" s="177"/>
      <c r="L9" s="177"/>
      <c r="M9" s="177"/>
      <c r="N9" s="178"/>
    </row>
    <row r="10" spans="1:24">
      <c r="E10" s="179" t="s">
        <v>140</v>
      </c>
    </row>
    <row r="11" spans="1:24" ht="13.5" customHeight="1">
      <c r="E11" s="179"/>
    </row>
    <row r="12" spans="1:24">
      <c r="A12" s="394">
        <v>3</v>
      </c>
      <c r="B12" s="395" t="s">
        <v>141</v>
      </c>
    </row>
    <row r="13" spans="1:24">
      <c r="A13" s="292" t="s">
        <v>141</v>
      </c>
      <c r="B13" s="174" t="s">
        <v>137</v>
      </c>
      <c r="C13" s="174" t="s">
        <v>2</v>
      </c>
      <c r="D13" s="174" t="s">
        <v>3</v>
      </c>
      <c r="E13" s="175" t="s">
        <v>4</v>
      </c>
      <c r="F13" s="174" t="s">
        <v>5</v>
      </c>
      <c r="G13" s="174" t="s">
        <v>6</v>
      </c>
      <c r="H13" s="174" t="s">
        <v>7</v>
      </c>
      <c r="I13" s="174" t="s">
        <v>8</v>
      </c>
      <c r="J13" s="174" t="s">
        <v>9</v>
      </c>
      <c r="K13" s="174" t="s">
        <v>10</v>
      </c>
      <c r="L13" s="174" t="s">
        <v>11</v>
      </c>
      <c r="M13" s="174" t="s">
        <v>12</v>
      </c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</row>
    <row r="14" spans="1:24">
      <c r="A14" s="394" t="s">
        <v>463</v>
      </c>
      <c r="B14" s="177">
        <v>34099</v>
      </c>
      <c r="C14" s="177">
        <v>19956</v>
      </c>
      <c r="D14" s="177">
        <v>35124</v>
      </c>
      <c r="E14" s="175"/>
      <c r="F14" s="177"/>
      <c r="G14" s="177"/>
      <c r="H14" s="177"/>
      <c r="I14" s="177"/>
      <c r="J14" s="177"/>
      <c r="K14" s="177"/>
      <c r="L14" s="177"/>
      <c r="M14" s="177"/>
      <c r="N14" s="178"/>
    </row>
    <row r="15" spans="1:24">
      <c r="E15" s="179" t="s">
        <v>142</v>
      </c>
    </row>
    <row r="16" spans="1:24" ht="13.5" customHeight="1">
      <c r="E16" s="179"/>
    </row>
    <row r="17" spans="1:24">
      <c r="A17" s="395">
        <v>4</v>
      </c>
      <c r="B17" s="395" t="s">
        <v>143</v>
      </c>
    </row>
    <row r="18" spans="1:24">
      <c r="A18" s="292" t="s">
        <v>143</v>
      </c>
      <c r="B18" s="174" t="s">
        <v>137</v>
      </c>
      <c r="C18" s="174" t="s">
        <v>2</v>
      </c>
      <c r="D18" s="174" t="s">
        <v>3</v>
      </c>
      <c r="E18" s="175" t="s">
        <v>4</v>
      </c>
      <c r="F18" s="174" t="s">
        <v>5</v>
      </c>
      <c r="G18" s="174" t="s">
        <v>6</v>
      </c>
      <c r="H18" s="174" t="s">
        <v>7</v>
      </c>
      <c r="I18" s="174" t="s">
        <v>8</v>
      </c>
      <c r="J18" s="174" t="s">
        <v>9</v>
      </c>
      <c r="K18" s="174" t="s">
        <v>10</v>
      </c>
      <c r="L18" s="174" t="s">
        <v>11</v>
      </c>
      <c r="M18" s="174" t="s">
        <v>12</v>
      </c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</row>
    <row r="19" spans="1:24">
      <c r="A19" s="394" t="s">
        <v>464</v>
      </c>
      <c r="B19" s="176">
        <v>2874</v>
      </c>
      <c r="C19" s="176">
        <v>1546</v>
      </c>
      <c r="D19" s="176">
        <v>2402</v>
      </c>
      <c r="E19" s="175"/>
      <c r="F19" s="177"/>
      <c r="G19" s="177"/>
      <c r="H19" s="177"/>
      <c r="I19" s="177"/>
      <c r="J19" s="177"/>
      <c r="K19" s="177"/>
      <c r="L19" s="177"/>
      <c r="M19" s="177"/>
      <c r="N19" s="178"/>
    </row>
    <row r="20" spans="1:24">
      <c r="E20" s="179" t="s">
        <v>144</v>
      </c>
    </row>
    <row r="21" spans="1:24" ht="13.5" customHeight="1">
      <c r="E21" s="179"/>
    </row>
    <row r="22" spans="1:24">
      <c r="A22" s="395">
        <v>5</v>
      </c>
      <c r="B22" s="395" t="s">
        <v>145</v>
      </c>
    </row>
    <row r="23" spans="1:24">
      <c r="A23" s="292" t="s">
        <v>145</v>
      </c>
      <c r="B23" s="174" t="s">
        <v>137</v>
      </c>
      <c r="C23" s="174" t="s">
        <v>2</v>
      </c>
      <c r="D23" s="174" t="s">
        <v>3</v>
      </c>
      <c r="E23" s="175" t="s">
        <v>4</v>
      </c>
      <c r="F23" s="174" t="s">
        <v>5</v>
      </c>
      <c r="G23" s="174" t="s">
        <v>6</v>
      </c>
      <c r="H23" s="174" t="s">
        <v>7</v>
      </c>
      <c r="I23" s="174" t="s">
        <v>8</v>
      </c>
      <c r="J23" s="174" t="s">
        <v>9</v>
      </c>
      <c r="K23" s="174" t="s">
        <v>10</v>
      </c>
      <c r="L23" s="174" t="s">
        <v>11</v>
      </c>
      <c r="M23" s="174" t="s">
        <v>12</v>
      </c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</row>
    <row r="24" spans="1:24">
      <c r="A24" s="394" t="s">
        <v>465</v>
      </c>
      <c r="B24" s="176">
        <v>2586</v>
      </c>
      <c r="C24" s="177">
        <v>2542</v>
      </c>
      <c r="D24" s="177">
        <v>2571</v>
      </c>
      <c r="E24" s="175"/>
      <c r="F24" s="177"/>
      <c r="G24" s="177"/>
      <c r="H24" s="177"/>
      <c r="I24" s="177"/>
      <c r="J24" s="177"/>
      <c r="K24" s="177"/>
      <c r="L24" s="177"/>
      <c r="M24" s="177"/>
      <c r="N24" s="178"/>
    </row>
    <row r="25" spans="1:24">
      <c r="E25" s="179" t="s">
        <v>146</v>
      </c>
    </row>
    <row r="26" spans="1:24" ht="13.5" customHeight="1">
      <c r="E26" s="179"/>
    </row>
    <row r="27" spans="1:24">
      <c r="A27" s="395">
        <v>6</v>
      </c>
      <c r="B27" s="395" t="s">
        <v>147</v>
      </c>
    </row>
    <row r="28" spans="1:24">
      <c r="A28" s="292" t="s">
        <v>148</v>
      </c>
      <c r="B28" s="174" t="s">
        <v>137</v>
      </c>
      <c r="C28" s="174" t="s">
        <v>2</v>
      </c>
      <c r="D28" s="174" t="s">
        <v>3</v>
      </c>
      <c r="E28" s="175" t="s">
        <v>4</v>
      </c>
      <c r="F28" s="174" t="s">
        <v>5</v>
      </c>
      <c r="G28" s="174" t="s">
        <v>6</v>
      </c>
      <c r="H28" s="174" t="s">
        <v>7</v>
      </c>
      <c r="I28" s="174" t="s">
        <v>8</v>
      </c>
      <c r="J28" s="174" t="s">
        <v>9</v>
      </c>
      <c r="K28" s="174" t="s">
        <v>10</v>
      </c>
      <c r="L28" s="174" t="s">
        <v>11</v>
      </c>
      <c r="M28" s="174" t="s">
        <v>12</v>
      </c>
      <c r="N28" s="173" t="s">
        <v>521</v>
      </c>
      <c r="O28" s="173"/>
      <c r="P28" s="173"/>
      <c r="Q28" s="173"/>
      <c r="R28" s="173"/>
      <c r="S28" s="173"/>
      <c r="T28" s="173"/>
      <c r="U28" s="173"/>
      <c r="V28" s="173"/>
      <c r="W28" s="173"/>
      <c r="X28" s="173"/>
    </row>
    <row r="29" spans="1:24">
      <c r="A29" s="394" t="s">
        <v>466</v>
      </c>
      <c r="B29" s="177">
        <v>2412</v>
      </c>
      <c r="C29" s="181">
        <v>1563</v>
      </c>
      <c r="D29" s="181">
        <v>2232</v>
      </c>
      <c r="E29" s="181"/>
      <c r="F29" s="177"/>
      <c r="G29" s="181"/>
      <c r="H29" s="181"/>
      <c r="I29" s="177"/>
      <c r="J29" s="177"/>
      <c r="K29" s="181"/>
      <c r="L29" s="181"/>
      <c r="M29" s="181"/>
      <c r="N29" s="182">
        <f>SUM(B29:M29)</f>
        <v>6207</v>
      </c>
      <c r="W29" s="170" t="s">
        <v>521</v>
      </c>
      <c r="X29" s="182">
        <f>SUM(N29)</f>
        <v>6207</v>
      </c>
    </row>
    <row r="30" spans="1:24">
      <c r="E30" s="179" t="s">
        <v>149</v>
      </c>
      <c r="W30" s="170" t="s">
        <v>522</v>
      </c>
      <c r="X30" s="182">
        <f>SUM(N34)</f>
        <v>6287</v>
      </c>
    </row>
    <row r="31" spans="1:24" ht="13.5" customHeight="1">
      <c r="E31" s="179"/>
    </row>
    <row r="32" spans="1:24">
      <c r="A32" s="395">
        <v>7</v>
      </c>
      <c r="B32" s="395" t="s">
        <v>150</v>
      </c>
      <c r="C32" s="395"/>
    </row>
    <row r="33" spans="1:24">
      <c r="A33" s="292" t="s">
        <v>151</v>
      </c>
      <c r="B33" s="174" t="s">
        <v>137</v>
      </c>
      <c r="C33" s="174" t="s">
        <v>2</v>
      </c>
      <c r="D33" s="174" t="s">
        <v>3</v>
      </c>
      <c r="E33" s="175" t="s">
        <v>4</v>
      </c>
      <c r="F33" s="174" t="s">
        <v>5</v>
      </c>
      <c r="G33" s="174" t="s">
        <v>6</v>
      </c>
      <c r="H33" s="174" t="s">
        <v>7</v>
      </c>
      <c r="I33" s="174" t="s">
        <v>8</v>
      </c>
      <c r="J33" s="174" t="s">
        <v>9</v>
      </c>
      <c r="K33" s="174" t="s">
        <v>10</v>
      </c>
      <c r="L33" s="174" t="s">
        <v>11</v>
      </c>
      <c r="M33" s="174" t="s">
        <v>12</v>
      </c>
      <c r="N33" s="173" t="s">
        <v>522</v>
      </c>
      <c r="O33" s="173"/>
      <c r="P33" s="173"/>
      <c r="Q33" s="173"/>
      <c r="R33" s="173"/>
      <c r="S33" s="173"/>
      <c r="T33" s="173"/>
      <c r="U33" s="173"/>
      <c r="V33" s="173"/>
      <c r="W33" s="173"/>
      <c r="X33" s="173"/>
    </row>
    <row r="34" spans="1:24">
      <c r="A34" s="394" t="s">
        <v>467</v>
      </c>
      <c r="B34" s="177">
        <v>2076</v>
      </c>
      <c r="C34" s="573">
        <v>1771</v>
      </c>
      <c r="D34" s="177">
        <v>2440</v>
      </c>
      <c r="E34" s="175"/>
      <c r="F34" s="177"/>
      <c r="G34" s="177"/>
      <c r="H34" s="177"/>
      <c r="I34" s="177"/>
      <c r="J34" s="177"/>
      <c r="K34" s="177"/>
      <c r="L34" s="177"/>
      <c r="M34" s="177"/>
      <c r="N34" s="178">
        <f>SUM(B34:M34)</f>
        <v>6287</v>
      </c>
    </row>
    <row r="35" spans="1:24">
      <c r="E35" s="179" t="s">
        <v>152</v>
      </c>
    </row>
    <row r="36" spans="1:24" ht="13.5" customHeight="1">
      <c r="E36" s="179"/>
    </row>
    <row r="37" spans="1:24">
      <c r="A37" s="395">
        <v>8</v>
      </c>
      <c r="B37" s="395" t="s">
        <v>153</v>
      </c>
      <c r="E37" s="183"/>
    </row>
    <row r="38" spans="1:24">
      <c r="A38" s="395" t="s">
        <v>154</v>
      </c>
      <c r="B38" s="174" t="s">
        <v>137</v>
      </c>
      <c r="C38" s="174" t="s">
        <v>2</v>
      </c>
      <c r="D38" s="174" t="s">
        <v>3</v>
      </c>
      <c r="E38" s="175" t="s">
        <v>4</v>
      </c>
      <c r="F38" s="174" t="s">
        <v>5</v>
      </c>
      <c r="G38" s="174" t="s">
        <v>6</v>
      </c>
      <c r="H38" s="174" t="s">
        <v>7</v>
      </c>
      <c r="I38" s="174" t="s">
        <v>8</v>
      </c>
      <c r="J38" s="174" t="s">
        <v>9</v>
      </c>
      <c r="K38" s="174" t="s">
        <v>10</v>
      </c>
      <c r="L38" s="174" t="s">
        <v>11</v>
      </c>
      <c r="M38" s="174" t="s">
        <v>12</v>
      </c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</row>
    <row r="39" spans="1:24">
      <c r="A39" s="394" t="s">
        <v>520</v>
      </c>
      <c r="B39" s="815">
        <v>1</v>
      </c>
      <c r="C39" s="815">
        <v>1</v>
      </c>
      <c r="D39" s="546">
        <v>1</v>
      </c>
      <c r="E39" s="579"/>
      <c r="F39" s="546"/>
      <c r="G39" s="581"/>
      <c r="H39" s="581"/>
      <c r="I39" s="581"/>
      <c r="J39" s="581"/>
      <c r="K39" s="581"/>
      <c r="L39" s="581"/>
      <c r="M39" s="581"/>
      <c r="N39" s="184"/>
    </row>
    <row r="40" spans="1:24">
      <c r="E40" s="179" t="s">
        <v>155</v>
      </c>
    </row>
    <row r="41" spans="1:24" ht="13.5" customHeight="1">
      <c r="E41" s="179"/>
    </row>
    <row r="42" spans="1:24">
      <c r="A42" s="396" t="s">
        <v>156</v>
      </c>
      <c r="B42" s="395" t="s">
        <v>663</v>
      </c>
    </row>
    <row r="43" spans="1:24">
      <c r="A43" s="394" t="s">
        <v>514</v>
      </c>
      <c r="B43" s="174" t="s">
        <v>137</v>
      </c>
      <c r="C43" s="174" t="s">
        <v>2</v>
      </c>
      <c r="D43" s="174" t="s">
        <v>3</v>
      </c>
      <c r="E43" s="175" t="s">
        <v>4</v>
      </c>
      <c r="F43" s="174" t="s">
        <v>5</v>
      </c>
      <c r="G43" s="174" t="s">
        <v>6</v>
      </c>
      <c r="H43" s="174" t="s">
        <v>7</v>
      </c>
      <c r="I43" s="174" t="s">
        <v>8</v>
      </c>
      <c r="J43" s="174" t="s">
        <v>9</v>
      </c>
      <c r="K43" s="174" t="s">
        <v>10</v>
      </c>
      <c r="L43" s="174" t="s">
        <v>11</v>
      </c>
      <c r="M43" s="174" t="s">
        <v>12</v>
      </c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</row>
    <row r="44" spans="1:24">
      <c r="A44" s="395" t="s">
        <v>158</v>
      </c>
      <c r="B44" s="185">
        <v>21.7</v>
      </c>
      <c r="C44" s="174">
        <v>21.2</v>
      </c>
      <c r="D44" s="185">
        <v>22.4</v>
      </c>
      <c r="E44" s="186"/>
      <c r="F44" s="174"/>
      <c r="G44" s="174"/>
      <c r="H44" s="174"/>
      <c r="I44" s="174"/>
      <c r="J44" s="174"/>
      <c r="K44" s="187"/>
      <c r="L44" s="185"/>
      <c r="M44" s="174"/>
      <c r="N44" s="173"/>
    </row>
    <row r="45" spans="1:24">
      <c r="E45" s="397" t="s">
        <v>159</v>
      </c>
    </row>
    <row r="46" spans="1:24" ht="13.5" customHeight="1">
      <c r="E46" s="179"/>
    </row>
    <row r="47" spans="1:24">
      <c r="B47" s="395" t="s">
        <v>160</v>
      </c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</row>
    <row r="48" spans="1:24">
      <c r="A48" s="394" t="s">
        <v>512</v>
      </c>
      <c r="B48" s="174" t="s">
        <v>137</v>
      </c>
      <c r="C48" s="174" t="s">
        <v>2</v>
      </c>
      <c r="D48" s="174" t="s">
        <v>3</v>
      </c>
      <c r="E48" s="175" t="s">
        <v>4</v>
      </c>
      <c r="F48" s="174" t="s">
        <v>5</v>
      </c>
      <c r="G48" s="174" t="s">
        <v>6</v>
      </c>
      <c r="H48" s="174" t="s">
        <v>7</v>
      </c>
      <c r="I48" s="174" t="s">
        <v>8</v>
      </c>
      <c r="J48" s="174" t="s">
        <v>9</v>
      </c>
      <c r="K48" s="174" t="s">
        <v>10</v>
      </c>
      <c r="L48" s="174" t="s">
        <v>11</v>
      </c>
      <c r="M48" s="174" t="s">
        <v>12</v>
      </c>
      <c r="N48" s="189"/>
      <c r="P48" s="190"/>
    </row>
    <row r="49" spans="1:24">
      <c r="B49" s="185">
        <v>43.5</v>
      </c>
      <c r="C49" s="574">
        <v>49.7</v>
      </c>
      <c r="D49" s="185">
        <v>58.7</v>
      </c>
      <c r="E49" s="186"/>
      <c r="F49" s="174"/>
      <c r="G49" s="174"/>
      <c r="H49" s="174"/>
      <c r="I49" s="174"/>
      <c r="J49" s="574"/>
      <c r="K49" s="187"/>
      <c r="L49" s="185"/>
      <c r="M49" s="174"/>
    </row>
    <row r="50" spans="1:24">
      <c r="E50" s="179" t="s">
        <v>159</v>
      </c>
    </row>
    <row r="51" spans="1:24">
      <c r="B51" s="395" t="s">
        <v>161</v>
      </c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</row>
    <row r="52" spans="1:24">
      <c r="A52" s="394" t="s">
        <v>513</v>
      </c>
      <c r="B52" s="174" t="s">
        <v>137</v>
      </c>
      <c r="C52" s="174" t="s">
        <v>2</v>
      </c>
      <c r="D52" s="174" t="s">
        <v>3</v>
      </c>
      <c r="E52" s="175" t="s">
        <v>4</v>
      </c>
      <c r="F52" s="174" t="s">
        <v>5</v>
      </c>
      <c r="G52" s="174" t="s">
        <v>6</v>
      </c>
      <c r="H52" s="174" t="s">
        <v>7</v>
      </c>
      <c r="I52" s="174" t="s">
        <v>8</v>
      </c>
      <c r="J52" s="174" t="s">
        <v>9</v>
      </c>
      <c r="K52" s="174" t="s">
        <v>10</v>
      </c>
      <c r="L52" s="174" t="s">
        <v>11</v>
      </c>
      <c r="M52" s="174" t="s">
        <v>12</v>
      </c>
      <c r="N52" s="189"/>
      <c r="P52" s="190"/>
    </row>
    <row r="53" spans="1:24">
      <c r="B53" s="185">
        <v>13.5</v>
      </c>
      <c r="C53" s="174">
        <v>10.7</v>
      </c>
      <c r="D53" s="185">
        <v>27.2</v>
      </c>
      <c r="E53" s="186"/>
      <c r="F53" s="174"/>
      <c r="G53" s="174"/>
      <c r="H53" s="174"/>
      <c r="I53" s="574"/>
      <c r="J53" s="574"/>
      <c r="K53" s="187"/>
      <c r="L53" s="185"/>
      <c r="M53" s="174"/>
    </row>
    <row r="54" spans="1:24">
      <c r="E54" s="179" t="s">
        <v>159</v>
      </c>
    </row>
    <row r="55" spans="1:24">
      <c r="B55" s="395" t="s">
        <v>162</v>
      </c>
    </row>
    <row r="56" spans="1:24">
      <c r="A56" s="394" t="s">
        <v>515</v>
      </c>
      <c r="B56" s="174" t="s">
        <v>137</v>
      </c>
      <c r="C56" s="174" t="s">
        <v>2</v>
      </c>
      <c r="D56" s="174" t="s">
        <v>3</v>
      </c>
      <c r="E56" s="175" t="s">
        <v>4</v>
      </c>
      <c r="F56" s="174" t="s">
        <v>5</v>
      </c>
      <c r="G56" s="174" t="s">
        <v>6</v>
      </c>
      <c r="H56" s="174" t="s">
        <v>7</v>
      </c>
      <c r="I56" s="174" t="s">
        <v>8</v>
      </c>
      <c r="J56" s="174" t="s">
        <v>9</v>
      </c>
      <c r="K56" s="174" t="s">
        <v>10</v>
      </c>
      <c r="L56" s="174" t="s">
        <v>11</v>
      </c>
      <c r="M56" s="174" t="s">
        <v>12</v>
      </c>
    </row>
    <row r="57" spans="1:24">
      <c r="B57" s="185">
        <v>19.899999999999999</v>
      </c>
      <c r="C57" s="574">
        <v>20</v>
      </c>
      <c r="D57" s="185">
        <v>19.100000000000001</v>
      </c>
      <c r="E57" s="186"/>
      <c r="F57" s="174"/>
      <c r="G57" s="174"/>
      <c r="H57" s="174"/>
      <c r="I57" s="174"/>
      <c r="J57" s="174"/>
      <c r="K57" s="187"/>
      <c r="L57" s="185"/>
      <c r="M57" s="174"/>
    </row>
    <row r="58" spans="1:24">
      <c r="B58" s="191"/>
      <c r="C58" s="173"/>
      <c r="D58" s="191"/>
      <c r="E58" s="179" t="s">
        <v>159</v>
      </c>
      <c r="F58" s="173"/>
      <c r="G58" s="173"/>
      <c r="H58" s="173"/>
      <c r="I58" s="173"/>
      <c r="J58" s="173"/>
      <c r="K58" s="192"/>
      <c r="L58" s="191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</row>
    <row r="59" spans="1:24">
      <c r="A59" s="396" t="s">
        <v>163</v>
      </c>
      <c r="B59" s="395" t="s">
        <v>157</v>
      </c>
      <c r="N59" s="173"/>
    </row>
    <row r="60" spans="1:24">
      <c r="A60" s="394" t="s">
        <v>514</v>
      </c>
      <c r="B60" s="174" t="s">
        <v>137</v>
      </c>
      <c r="C60" s="174" t="s">
        <v>2</v>
      </c>
      <c r="D60" s="174" t="s">
        <v>3</v>
      </c>
      <c r="E60" s="175" t="s">
        <v>4</v>
      </c>
      <c r="F60" s="174" t="s">
        <v>5</v>
      </c>
      <c r="G60" s="174" t="s">
        <v>6</v>
      </c>
      <c r="H60" s="174" t="s">
        <v>7</v>
      </c>
      <c r="I60" s="174" t="s">
        <v>8</v>
      </c>
      <c r="J60" s="174" t="s">
        <v>9</v>
      </c>
      <c r="K60" s="174" t="s">
        <v>10</v>
      </c>
      <c r="L60" s="174" t="s">
        <v>11</v>
      </c>
      <c r="M60" s="174" t="s">
        <v>12</v>
      </c>
    </row>
    <row r="61" spans="1:24">
      <c r="A61" s="395" t="s">
        <v>158</v>
      </c>
      <c r="B61" s="185">
        <v>14.9</v>
      </c>
      <c r="C61" s="574">
        <v>14.1</v>
      </c>
      <c r="D61" s="185">
        <v>15.3</v>
      </c>
      <c r="E61" s="186"/>
      <c r="F61" s="174"/>
      <c r="G61" s="174"/>
      <c r="H61" s="174"/>
      <c r="I61" s="174"/>
      <c r="J61" s="174"/>
      <c r="K61" s="187"/>
      <c r="L61" s="185"/>
      <c r="M61" s="174"/>
    </row>
    <row r="62" spans="1:24">
      <c r="A62" s="292"/>
      <c r="E62" s="194" t="s">
        <v>164</v>
      </c>
    </row>
    <row r="63" spans="1:24" ht="13.5" customHeight="1">
      <c r="A63" s="292"/>
      <c r="E63" s="179"/>
    </row>
    <row r="64" spans="1:24">
      <c r="A64" s="292"/>
      <c r="B64" s="395" t="s">
        <v>160</v>
      </c>
    </row>
    <row r="65" spans="1:13">
      <c r="A65" s="394" t="s">
        <v>512</v>
      </c>
      <c r="B65" s="174" t="s">
        <v>137</v>
      </c>
      <c r="C65" s="174" t="s">
        <v>2</v>
      </c>
      <c r="D65" s="174" t="s">
        <v>3</v>
      </c>
      <c r="E65" s="175" t="s">
        <v>4</v>
      </c>
      <c r="F65" s="174" t="s">
        <v>5</v>
      </c>
      <c r="G65" s="174" t="s">
        <v>6</v>
      </c>
      <c r="H65" s="174" t="s">
        <v>7</v>
      </c>
      <c r="I65" s="174" t="s">
        <v>8</v>
      </c>
      <c r="J65" s="174" t="s">
        <v>9</v>
      </c>
      <c r="K65" s="174" t="s">
        <v>10</v>
      </c>
      <c r="L65" s="174" t="s">
        <v>11</v>
      </c>
      <c r="M65" s="174" t="s">
        <v>12</v>
      </c>
    </row>
    <row r="66" spans="1:13">
      <c r="B66" s="185">
        <v>31</v>
      </c>
      <c r="C66" s="174">
        <v>33.5</v>
      </c>
      <c r="D66" s="185">
        <v>44.5</v>
      </c>
      <c r="E66" s="186"/>
      <c r="F66" s="174"/>
      <c r="G66" s="574"/>
      <c r="H66" s="174"/>
      <c r="I66" s="574"/>
      <c r="J66" s="174"/>
      <c r="K66" s="187"/>
      <c r="L66" s="185"/>
      <c r="M66" s="174"/>
    </row>
    <row r="67" spans="1:13">
      <c r="E67" s="179" t="s">
        <v>459</v>
      </c>
    </row>
    <row r="68" spans="1:13">
      <c r="B68" s="395" t="s">
        <v>161</v>
      </c>
    </row>
    <row r="69" spans="1:13">
      <c r="A69" s="394" t="s">
        <v>513</v>
      </c>
      <c r="B69" s="174" t="s">
        <v>137</v>
      </c>
      <c r="C69" s="174" t="s">
        <v>2</v>
      </c>
      <c r="D69" s="174" t="s">
        <v>3</v>
      </c>
      <c r="E69" s="175" t="s">
        <v>4</v>
      </c>
      <c r="F69" s="174" t="s">
        <v>5</v>
      </c>
      <c r="G69" s="174" t="s">
        <v>6</v>
      </c>
      <c r="H69" s="174" t="s">
        <v>7</v>
      </c>
      <c r="I69" s="174" t="s">
        <v>8</v>
      </c>
      <c r="J69" s="174" t="s">
        <v>9</v>
      </c>
      <c r="K69" s="174" t="s">
        <v>10</v>
      </c>
      <c r="L69" s="174" t="s">
        <v>11</v>
      </c>
      <c r="M69" s="174" t="s">
        <v>12</v>
      </c>
    </row>
    <row r="70" spans="1:13">
      <c r="A70" s="292"/>
      <c r="B70" s="185">
        <v>11</v>
      </c>
      <c r="C70" s="174">
        <v>6.4</v>
      </c>
      <c r="D70" s="185">
        <v>21.8</v>
      </c>
      <c r="E70" s="186"/>
      <c r="F70" s="174"/>
      <c r="G70" s="174"/>
      <c r="H70" s="174"/>
      <c r="I70" s="174"/>
      <c r="J70" s="174"/>
      <c r="K70" s="187"/>
      <c r="L70" s="185"/>
      <c r="M70" s="174"/>
    </row>
    <row r="71" spans="1:13">
      <c r="A71" s="292"/>
      <c r="E71" s="179" t="s">
        <v>459</v>
      </c>
    </row>
    <row r="72" spans="1:13">
      <c r="A72" s="292"/>
      <c r="B72" s="395" t="s">
        <v>162</v>
      </c>
    </row>
    <row r="73" spans="1:13">
      <c r="A73" s="394" t="s">
        <v>515</v>
      </c>
      <c r="B73" s="174" t="s">
        <v>137</v>
      </c>
      <c r="C73" s="174" t="s">
        <v>2</v>
      </c>
      <c r="D73" s="174" t="s">
        <v>3</v>
      </c>
      <c r="E73" s="175" t="s">
        <v>4</v>
      </c>
      <c r="F73" s="174" t="s">
        <v>5</v>
      </c>
      <c r="G73" s="174" t="s">
        <v>6</v>
      </c>
      <c r="H73" s="174" t="s">
        <v>7</v>
      </c>
      <c r="I73" s="174" t="s">
        <v>8</v>
      </c>
      <c r="J73" s="174" t="s">
        <v>9</v>
      </c>
      <c r="K73" s="174" t="s">
        <v>10</v>
      </c>
      <c r="L73" s="174" t="s">
        <v>11</v>
      </c>
      <c r="M73" s="174" t="s">
        <v>12</v>
      </c>
    </row>
    <row r="74" spans="1:13">
      <c r="B74" s="185">
        <v>13.6</v>
      </c>
      <c r="C74" s="174">
        <v>13.3</v>
      </c>
      <c r="D74" s="185">
        <v>12.6</v>
      </c>
      <c r="E74" s="186"/>
      <c r="F74" s="174"/>
      <c r="G74" s="574"/>
      <c r="H74" s="174"/>
      <c r="I74" s="174"/>
      <c r="J74" s="174"/>
      <c r="K74" s="187"/>
      <c r="L74" s="185"/>
      <c r="M74" s="174"/>
    </row>
    <row r="75" spans="1:13">
      <c r="E75" s="179" t="s">
        <v>459</v>
      </c>
    </row>
    <row r="76" spans="1:13" ht="13.5" customHeight="1">
      <c r="E76" s="194"/>
    </row>
    <row r="77" spans="1:13">
      <c r="A77" s="395">
        <v>10</v>
      </c>
      <c r="B77" s="395" t="s">
        <v>165</v>
      </c>
    </row>
    <row r="78" spans="1:13">
      <c r="A78" s="395" t="s">
        <v>519</v>
      </c>
      <c r="B78" s="174" t="s">
        <v>137</v>
      </c>
      <c r="C78" s="174" t="s">
        <v>2</v>
      </c>
      <c r="D78" s="174" t="s">
        <v>3</v>
      </c>
      <c r="E78" s="175" t="s">
        <v>4</v>
      </c>
      <c r="F78" s="174" t="s">
        <v>5</v>
      </c>
      <c r="G78" s="174" t="s">
        <v>6</v>
      </c>
      <c r="H78" s="174" t="s">
        <v>7</v>
      </c>
      <c r="I78" s="174" t="s">
        <v>8</v>
      </c>
      <c r="J78" s="174" t="s">
        <v>9</v>
      </c>
      <c r="K78" s="174" t="s">
        <v>10</v>
      </c>
      <c r="L78" s="174" t="s">
        <v>11</v>
      </c>
      <c r="M78" s="174" t="s">
        <v>12</v>
      </c>
    </row>
    <row r="79" spans="1:13">
      <c r="A79" s="394" t="s">
        <v>516</v>
      </c>
      <c r="B79" s="816">
        <v>1</v>
      </c>
      <c r="C79" s="816">
        <v>1</v>
      </c>
      <c r="D79" s="816">
        <v>1</v>
      </c>
      <c r="E79" s="547"/>
      <c r="F79" s="547"/>
      <c r="G79" s="817"/>
      <c r="H79" s="547"/>
      <c r="I79" s="547"/>
      <c r="J79" s="575"/>
      <c r="K79" s="547"/>
      <c r="L79" s="547"/>
      <c r="M79" s="547"/>
    </row>
    <row r="80" spans="1:13">
      <c r="E80" s="179" t="s">
        <v>166</v>
      </c>
    </row>
    <row r="81" spans="1:24" ht="13.5" customHeight="1">
      <c r="E81" s="179"/>
    </row>
    <row r="82" spans="1:24">
      <c r="A82" s="395">
        <v>11</v>
      </c>
      <c r="B82" s="395" t="s">
        <v>460</v>
      </c>
    </row>
    <row r="83" spans="1:24">
      <c r="A83" s="173"/>
      <c r="B83" s="174" t="s">
        <v>137</v>
      </c>
      <c r="C83" s="174" t="s">
        <v>2</v>
      </c>
      <c r="D83" s="174" t="s">
        <v>3</v>
      </c>
      <c r="E83" s="175" t="s">
        <v>4</v>
      </c>
      <c r="F83" s="174" t="s">
        <v>5</v>
      </c>
      <c r="G83" s="174" t="s">
        <v>6</v>
      </c>
      <c r="H83" s="174" t="s">
        <v>7</v>
      </c>
      <c r="I83" s="174" t="s">
        <v>8</v>
      </c>
      <c r="J83" s="174" t="s">
        <v>9</v>
      </c>
      <c r="K83" s="174" t="s">
        <v>10</v>
      </c>
      <c r="L83" s="174" t="s">
        <v>11</v>
      </c>
      <c r="M83" s="174" t="s">
        <v>12</v>
      </c>
    </row>
    <row r="84" spans="1:24">
      <c r="A84" s="188" t="s">
        <v>518</v>
      </c>
      <c r="B84" s="818">
        <v>1</v>
      </c>
      <c r="C84" s="818">
        <v>1</v>
      </c>
      <c r="D84" s="548">
        <v>1</v>
      </c>
      <c r="E84" s="548"/>
      <c r="F84" s="548"/>
      <c r="G84" s="547"/>
      <c r="H84" s="547"/>
      <c r="I84" s="547"/>
      <c r="J84" s="547"/>
      <c r="K84" s="547"/>
      <c r="L84" s="547"/>
      <c r="M84" s="547"/>
    </row>
    <row r="85" spans="1:24">
      <c r="E85" s="179" t="s">
        <v>166</v>
      </c>
    </row>
    <row r="86" spans="1:24" ht="13.5" customHeight="1">
      <c r="E86" s="179"/>
    </row>
    <row r="87" spans="1:24">
      <c r="A87" s="395">
        <v>12</v>
      </c>
      <c r="B87" s="395" t="s">
        <v>167</v>
      </c>
    </row>
    <row r="88" spans="1:24">
      <c r="A88" s="395" t="s">
        <v>66</v>
      </c>
      <c r="B88" s="174" t="s">
        <v>137</v>
      </c>
      <c r="C88" s="174" t="s">
        <v>2</v>
      </c>
      <c r="D88" s="174" t="s">
        <v>3</v>
      </c>
      <c r="E88" s="175" t="s">
        <v>4</v>
      </c>
      <c r="F88" s="174" t="s">
        <v>5</v>
      </c>
      <c r="G88" s="174" t="s">
        <v>6</v>
      </c>
      <c r="H88" s="174" t="s">
        <v>7</v>
      </c>
      <c r="I88" s="174" t="s">
        <v>8</v>
      </c>
      <c r="J88" s="174" t="s">
        <v>9</v>
      </c>
      <c r="K88" s="174" t="s">
        <v>10</v>
      </c>
      <c r="L88" s="174" t="s">
        <v>11</v>
      </c>
      <c r="M88" s="174" t="s">
        <v>12</v>
      </c>
    </row>
    <row r="89" spans="1:24" s="896" customFormat="1" ht="16.5">
      <c r="A89" s="890" t="s">
        <v>517</v>
      </c>
      <c r="B89" s="891">
        <v>0</v>
      </c>
      <c r="C89" s="891">
        <v>0</v>
      </c>
      <c r="D89" s="891">
        <v>0</v>
      </c>
      <c r="E89" s="892"/>
      <c r="F89" s="893"/>
      <c r="G89" s="893"/>
      <c r="H89" s="893"/>
      <c r="I89" s="893"/>
      <c r="J89" s="893"/>
      <c r="K89" s="893"/>
      <c r="L89" s="893"/>
      <c r="M89" s="893"/>
      <c r="N89" s="894"/>
      <c r="O89" s="894"/>
      <c r="P89" s="894"/>
      <c r="Q89" s="894"/>
      <c r="R89" s="894"/>
      <c r="S89" s="894"/>
      <c r="T89" s="894"/>
      <c r="U89" s="895"/>
      <c r="V89" s="894"/>
      <c r="W89" s="894"/>
      <c r="X89" s="894"/>
    </row>
    <row r="90" spans="1:24">
      <c r="E90" s="179" t="s">
        <v>168</v>
      </c>
    </row>
    <row r="91" spans="1:24">
      <c r="E91" s="179"/>
    </row>
  </sheetData>
  <phoneticPr fontId="36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E858-5828-49EA-94FC-543847CADF89}">
  <sheetPr>
    <tabColor rgb="FFFF0000"/>
  </sheetPr>
  <dimension ref="A1:T114"/>
  <sheetViews>
    <sheetView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R51" sqref="R51"/>
    </sheetView>
  </sheetViews>
  <sheetFormatPr defaultColWidth="9" defaultRowHeight="15"/>
  <cols>
    <col min="1" max="1" width="17" style="170" customWidth="1"/>
    <col min="2" max="2" width="13.42578125" style="170" customWidth="1"/>
    <col min="3" max="3" width="10.140625" style="173" bestFit="1" customWidth="1"/>
    <col min="4" max="4" width="10.140625" style="908" bestFit="1" customWidth="1"/>
    <col min="5" max="10" width="10.140625" style="173" bestFit="1" customWidth="1"/>
    <col min="11" max="11" width="11" style="173" bestFit="1" customWidth="1"/>
    <col min="12" max="14" width="10.140625" style="173" bestFit="1" customWidth="1"/>
    <col min="15" max="20" width="9" style="170"/>
    <col min="21" max="16384" width="9" style="172"/>
  </cols>
  <sheetData>
    <row r="1" spans="1:20" ht="18.75">
      <c r="C1" s="196" t="s">
        <v>446</v>
      </c>
      <c r="L1" s="195"/>
      <c r="M1" s="876"/>
    </row>
    <row r="2" spans="1:20" ht="17.25">
      <c r="C2" s="196" t="s">
        <v>447</v>
      </c>
      <c r="L2" s="170"/>
      <c r="M2" s="876"/>
    </row>
    <row r="3" spans="1:20" ht="17.25">
      <c r="C3" s="196" t="s">
        <v>448</v>
      </c>
      <c r="L3" s="170"/>
      <c r="M3" s="876"/>
    </row>
    <row r="4" spans="1:20" ht="17.25">
      <c r="C4" s="196" t="s">
        <v>449</v>
      </c>
      <c r="L4" s="170"/>
      <c r="M4" s="876"/>
    </row>
    <row r="5" spans="1:20" ht="18" thickBot="1">
      <c r="C5" s="196"/>
      <c r="L5" s="170"/>
      <c r="M5" s="876"/>
    </row>
    <row r="6" spans="1:20" ht="18" thickBot="1">
      <c r="A6" s="188" t="s">
        <v>169</v>
      </c>
      <c r="C6" s="199" t="s">
        <v>170</v>
      </c>
      <c r="E6" s="200" t="s">
        <v>171</v>
      </c>
      <c r="F6" s="198"/>
    </row>
    <row r="7" spans="1:20">
      <c r="B7" s="170" t="s">
        <v>172</v>
      </c>
    </row>
    <row r="8" spans="1:20" ht="15.75" thickBot="1">
      <c r="C8" s="201" t="s">
        <v>137</v>
      </c>
      <c r="D8" s="909" t="s">
        <v>2</v>
      </c>
      <c r="E8" s="201" t="s">
        <v>3</v>
      </c>
      <c r="F8" s="201" t="s">
        <v>4</v>
      </c>
      <c r="G8" s="201" t="s">
        <v>5</v>
      </c>
      <c r="H8" s="201" t="s">
        <v>6</v>
      </c>
      <c r="I8" s="201" t="s">
        <v>7</v>
      </c>
      <c r="J8" s="201" t="s">
        <v>8</v>
      </c>
      <c r="K8" s="201" t="s">
        <v>9</v>
      </c>
      <c r="L8" s="201" t="s">
        <v>10</v>
      </c>
      <c r="M8" s="201" t="s">
        <v>11</v>
      </c>
      <c r="N8" s="201" t="s">
        <v>12</v>
      </c>
      <c r="O8" s="202" t="s">
        <v>570</v>
      </c>
    </row>
    <row r="9" spans="1:20" ht="15.75" thickTop="1">
      <c r="A9" s="975" t="s">
        <v>67</v>
      </c>
      <c r="B9" s="419" t="s">
        <v>551</v>
      </c>
      <c r="C9" s="717">
        <f t="shared" ref="C9:E9" si="0">C12+C15+C18+C21+C24+C27+C30+C33+C39+C42+C45+C48+C54+C36+C51</f>
        <v>6743</v>
      </c>
      <c r="D9" s="717">
        <f t="shared" si="0"/>
        <v>4357</v>
      </c>
      <c r="E9" s="717">
        <f t="shared" si="0"/>
        <v>6625</v>
      </c>
      <c r="F9" s="717"/>
      <c r="G9" s="717"/>
      <c r="H9" s="717"/>
      <c r="I9" s="717"/>
      <c r="J9" s="717"/>
      <c r="K9" s="717"/>
      <c r="L9" s="717"/>
      <c r="M9" s="717"/>
      <c r="N9" s="717"/>
      <c r="O9" s="203">
        <f>SUM(C9:N9)</f>
        <v>17725</v>
      </c>
      <c r="P9" s="204"/>
      <c r="Q9" s="205"/>
      <c r="R9" s="205"/>
      <c r="S9" s="205"/>
      <c r="T9" s="205"/>
    </row>
    <row r="10" spans="1:20">
      <c r="A10" s="976"/>
      <c r="B10" s="422" t="s">
        <v>552</v>
      </c>
      <c r="C10" s="423">
        <f t="shared" ref="C10:E10" si="1">C13+C16+C19+C22+C25+C28+C31+C34+C40+C43+C46+C49+C55+C37+C52</f>
        <v>0</v>
      </c>
      <c r="D10" s="423">
        <f t="shared" si="1"/>
        <v>0</v>
      </c>
      <c r="E10" s="423">
        <f t="shared" si="1"/>
        <v>1</v>
      </c>
      <c r="F10" s="423"/>
      <c r="G10" s="423"/>
      <c r="H10" s="423"/>
      <c r="I10" s="423"/>
      <c r="J10" s="423"/>
      <c r="K10" s="423"/>
      <c r="L10" s="423"/>
      <c r="M10" s="423"/>
      <c r="N10" s="423"/>
      <c r="O10" s="424">
        <f>SUM(C10:N10)</f>
        <v>1</v>
      </c>
      <c r="P10" s="208"/>
    </row>
    <row r="11" spans="1:20" ht="15.75" thickBot="1">
      <c r="A11" s="977"/>
      <c r="B11" s="209" t="s">
        <v>553</v>
      </c>
      <c r="C11" s="210">
        <f>C10/C9</f>
        <v>0</v>
      </c>
      <c r="D11" s="910">
        <f>D10/D9</f>
        <v>0</v>
      </c>
      <c r="E11" s="210">
        <f t="shared" ref="E11:N11" si="2">E10/E9</f>
        <v>1.509433962264151E-4</v>
      </c>
      <c r="F11" s="210" t="e">
        <f>F10/F9</f>
        <v>#DIV/0!</v>
      </c>
      <c r="G11" s="210" t="e">
        <f t="shared" si="2"/>
        <v>#DIV/0!</v>
      </c>
      <c r="H11" s="210" t="e">
        <f t="shared" si="2"/>
        <v>#DIV/0!</v>
      </c>
      <c r="I11" s="210" t="e">
        <f t="shared" si="2"/>
        <v>#DIV/0!</v>
      </c>
      <c r="J11" s="210" t="e">
        <f t="shared" si="2"/>
        <v>#DIV/0!</v>
      </c>
      <c r="K11" s="210" t="e">
        <f t="shared" si="2"/>
        <v>#DIV/0!</v>
      </c>
      <c r="L11" s="210" t="e">
        <f t="shared" si="2"/>
        <v>#DIV/0!</v>
      </c>
      <c r="M11" s="210" t="e">
        <f t="shared" si="2"/>
        <v>#DIV/0!</v>
      </c>
      <c r="N11" s="211" t="e">
        <f t="shared" si="2"/>
        <v>#DIV/0!</v>
      </c>
      <c r="O11" s="212">
        <f>O10/O9</f>
        <v>5.6417489421720733E-5</v>
      </c>
      <c r="P11" s="184"/>
    </row>
    <row r="12" spans="1:20" ht="18.75" customHeight="1">
      <c r="A12" s="978" t="s">
        <v>555</v>
      </c>
      <c r="B12" s="495" t="s">
        <v>554</v>
      </c>
      <c r="C12" s="819">
        <v>453</v>
      </c>
      <c r="D12" s="911">
        <v>275</v>
      </c>
      <c r="E12" s="213">
        <v>425</v>
      </c>
      <c r="F12" s="213"/>
      <c r="G12" s="213"/>
      <c r="H12" s="213"/>
      <c r="I12" s="213"/>
      <c r="J12" s="213"/>
      <c r="K12" s="213"/>
      <c r="L12" s="213"/>
      <c r="M12" s="213"/>
      <c r="N12" s="215"/>
      <c r="O12" s="216">
        <f>SUM(C12:N12)</f>
        <v>1153</v>
      </c>
    </row>
    <row r="13" spans="1:20">
      <c r="A13" s="979"/>
      <c r="B13" s="206" t="s">
        <v>552</v>
      </c>
      <c r="C13" s="820">
        <v>0</v>
      </c>
      <c r="D13" s="912">
        <v>0</v>
      </c>
      <c r="E13" s="207">
        <v>0</v>
      </c>
      <c r="F13" s="207"/>
      <c r="G13" s="207"/>
      <c r="H13" s="207"/>
      <c r="I13" s="207"/>
      <c r="J13" s="207"/>
      <c r="K13" s="207"/>
      <c r="L13" s="207"/>
      <c r="M13" s="207"/>
      <c r="N13" s="218"/>
      <c r="O13" s="219">
        <f>SUM(C13:N13)</f>
        <v>0</v>
      </c>
    </row>
    <row r="14" spans="1:20" ht="15.75" thickBot="1">
      <c r="A14" s="979"/>
      <c r="B14" s="220" t="s">
        <v>553</v>
      </c>
      <c r="C14" s="821">
        <f>C13/C12</f>
        <v>0</v>
      </c>
      <c r="D14" s="913">
        <f>D13/D12</f>
        <v>0</v>
      </c>
      <c r="E14" s="221">
        <f t="shared" ref="E14:O14" si="3">E13/E12</f>
        <v>0</v>
      </c>
      <c r="F14" s="221" t="e">
        <f t="shared" si="3"/>
        <v>#DIV/0!</v>
      </c>
      <c r="G14" s="221" t="e">
        <f t="shared" si="3"/>
        <v>#DIV/0!</v>
      </c>
      <c r="H14" s="221" t="e">
        <f t="shared" si="3"/>
        <v>#DIV/0!</v>
      </c>
      <c r="I14" s="221" t="e">
        <f t="shared" si="3"/>
        <v>#DIV/0!</v>
      </c>
      <c r="J14" s="221" t="e">
        <f t="shared" si="3"/>
        <v>#DIV/0!</v>
      </c>
      <c r="K14" s="221" t="e">
        <f t="shared" si="3"/>
        <v>#DIV/0!</v>
      </c>
      <c r="L14" s="221" t="e">
        <f t="shared" si="3"/>
        <v>#DIV/0!</v>
      </c>
      <c r="M14" s="221" t="e">
        <f t="shared" si="3"/>
        <v>#DIV/0!</v>
      </c>
      <c r="N14" s="222" t="e">
        <f t="shared" si="3"/>
        <v>#DIV/0!</v>
      </c>
      <c r="O14" s="223">
        <f t="shared" si="3"/>
        <v>0</v>
      </c>
    </row>
    <row r="15" spans="1:20" ht="18.75" customHeight="1">
      <c r="A15" s="980" t="s">
        <v>556</v>
      </c>
      <c r="B15" s="495" t="s">
        <v>554</v>
      </c>
      <c r="C15" s="822">
        <v>78</v>
      </c>
      <c r="D15" s="914">
        <v>36</v>
      </c>
      <c r="E15" s="237">
        <v>100</v>
      </c>
      <c r="F15" s="237"/>
      <c r="G15" s="237"/>
      <c r="H15" s="237"/>
      <c r="I15" s="237"/>
      <c r="J15" s="237"/>
      <c r="K15" s="237"/>
      <c r="L15" s="237"/>
      <c r="M15" s="237"/>
      <c r="N15" s="238"/>
      <c r="O15" s="224">
        <f>SUM(C15:N15)</f>
        <v>214</v>
      </c>
    </row>
    <row r="16" spans="1:20">
      <c r="A16" s="979"/>
      <c r="B16" s="206" t="s">
        <v>552</v>
      </c>
      <c r="C16" s="820">
        <v>0</v>
      </c>
      <c r="D16" s="915">
        <v>0</v>
      </c>
      <c r="E16" s="239">
        <v>0</v>
      </c>
      <c r="F16" s="239"/>
      <c r="G16" s="239"/>
      <c r="H16" s="239"/>
      <c r="I16" s="239"/>
      <c r="J16" s="239"/>
      <c r="K16" s="239"/>
      <c r="L16" s="239"/>
      <c r="M16" s="239"/>
      <c r="N16" s="240"/>
      <c r="O16" s="219">
        <f>SUM(C16:N16)</f>
        <v>0</v>
      </c>
    </row>
    <row r="17" spans="1:15" ht="15.75" thickBot="1">
      <c r="A17" s="981"/>
      <c r="B17" s="220" t="s">
        <v>553</v>
      </c>
      <c r="C17" s="821">
        <f>C16/C15</f>
        <v>0</v>
      </c>
      <c r="D17" s="913">
        <f t="shared" ref="D17" si="4">D16/D15</f>
        <v>0</v>
      </c>
      <c r="E17" s="221">
        <f t="shared" ref="E17:O17" si="5">E16/E15</f>
        <v>0</v>
      </c>
      <c r="F17" s="221" t="e">
        <f t="shared" si="5"/>
        <v>#DIV/0!</v>
      </c>
      <c r="G17" s="221" t="e">
        <f t="shared" si="5"/>
        <v>#DIV/0!</v>
      </c>
      <c r="H17" s="221" t="e">
        <f t="shared" si="5"/>
        <v>#DIV/0!</v>
      </c>
      <c r="I17" s="221" t="e">
        <f t="shared" si="5"/>
        <v>#DIV/0!</v>
      </c>
      <c r="J17" s="221" t="e">
        <f t="shared" si="5"/>
        <v>#DIV/0!</v>
      </c>
      <c r="K17" s="221" t="e">
        <f t="shared" si="5"/>
        <v>#DIV/0!</v>
      </c>
      <c r="L17" s="221" t="e">
        <f t="shared" si="5"/>
        <v>#DIV/0!</v>
      </c>
      <c r="M17" s="221" t="e">
        <f t="shared" si="5"/>
        <v>#DIV/0!</v>
      </c>
      <c r="N17" s="222" t="e">
        <f t="shared" si="5"/>
        <v>#DIV/0!</v>
      </c>
      <c r="O17" s="223">
        <f t="shared" si="5"/>
        <v>0</v>
      </c>
    </row>
    <row r="18" spans="1:15" ht="18.75" customHeight="1">
      <c r="A18" s="978" t="s">
        <v>557</v>
      </c>
      <c r="B18" s="495" t="s">
        <v>554</v>
      </c>
      <c r="C18" s="823">
        <v>1081</v>
      </c>
      <c r="D18" s="916">
        <v>670</v>
      </c>
      <c r="E18" s="237">
        <v>1079</v>
      </c>
      <c r="F18" s="718"/>
      <c r="G18" s="718"/>
      <c r="H18" s="718"/>
      <c r="I18" s="718"/>
      <c r="J18" s="718"/>
      <c r="K18" s="718"/>
      <c r="L18" s="718"/>
      <c r="M18" s="718"/>
      <c r="N18" s="723"/>
      <c r="O18" s="224">
        <f>SUM(C18:N18)</f>
        <v>2830</v>
      </c>
    </row>
    <row r="19" spans="1:15">
      <c r="A19" s="979"/>
      <c r="B19" s="206" t="s">
        <v>552</v>
      </c>
      <c r="C19" s="820">
        <v>0</v>
      </c>
      <c r="D19" s="912">
        <v>0</v>
      </c>
      <c r="E19" s="207">
        <v>0</v>
      </c>
      <c r="F19" s="207"/>
      <c r="G19" s="207"/>
      <c r="H19" s="207"/>
      <c r="I19" s="207"/>
      <c r="J19" s="207"/>
      <c r="K19" s="207"/>
      <c r="L19" s="207"/>
      <c r="M19" s="207"/>
      <c r="N19" s="218"/>
      <c r="O19" s="219">
        <f>SUM(C19:N19)</f>
        <v>0</v>
      </c>
    </row>
    <row r="20" spans="1:15" ht="15.75" thickBot="1">
      <c r="A20" s="979"/>
      <c r="B20" s="220" t="s">
        <v>553</v>
      </c>
      <c r="C20" s="821">
        <f t="shared" ref="C20:D20" si="6">C19/C18</f>
        <v>0</v>
      </c>
      <c r="D20" s="913">
        <f t="shared" si="6"/>
        <v>0</v>
      </c>
      <c r="E20" s="221">
        <f t="shared" ref="E20:O20" si="7">E19/E18</f>
        <v>0</v>
      </c>
      <c r="F20" s="221" t="e">
        <f t="shared" si="7"/>
        <v>#DIV/0!</v>
      </c>
      <c r="G20" s="221" t="e">
        <f t="shared" si="7"/>
        <v>#DIV/0!</v>
      </c>
      <c r="H20" s="221" t="e">
        <f t="shared" si="7"/>
        <v>#DIV/0!</v>
      </c>
      <c r="I20" s="221" t="e">
        <f t="shared" si="7"/>
        <v>#DIV/0!</v>
      </c>
      <c r="J20" s="221" t="e">
        <f t="shared" si="7"/>
        <v>#DIV/0!</v>
      </c>
      <c r="K20" s="221" t="e">
        <f t="shared" si="7"/>
        <v>#DIV/0!</v>
      </c>
      <c r="L20" s="221" t="e">
        <f t="shared" si="7"/>
        <v>#DIV/0!</v>
      </c>
      <c r="M20" s="221" t="e">
        <f t="shared" si="7"/>
        <v>#DIV/0!</v>
      </c>
      <c r="N20" s="222" t="e">
        <f t="shared" si="7"/>
        <v>#DIV/0!</v>
      </c>
      <c r="O20" s="228">
        <f t="shared" si="7"/>
        <v>0</v>
      </c>
    </row>
    <row r="21" spans="1:15" ht="18.75" customHeight="1">
      <c r="A21" s="980" t="s">
        <v>558</v>
      </c>
      <c r="B21" s="495" t="s">
        <v>554</v>
      </c>
      <c r="C21" s="822">
        <v>469</v>
      </c>
      <c r="D21" s="914">
        <v>355</v>
      </c>
      <c r="E21" s="237">
        <v>523</v>
      </c>
      <c r="F21" s="237"/>
      <c r="G21" s="237"/>
      <c r="H21" s="237"/>
      <c r="I21" s="237"/>
      <c r="J21" s="237"/>
      <c r="K21" s="237"/>
      <c r="L21" s="237"/>
      <c r="M21" s="237"/>
      <c r="N21" s="238"/>
      <c r="O21" s="229">
        <f>SUM(C21:N21)</f>
        <v>1347</v>
      </c>
    </row>
    <row r="22" spans="1:15">
      <c r="A22" s="979"/>
      <c r="B22" s="206" t="s">
        <v>552</v>
      </c>
      <c r="C22" s="820">
        <v>0</v>
      </c>
      <c r="D22" s="915">
        <v>0</v>
      </c>
      <c r="E22" s="239">
        <v>0</v>
      </c>
      <c r="F22" s="239"/>
      <c r="G22" s="239"/>
      <c r="H22" s="239"/>
      <c r="I22" s="239"/>
      <c r="J22" s="239"/>
      <c r="K22" s="239"/>
      <c r="L22" s="239"/>
      <c r="M22" s="239"/>
      <c r="N22" s="240"/>
      <c r="O22" s="219">
        <f>SUM(C22:N22)</f>
        <v>0</v>
      </c>
    </row>
    <row r="23" spans="1:15" ht="15.75" thickBot="1">
      <c r="A23" s="981"/>
      <c r="B23" s="220" t="s">
        <v>553</v>
      </c>
      <c r="C23" s="821">
        <f>C22/C21</f>
        <v>0</v>
      </c>
      <c r="D23" s="913">
        <f t="shared" ref="D23" si="8">D22/D21</f>
        <v>0</v>
      </c>
      <c r="E23" s="221">
        <f t="shared" ref="E23:O23" si="9">E22/E21</f>
        <v>0</v>
      </c>
      <c r="F23" s="221" t="e">
        <f t="shared" si="9"/>
        <v>#DIV/0!</v>
      </c>
      <c r="G23" s="221" t="e">
        <f t="shared" si="9"/>
        <v>#DIV/0!</v>
      </c>
      <c r="H23" s="221" t="e">
        <f t="shared" si="9"/>
        <v>#DIV/0!</v>
      </c>
      <c r="I23" s="221" t="e">
        <f t="shared" si="9"/>
        <v>#DIV/0!</v>
      </c>
      <c r="J23" s="221" t="e">
        <f t="shared" si="9"/>
        <v>#DIV/0!</v>
      </c>
      <c r="K23" s="221" t="e">
        <f t="shared" si="9"/>
        <v>#DIV/0!</v>
      </c>
      <c r="L23" s="221" t="e">
        <f t="shared" si="9"/>
        <v>#DIV/0!</v>
      </c>
      <c r="M23" s="221" t="e">
        <f t="shared" si="9"/>
        <v>#DIV/0!</v>
      </c>
      <c r="N23" s="222" t="e">
        <f t="shared" si="9"/>
        <v>#DIV/0!</v>
      </c>
      <c r="O23" s="223">
        <f t="shared" si="9"/>
        <v>0</v>
      </c>
    </row>
    <row r="24" spans="1:15" ht="18.75" customHeight="1">
      <c r="A24" s="973" t="s">
        <v>559</v>
      </c>
      <c r="B24" s="495" t="s">
        <v>554</v>
      </c>
      <c r="C24" s="823">
        <v>1295</v>
      </c>
      <c r="D24" s="916">
        <v>899</v>
      </c>
      <c r="E24" s="719">
        <v>1309</v>
      </c>
      <c r="F24" s="719"/>
      <c r="G24" s="718"/>
      <c r="H24" s="719"/>
      <c r="I24" s="719"/>
      <c r="J24" s="719"/>
      <c r="K24" s="719"/>
      <c r="L24" s="719"/>
      <c r="M24" s="718"/>
      <c r="N24" s="723"/>
      <c r="O24" s="224">
        <f>SUM(C24:N24)</f>
        <v>3503</v>
      </c>
    </row>
    <row r="25" spans="1:15">
      <c r="A25" s="974"/>
      <c r="B25" s="206" t="s">
        <v>552</v>
      </c>
      <c r="C25" s="820">
        <v>0</v>
      </c>
      <c r="D25" s="912">
        <v>0</v>
      </c>
      <c r="E25" s="207">
        <v>0</v>
      </c>
      <c r="F25" s="207"/>
      <c r="G25" s="207"/>
      <c r="H25" s="207"/>
      <c r="I25" s="207"/>
      <c r="J25" s="207"/>
      <c r="K25" s="207"/>
      <c r="L25" s="207"/>
      <c r="M25" s="207"/>
      <c r="N25" s="218"/>
      <c r="O25" s="219">
        <f>SUM(C25:N25)</f>
        <v>0</v>
      </c>
    </row>
    <row r="26" spans="1:15" ht="15.75" thickBot="1">
      <c r="A26" s="974"/>
      <c r="B26" s="220" t="s">
        <v>553</v>
      </c>
      <c r="C26" s="821">
        <f>C25/C24</f>
        <v>0</v>
      </c>
      <c r="D26" s="913">
        <f t="shared" ref="D26" si="10">D25/D24</f>
        <v>0</v>
      </c>
      <c r="E26" s="221">
        <f t="shared" ref="E26:O26" si="11">E25/E24</f>
        <v>0</v>
      </c>
      <c r="F26" s="221" t="e">
        <f t="shared" si="11"/>
        <v>#DIV/0!</v>
      </c>
      <c r="G26" s="221" t="e">
        <f t="shared" si="11"/>
        <v>#DIV/0!</v>
      </c>
      <c r="H26" s="221" t="e">
        <f t="shared" si="11"/>
        <v>#DIV/0!</v>
      </c>
      <c r="I26" s="221" t="e">
        <f t="shared" si="11"/>
        <v>#DIV/0!</v>
      </c>
      <c r="J26" s="221" t="e">
        <f t="shared" si="11"/>
        <v>#DIV/0!</v>
      </c>
      <c r="K26" s="221" t="e">
        <f t="shared" si="11"/>
        <v>#DIV/0!</v>
      </c>
      <c r="L26" s="221" t="e">
        <f t="shared" si="11"/>
        <v>#DIV/0!</v>
      </c>
      <c r="M26" s="221" t="e">
        <f t="shared" si="11"/>
        <v>#DIV/0!</v>
      </c>
      <c r="N26" s="222" t="e">
        <f t="shared" si="11"/>
        <v>#DIV/0!</v>
      </c>
      <c r="O26" s="228">
        <f t="shared" si="11"/>
        <v>0</v>
      </c>
    </row>
    <row r="27" spans="1:15" ht="18.75" customHeight="1">
      <c r="A27" s="985" t="s">
        <v>560</v>
      </c>
      <c r="B27" s="495" t="s">
        <v>554</v>
      </c>
      <c r="C27" s="822">
        <v>258</v>
      </c>
      <c r="D27" s="914">
        <v>173</v>
      </c>
      <c r="E27" s="237">
        <v>316</v>
      </c>
      <c r="F27" s="237"/>
      <c r="G27" s="237"/>
      <c r="H27" s="237"/>
      <c r="I27" s="237"/>
      <c r="J27" s="237"/>
      <c r="K27" s="237"/>
      <c r="L27" s="237"/>
      <c r="M27" s="237"/>
      <c r="N27" s="238"/>
      <c r="O27" s="229">
        <f>SUM(C27:N27)</f>
        <v>747</v>
      </c>
    </row>
    <row r="28" spans="1:15">
      <c r="A28" s="986"/>
      <c r="B28" s="206" t="s">
        <v>552</v>
      </c>
      <c r="C28" s="820">
        <v>0</v>
      </c>
      <c r="D28" s="915">
        <v>0</v>
      </c>
      <c r="E28" s="239">
        <v>0</v>
      </c>
      <c r="F28" s="239"/>
      <c r="G28" s="239"/>
      <c r="H28" s="239"/>
      <c r="I28" s="239"/>
      <c r="J28" s="239"/>
      <c r="K28" s="239"/>
      <c r="L28" s="239"/>
      <c r="M28" s="239"/>
      <c r="N28" s="240"/>
      <c r="O28" s="219">
        <f>SUM(C28:N28)</f>
        <v>0</v>
      </c>
    </row>
    <row r="29" spans="1:15" ht="15.75" thickBot="1">
      <c r="A29" s="987"/>
      <c r="B29" s="220" t="s">
        <v>553</v>
      </c>
      <c r="C29" s="821">
        <f>C28/C27</f>
        <v>0</v>
      </c>
      <c r="D29" s="913">
        <f>D28/D27</f>
        <v>0</v>
      </c>
      <c r="E29" s="221">
        <f>E28/E27</f>
        <v>0</v>
      </c>
      <c r="F29" s="221" t="e">
        <f>F28/F27</f>
        <v>#DIV/0!</v>
      </c>
      <c r="G29" s="221" t="e">
        <f t="shared" ref="G29:O29" si="12">G28/G27</f>
        <v>#DIV/0!</v>
      </c>
      <c r="H29" s="221" t="e">
        <f t="shared" si="12"/>
        <v>#DIV/0!</v>
      </c>
      <c r="I29" s="221" t="e">
        <f t="shared" si="12"/>
        <v>#DIV/0!</v>
      </c>
      <c r="J29" s="221" t="e">
        <f t="shared" si="12"/>
        <v>#DIV/0!</v>
      </c>
      <c r="K29" s="221" t="e">
        <f t="shared" si="12"/>
        <v>#DIV/0!</v>
      </c>
      <c r="L29" s="221" t="e">
        <f>L28/L27</f>
        <v>#DIV/0!</v>
      </c>
      <c r="M29" s="221" t="e">
        <f t="shared" si="12"/>
        <v>#DIV/0!</v>
      </c>
      <c r="N29" s="222" t="e">
        <f t="shared" si="12"/>
        <v>#DIV/0!</v>
      </c>
      <c r="O29" s="228">
        <f t="shared" si="12"/>
        <v>0</v>
      </c>
    </row>
    <row r="30" spans="1:15" ht="18.75" customHeight="1">
      <c r="A30" s="978" t="s">
        <v>561</v>
      </c>
      <c r="B30" s="495" t="s">
        <v>554</v>
      </c>
      <c r="C30" s="823">
        <v>1356</v>
      </c>
      <c r="D30" s="916">
        <v>878</v>
      </c>
      <c r="E30" s="719">
        <v>1275</v>
      </c>
      <c r="F30" s="718"/>
      <c r="G30" s="823"/>
      <c r="H30" s="718"/>
      <c r="I30" s="718"/>
      <c r="J30" s="718"/>
      <c r="K30" s="718"/>
      <c r="L30" s="718"/>
      <c r="M30" s="718"/>
      <c r="N30" s="723"/>
      <c r="O30" s="229">
        <f>SUM(C30:N30)</f>
        <v>3509</v>
      </c>
    </row>
    <row r="31" spans="1:15">
      <c r="A31" s="979"/>
      <c r="B31" s="206" t="s">
        <v>552</v>
      </c>
      <c r="C31" s="820">
        <v>0</v>
      </c>
      <c r="D31" s="912">
        <v>0</v>
      </c>
      <c r="E31" s="207">
        <v>1</v>
      </c>
      <c r="F31" s="207"/>
      <c r="G31" s="207"/>
      <c r="H31" s="207"/>
      <c r="I31" s="207"/>
      <c r="J31" s="207"/>
      <c r="K31" s="207"/>
      <c r="L31" s="207"/>
      <c r="M31" s="207"/>
      <c r="N31" s="218"/>
      <c r="O31" s="219">
        <f>SUM(C31:N31)</f>
        <v>1</v>
      </c>
    </row>
    <row r="32" spans="1:15" ht="15.75" thickBot="1">
      <c r="A32" s="979"/>
      <c r="B32" s="220" t="s">
        <v>553</v>
      </c>
      <c r="C32" s="821">
        <f>C31/C30</f>
        <v>0</v>
      </c>
      <c r="D32" s="913">
        <f t="shared" ref="D32" si="13">D31/D30</f>
        <v>0</v>
      </c>
      <c r="E32" s="221">
        <f t="shared" ref="E32:O32" si="14">E31/E30</f>
        <v>7.8431372549019605E-4</v>
      </c>
      <c r="F32" s="221" t="e">
        <f t="shared" si="14"/>
        <v>#DIV/0!</v>
      </c>
      <c r="G32" s="221" t="e">
        <f>G31/G30</f>
        <v>#DIV/0!</v>
      </c>
      <c r="H32" s="221" t="e">
        <f>H31/H30</f>
        <v>#DIV/0!</v>
      </c>
      <c r="I32" s="221" t="e">
        <f t="shared" si="14"/>
        <v>#DIV/0!</v>
      </c>
      <c r="J32" s="221" t="e">
        <f t="shared" si="14"/>
        <v>#DIV/0!</v>
      </c>
      <c r="K32" s="221" t="e">
        <f t="shared" si="14"/>
        <v>#DIV/0!</v>
      </c>
      <c r="L32" s="221" t="e">
        <f t="shared" si="14"/>
        <v>#DIV/0!</v>
      </c>
      <c r="M32" s="221" t="e">
        <f t="shared" si="14"/>
        <v>#DIV/0!</v>
      </c>
      <c r="N32" s="222" t="e">
        <f t="shared" si="14"/>
        <v>#DIV/0!</v>
      </c>
      <c r="O32" s="228">
        <f t="shared" si="14"/>
        <v>2.8498147620404675E-4</v>
      </c>
    </row>
    <row r="33" spans="1:15" ht="18.75" customHeight="1">
      <c r="A33" s="980" t="s">
        <v>562</v>
      </c>
      <c r="B33" s="495" t="s">
        <v>554</v>
      </c>
      <c r="C33" s="822">
        <v>348</v>
      </c>
      <c r="D33" s="917">
        <v>224</v>
      </c>
      <c r="E33" s="225">
        <v>247</v>
      </c>
      <c r="F33" s="225"/>
      <c r="G33" s="225"/>
      <c r="H33" s="225"/>
      <c r="I33" s="225"/>
      <c r="J33" s="225"/>
      <c r="K33" s="225"/>
      <c r="L33" s="225"/>
      <c r="M33" s="225"/>
      <c r="N33" s="227"/>
      <c r="O33" s="229">
        <f>SUM(C33:N33)</f>
        <v>819</v>
      </c>
    </row>
    <row r="34" spans="1:15">
      <c r="A34" s="979"/>
      <c r="B34" s="206" t="s">
        <v>552</v>
      </c>
      <c r="C34" s="820">
        <v>0</v>
      </c>
      <c r="D34" s="912">
        <v>0</v>
      </c>
      <c r="E34" s="207">
        <v>0</v>
      </c>
      <c r="F34" s="207"/>
      <c r="G34" s="207"/>
      <c r="H34" s="207"/>
      <c r="I34" s="207"/>
      <c r="J34" s="207"/>
      <c r="K34" s="207"/>
      <c r="L34" s="207"/>
      <c r="M34" s="207"/>
      <c r="N34" s="218"/>
      <c r="O34" s="219">
        <f>SUM(C34:N34)</f>
        <v>0</v>
      </c>
    </row>
    <row r="35" spans="1:15" ht="15.75" thickBot="1">
      <c r="A35" s="981"/>
      <c r="B35" s="220" t="s">
        <v>553</v>
      </c>
      <c r="C35" s="821">
        <f>C34/C33</f>
        <v>0</v>
      </c>
      <c r="D35" s="913">
        <f t="shared" ref="D35" si="15">D34/D33</f>
        <v>0</v>
      </c>
      <c r="E35" s="221">
        <f t="shared" ref="E35:O35" si="16">E34/E33</f>
        <v>0</v>
      </c>
      <c r="F35" s="221" t="e">
        <f t="shared" si="16"/>
        <v>#DIV/0!</v>
      </c>
      <c r="G35" s="221" t="e">
        <f>G34/G33</f>
        <v>#DIV/0!</v>
      </c>
      <c r="H35" s="221" t="e">
        <f>H34/H33</f>
        <v>#DIV/0!</v>
      </c>
      <c r="I35" s="221" t="e">
        <f t="shared" si="16"/>
        <v>#DIV/0!</v>
      </c>
      <c r="J35" s="221" t="e">
        <f>J34/J33</f>
        <v>#DIV/0!</v>
      </c>
      <c r="K35" s="221" t="e">
        <f t="shared" si="16"/>
        <v>#DIV/0!</v>
      </c>
      <c r="L35" s="221" t="e">
        <f t="shared" si="16"/>
        <v>#DIV/0!</v>
      </c>
      <c r="M35" s="221" t="e">
        <f t="shared" si="16"/>
        <v>#DIV/0!</v>
      </c>
      <c r="N35" s="222" t="e">
        <f t="shared" si="16"/>
        <v>#DIV/0!</v>
      </c>
      <c r="O35" s="228">
        <f t="shared" si="16"/>
        <v>0</v>
      </c>
    </row>
    <row r="36" spans="1:15">
      <c r="A36" s="982" t="s">
        <v>563</v>
      </c>
      <c r="B36" s="469" t="s">
        <v>174</v>
      </c>
      <c r="C36" s="824"/>
      <c r="D36" s="918"/>
      <c r="E36" s="470"/>
      <c r="F36" s="470"/>
      <c r="G36" s="470"/>
      <c r="H36" s="470"/>
      <c r="I36" s="470"/>
      <c r="J36" s="470"/>
      <c r="K36" s="470"/>
      <c r="L36" s="470"/>
      <c r="M36" s="470"/>
      <c r="N36" s="471"/>
      <c r="O36" s="472">
        <f>SUM(C36:N36)</f>
        <v>0</v>
      </c>
    </row>
    <row r="37" spans="1:15">
      <c r="A37" s="983"/>
      <c r="B37" s="473" t="s">
        <v>175</v>
      </c>
      <c r="C37" s="825"/>
      <c r="D37" s="919"/>
      <c r="E37" s="474"/>
      <c r="F37" s="474"/>
      <c r="G37" s="474"/>
      <c r="H37" s="474"/>
      <c r="I37" s="474"/>
      <c r="J37" s="474"/>
      <c r="K37" s="474"/>
      <c r="L37" s="474"/>
      <c r="M37" s="474"/>
      <c r="N37" s="475"/>
      <c r="O37" s="476">
        <f>SUM(C37:N37)</f>
        <v>0</v>
      </c>
    </row>
    <row r="38" spans="1:15" ht="15.75" thickBot="1">
      <c r="A38" s="984"/>
      <c r="B38" s="477" t="s">
        <v>176</v>
      </c>
      <c r="C38" s="826" t="e">
        <f t="shared" ref="C38:D38" si="17">C37/C36</f>
        <v>#DIV/0!</v>
      </c>
      <c r="D38" s="920" t="e">
        <f t="shared" si="17"/>
        <v>#DIV/0!</v>
      </c>
      <c r="E38" s="478" t="e">
        <f t="shared" ref="E38:O38" si="18">E37/E36</f>
        <v>#DIV/0!</v>
      </c>
      <c r="F38" s="478" t="e">
        <f t="shared" si="18"/>
        <v>#DIV/0!</v>
      </c>
      <c r="G38" s="478" t="e">
        <f t="shared" si="18"/>
        <v>#DIV/0!</v>
      </c>
      <c r="H38" s="478" t="e">
        <f t="shared" si="18"/>
        <v>#DIV/0!</v>
      </c>
      <c r="I38" s="478" t="e">
        <f t="shared" si="18"/>
        <v>#DIV/0!</v>
      </c>
      <c r="J38" s="478" t="e">
        <f t="shared" si="18"/>
        <v>#DIV/0!</v>
      </c>
      <c r="K38" s="478" t="e">
        <f t="shared" si="18"/>
        <v>#DIV/0!</v>
      </c>
      <c r="L38" s="478" t="e">
        <f t="shared" si="18"/>
        <v>#DIV/0!</v>
      </c>
      <c r="M38" s="478" t="e">
        <f t="shared" si="18"/>
        <v>#DIV/0!</v>
      </c>
      <c r="N38" s="479" t="e">
        <f t="shared" si="18"/>
        <v>#DIV/0!</v>
      </c>
      <c r="O38" s="480" t="e">
        <f t="shared" si="18"/>
        <v>#DIV/0!</v>
      </c>
    </row>
    <row r="39" spans="1:15" ht="18.75" customHeight="1">
      <c r="A39" s="980" t="s">
        <v>564</v>
      </c>
      <c r="B39" s="495" t="s">
        <v>554</v>
      </c>
      <c r="C39" s="822">
        <v>190</v>
      </c>
      <c r="D39" s="914">
        <v>112</v>
      </c>
      <c r="E39" s="237">
        <v>165</v>
      </c>
      <c r="F39" s="237"/>
      <c r="G39" s="237"/>
      <c r="H39" s="237"/>
      <c r="I39" s="237"/>
      <c r="J39" s="237"/>
      <c r="K39" s="237"/>
      <c r="L39" s="237"/>
      <c r="M39" s="237"/>
      <c r="N39" s="238"/>
      <c r="O39" s="229">
        <f>SUM(C39:N39)</f>
        <v>467</v>
      </c>
    </row>
    <row r="40" spans="1:15">
      <c r="A40" s="979"/>
      <c r="B40" s="206" t="s">
        <v>552</v>
      </c>
      <c r="C40" s="820">
        <v>0</v>
      </c>
      <c r="D40" s="915">
        <v>0</v>
      </c>
      <c r="E40" s="239">
        <v>0</v>
      </c>
      <c r="F40" s="239"/>
      <c r="G40" s="239"/>
      <c r="H40" s="239"/>
      <c r="I40" s="239"/>
      <c r="J40" s="239"/>
      <c r="K40" s="239"/>
      <c r="L40" s="239"/>
      <c r="M40" s="239"/>
      <c r="N40" s="240"/>
      <c r="O40" s="219">
        <f>SUM(C40:N40)</f>
        <v>0</v>
      </c>
    </row>
    <row r="41" spans="1:15" ht="15.75" thickBot="1">
      <c r="A41" s="981"/>
      <c r="B41" s="220" t="s">
        <v>553</v>
      </c>
      <c r="C41" s="821">
        <f t="shared" ref="C41:D41" si="19">C40/C39</f>
        <v>0</v>
      </c>
      <c r="D41" s="913">
        <f t="shared" si="19"/>
        <v>0</v>
      </c>
      <c r="E41" s="221">
        <f t="shared" ref="E41:O41" si="20">E40/E39</f>
        <v>0</v>
      </c>
      <c r="F41" s="221" t="e">
        <f t="shared" si="20"/>
        <v>#DIV/0!</v>
      </c>
      <c r="G41" s="221" t="e">
        <f t="shared" si="20"/>
        <v>#DIV/0!</v>
      </c>
      <c r="H41" s="221" t="e">
        <f t="shared" si="20"/>
        <v>#DIV/0!</v>
      </c>
      <c r="I41" s="221" t="e">
        <f t="shared" si="20"/>
        <v>#DIV/0!</v>
      </c>
      <c r="J41" s="221" t="e">
        <f t="shared" si="20"/>
        <v>#DIV/0!</v>
      </c>
      <c r="K41" s="221" t="e">
        <f t="shared" si="20"/>
        <v>#DIV/0!</v>
      </c>
      <c r="L41" s="221" t="e">
        <f t="shared" si="20"/>
        <v>#DIV/0!</v>
      </c>
      <c r="M41" s="221" t="e">
        <f t="shared" si="20"/>
        <v>#DIV/0!</v>
      </c>
      <c r="N41" s="222" t="e">
        <f t="shared" si="20"/>
        <v>#DIV/0!</v>
      </c>
      <c r="O41" s="228">
        <f t="shared" si="20"/>
        <v>0</v>
      </c>
    </row>
    <row r="42" spans="1:15" ht="18.75" customHeight="1">
      <c r="A42" s="978" t="s">
        <v>565</v>
      </c>
      <c r="B42" s="495" t="s">
        <v>554</v>
      </c>
      <c r="C42" s="822">
        <v>165</v>
      </c>
      <c r="D42" s="914">
        <v>93</v>
      </c>
      <c r="E42" s="237">
        <v>111</v>
      </c>
      <c r="F42" s="237"/>
      <c r="G42" s="237"/>
      <c r="H42" s="237"/>
      <c r="I42" s="237"/>
      <c r="J42" s="237"/>
      <c r="K42" s="237"/>
      <c r="L42" s="237"/>
      <c r="M42" s="237"/>
      <c r="N42" s="238"/>
      <c r="O42" s="229">
        <f>SUM(C42:N42)</f>
        <v>369</v>
      </c>
    </row>
    <row r="43" spans="1:15">
      <c r="A43" s="979"/>
      <c r="B43" s="206" t="s">
        <v>552</v>
      </c>
      <c r="C43" s="820">
        <v>0</v>
      </c>
      <c r="D43" s="915">
        <v>0</v>
      </c>
      <c r="E43" s="239">
        <v>0</v>
      </c>
      <c r="F43" s="239"/>
      <c r="G43" s="239"/>
      <c r="H43" s="239"/>
      <c r="I43" s="239"/>
      <c r="J43" s="239"/>
      <c r="K43" s="239"/>
      <c r="L43" s="239"/>
      <c r="M43" s="239"/>
      <c r="N43" s="240"/>
      <c r="O43" s="219">
        <f>SUM(C43:N43)</f>
        <v>0</v>
      </c>
    </row>
    <row r="44" spans="1:15" ht="15.75" thickBot="1">
      <c r="A44" s="979"/>
      <c r="B44" s="220" t="s">
        <v>553</v>
      </c>
      <c r="C44" s="821">
        <f>C43/C42</f>
        <v>0</v>
      </c>
      <c r="D44" s="913">
        <f>D43/D42</f>
        <v>0</v>
      </c>
      <c r="E44" s="221">
        <f t="shared" ref="E44:O44" si="21">E43/E42</f>
        <v>0</v>
      </c>
      <c r="F44" s="221" t="e">
        <f t="shared" si="21"/>
        <v>#DIV/0!</v>
      </c>
      <c r="G44" s="221" t="e">
        <f t="shared" si="21"/>
        <v>#DIV/0!</v>
      </c>
      <c r="H44" s="221" t="e">
        <f t="shared" si="21"/>
        <v>#DIV/0!</v>
      </c>
      <c r="I44" s="221" t="e">
        <f t="shared" si="21"/>
        <v>#DIV/0!</v>
      </c>
      <c r="J44" s="221" t="e">
        <f t="shared" si="21"/>
        <v>#DIV/0!</v>
      </c>
      <c r="K44" s="221" t="e">
        <f t="shared" si="21"/>
        <v>#DIV/0!</v>
      </c>
      <c r="L44" s="221" t="e">
        <f t="shared" si="21"/>
        <v>#DIV/0!</v>
      </c>
      <c r="M44" s="221" t="e">
        <f t="shared" si="21"/>
        <v>#DIV/0!</v>
      </c>
      <c r="N44" s="222" t="e">
        <f t="shared" si="21"/>
        <v>#DIV/0!</v>
      </c>
      <c r="O44" s="228">
        <f t="shared" si="21"/>
        <v>0</v>
      </c>
    </row>
    <row r="45" spans="1:15" ht="18.75" customHeight="1">
      <c r="A45" s="980" t="s">
        <v>566</v>
      </c>
      <c r="B45" s="495" t="s">
        <v>554</v>
      </c>
      <c r="C45" s="822">
        <v>245</v>
      </c>
      <c r="D45" s="914">
        <v>160</v>
      </c>
      <c r="E45" s="237">
        <v>259</v>
      </c>
      <c r="F45" s="237"/>
      <c r="G45" s="237"/>
      <c r="H45" s="237"/>
      <c r="I45" s="237"/>
      <c r="J45" s="237"/>
      <c r="K45" s="237"/>
      <c r="L45" s="237"/>
      <c r="M45" s="237"/>
      <c r="N45" s="238"/>
      <c r="O45" s="229">
        <f>SUM(C45:N45)</f>
        <v>664</v>
      </c>
    </row>
    <row r="46" spans="1:15">
      <c r="A46" s="979"/>
      <c r="B46" s="206" t="s">
        <v>552</v>
      </c>
      <c r="C46" s="820">
        <v>0</v>
      </c>
      <c r="D46" s="915">
        <v>0</v>
      </c>
      <c r="E46" s="239">
        <v>0</v>
      </c>
      <c r="F46" s="239"/>
      <c r="G46" s="239"/>
      <c r="H46" s="239"/>
      <c r="I46" s="239"/>
      <c r="J46" s="239"/>
      <c r="K46" s="239"/>
      <c r="L46" s="239"/>
      <c r="M46" s="239"/>
      <c r="N46" s="240"/>
      <c r="O46" s="219">
        <f>SUM(C46:N46)</f>
        <v>0</v>
      </c>
    </row>
    <row r="47" spans="1:15" ht="15.75" thickBot="1">
      <c r="A47" s="981"/>
      <c r="B47" s="220" t="s">
        <v>553</v>
      </c>
      <c r="C47" s="821">
        <f>C46/C45</f>
        <v>0</v>
      </c>
      <c r="D47" s="913">
        <f t="shared" ref="D47" si="22">D46/D45</f>
        <v>0</v>
      </c>
      <c r="E47" s="221">
        <f>E46/E45</f>
        <v>0</v>
      </c>
      <c r="F47" s="221" t="e">
        <f>F46/F45</f>
        <v>#DIV/0!</v>
      </c>
      <c r="G47" s="221" t="e">
        <f>G46/G45</f>
        <v>#DIV/0!</v>
      </c>
      <c r="H47" s="221" t="e">
        <f>H46/H45</f>
        <v>#DIV/0!</v>
      </c>
      <c r="I47" s="221" t="e">
        <f t="shared" ref="I47:O47" si="23">I46/I45</f>
        <v>#DIV/0!</v>
      </c>
      <c r="J47" s="221" t="e">
        <f t="shared" si="23"/>
        <v>#DIV/0!</v>
      </c>
      <c r="K47" s="221" t="e">
        <f>K46/K45</f>
        <v>#DIV/0!</v>
      </c>
      <c r="L47" s="221" t="e">
        <f t="shared" si="23"/>
        <v>#DIV/0!</v>
      </c>
      <c r="M47" s="221" t="e">
        <f t="shared" si="23"/>
        <v>#DIV/0!</v>
      </c>
      <c r="N47" s="222" t="e">
        <f t="shared" si="23"/>
        <v>#DIV/0!</v>
      </c>
      <c r="O47" s="228">
        <f t="shared" si="23"/>
        <v>0</v>
      </c>
    </row>
    <row r="48" spans="1:15" ht="18.75" customHeight="1">
      <c r="A48" s="978" t="s">
        <v>567</v>
      </c>
      <c r="B48" s="495" t="s">
        <v>554</v>
      </c>
      <c r="C48" s="822">
        <v>296</v>
      </c>
      <c r="D48" s="914">
        <v>183</v>
      </c>
      <c r="E48" s="237">
        <v>279</v>
      </c>
      <c r="F48" s="237"/>
      <c r="G48" s="237"/>
      <c r="H48" s="237"/>
      <c r="I48" s="237"/>
      <c r="J48" s="237"/>
      <c r="K48" s="237"/>
      <c r="L48" s="237"/>
      <c r="M48" s="237"/>
      <c r="N48" s="238"/>
      <c r="O48" s="229">
        <f>SUM(C48:N48)</f>
        <v>758</v>
      </c>
    </row>
    <row r="49" spans="1:15">
      <c r="A49" s="979"/>
      <c r="B49" s="206" t="s">
        <v>552</v>
      </c>
      <c r="C49" s="820">
        <v>0</v>
      </c>
      <c r="D49" s="915">
        <v>0</v>
      </c>
      <c r="E49" s="239">
        <v>0</v>
      </c>
      <c r="F49" s="239"/>
      <c r="G49" s="239"/>
      <c r="H49" s="239"/>
      <c r="I49" s="239"/>
      <c r="J49" s="239"/>
      <c r="K49" s="239"/>
      <c r="L49" s="239"/>
      <c r="M49" s="239"/>
      <c r="N49" s="240"/>
      <c r="O49" s="219">
        <f>SUM(C49:N49)</f>
        <v>0</v>
      </c>
    </row>
    <row r="50" spans="1:15" ht="15.75" thickBot="1">
      <c r="A50" s="979"/>
      <c r="B50" s="220" t="s">
        <v>553</v>
      </c>
      <c r="C50" s="821">
        <f>C49/C48</f>
        <v>0</v>
      </c>
      <c r="D50" s="913">
        <f t="shared" ref="D50" si="24">D49/D48</f>
        <v>0</v>
      </c>
      <c r="E50" s="221">
        <f t="shared" ref="E50:N50" si="25">E49/E48</f>
        <v>0</v>
      </c>
      <c r="F50" s="221" t="e">
        <f t="shared" si="25"/>
        <v>#DIV/0!</v>
      </c>
      <c r="G50" s="221" t="e">
        <f t="shared" si="25"/>
        <v>#DIV/0!</v>
      </c>
      <c r="H50" s="221" t="e">
        <f t="shared" si="25"/>
        <v>#DIV/0!</v>
      </c>
      <c r="I50" s="221" t="e">
        <f t="shared" si="25"/>
        <v>#DIV/0!</v>
      </c>
      <c r="J50" s="221" t="e">
        <f t="shared" si="25"/>
        <v>#DIV/0!</v>
      </c>
      <c r="K50" s="221" t="e">
        <f t="shared" si="25"/>
        <v>#DIV/0!</v>
      </c>
      <c r="L50" s="221" t="e">
        <f t="shared" si="25"/>
        <v>#DIV/0!</v>
      </c>
      <c r="M50" s="221" t="e">
        <f t="shared" si="25"/>
        <v>#DIV/0!</v>
      </c>
      <c r="N50" s="222" t="e">
        <f t="shared" si="25"/>
        <v>#DIV/0!</v>
      </c>
      <c r="O50" s="228">
        <f>O49/O48</f>
        <v>0</v>
      </c>
    </row>
    <row r="51" spans="1:15">
      <c r="A51" s="982" t="s">
        <v>568</v>
      </c>
      <c r="B51" s="469" t="s">
        <v>174</v>
      </c>
      <c r="C51" s="824"/>
      <c r="D51" s="918"/>
      <c r="E51" s="470"/>
      <c r="F51" s="470"/>
      <c r="G51" s="470"/>
      <c r="H51" s="470"/>
      <c r="I51" s="470"/>
      <c r="J51" s="470"/>
      <c r="K51" s="470"/>
      <c r="L51" s="470"/>
      <c r="M51" s="470"/>
      <c r="N51" s="471"/>
      <c r="O51" s="472">
        <f>SUM(C51:N51)</f>
        <v>0</v>
      </c>
    </row>
    <row r="52" spans="1:15">
      <c r="A52" s="983"/>
      <c r="B52" s="473" t="s">
        <v>175</v>
      </c>
      <c r="C52" s="825"/>
      <c r="D52" s="919"/>
      <c r="E52" s="474"/>
      <c r="F52" s="474"/>
      <c r="G52" s="474"/>
      <c r="H52" s="474"/>
      <c r="I52" s="474"/>
      <c r="J52" s="474"/>
      <c r="K52" s="474"/>
      <c r="L52" s="474"/>
      <c r="M52" s="474"/>
      <c r="N52" s="475"/>
      <c r="O52" s="476">
        <f>SUM(C52:N52)</f>
        <v>0</v>
      </c>
    </row>
    <row r="53" spans="1:15" ht="15.75" thickBot="1">
      <c r="A53" s="984"/>
      <c r="B53" s="477" t="s">
        <v>176</v>
      </c>
      <c r="C53" s="827" t="e">
        <f>C52/C51</f>
        <v>#DIV/0!</v>
      </c>
      <c r="D53" s="921" t="e">
        <f t="shared" ref="D53" si="26">D52/D51</f>
        <v>#DIV/0!</v>
      </c>
      <c r="E53" s="481" t="e">
        <f t="shared" ref="E53:O53" si="27">E52/E51</f>
        <v>#DIV/0!</v>
      </c>
      <c r="F53" s="481" t="e">
        <f t="shared" si="27"/>
        <v>#DIV/0!</v>
      </c>
      <c r="G53" s="481" t="e">
        <f t="shared" si="27"/>
        <v>#DIV/0!</v>
      </c>
      <c r="H53" s="481" t="e">
        <f t="shared" si="27"/>
        <v>#DIV/0!</v>
      </c>
      <c r="I53" s="481" t="e">
        <f t="shared" si="27"/>
        <v>#DIV/0!</v>
      </c>
      <c r="J53" s="481" t="e">
        <f t="shared" si="27"/>
        <v>#DIV/0!</v>
      </c>
      <c r="K53" s="481" t="e">
        <f t="shared" si="27"/>
        <v>#DIV/0!</v>
      </c>
      <c r="L53" s="481" t="e">
        <f t="shared" si="27"/>
        <v>#DIV/0!</v>
      </c>
      <c r="M53" s="481" t="e">
        <f t="shared" si="27"/>
        <v>#DIV/0!</v>
      </c>
      <c r="N53" s="482" t="e">
        <f t="shared" si="27"/>
        <v>#DIV/0!</v>
      </c>
      <c r="O53" s="480" t="e">
        <f t="shared" si="27"/>
        <v>#DIV/0!</v>
      </c>
    </row>
    <row r="54" spans="1:15" ht="18.75" customHeight="1">
      <c r="A54" s="980" t="s">
        <v>569</v>
      </c>
      <c r="B54" s="495" t="s">
        <v>554</v>
      </c>
      <c r="C54" s="822">
        <v>509</v>
      </c>
      <c r="D54" s="914">
        <v>299</v>
      </c>
      <c r="E54" s="237">
        <v>537</v>
      </c>
      <c r="F54" s="237"/>
      <c r="G54" s="237"/>
      <c r="H54" s="237"/>
      <c r="I54" s="237"/>
      <c r="J54" s="237"/>
      <c r="K54" s="237"/>
      <c r="L54" s="237"/>
      <c r="M54" s="237"/>
      <c r="N54" s="238"/>
      <c r="O54" s="229">
        <f>SUM(C54:N54)</f>
        <v>1345</v>
      </c>
    </row>
    <row r="55" spans="1:15">
      <c r="A55" s="979"/>
      <c r="B55" s="206" t="s">
        <v>552</v>
      </c>
      <c r="C55" s="820">
        <v>0</v>
      </c>
      <c r="D55" s="915">
        <v>0</v>
      </c>
      <c r="E55" s="239">
        <v>0</v>
      </c>
      <c r="F55" s="239"/>
      <c r="G55" s="239"/>
      <c r="H55" s="239"/>
      <c r="I55" s="239"/>
      <c r="J55" s="239"/>
      <c r="K55" s="239"/>
      <c r="L55" s="239"/>
      <c r="M55" s="239"/>
      <c r="N55" s="240"/>
      <c r="O55" s="219">
        <f>SUM(C55:N55)</f>
        <v>0</v>
      </c>
    </row>
    <row r="56" spans="1:15" ht="15.75" thickBot="1">
      <c r="A56" s="981"/>
      <c r="B56" s="220" t="s">
        <v>553</v>
      </c>
      <c r="C56" s="821">
        <f>C55/C54</f>
        <v>0</v>
      </c>
      <c r="D56" s="913">
        <f t="shared" ref="D56" si="28">D55/D54</f>
        <v>0</v>
      </c>
      <c r="E56" s="221">
        <f>E55/E54</f>
        <v>0</v>
      </c>
      <c r="F56" s="221" t="e">
        <f>F55/F54</f>
        <v>#DIV/0!</v>
      </c>
      <c r="G56" s="221" t="e">
        <f>G55/G54</f>
        <v>#DIV/0!</v>
      </c>
      <c r="H56" s="221" t="e">
        <f>H55/H54</f>
        <v>#DIV/0!</v>
      </c>
      <c r="I56" s="221" t="e">
        <f t="shared" ref="I56:O56" si="29">I55/I54</f>
        <v>#DIV/0!</v>
      </c>
      <c r="J56" s="221" t="e">
        <f>J55/J54</f>
        <v>#DIV/0!</v>
      </c>
      <c r="K56" s="221" t="e">
        <f t="shared" si="29"/>
        <v>#DIV/0!</v>
      </c>
      <c r="L56" s="221" t="e">
        <f t="shared" si="29"/>
        <v>#DIV/0!</v>
      </c>
      <c r="M56" s="221" t="e">
        <f t="shared" si="29"/>
        <v>#DIV/0!</v>
      </c>
      <c r="N56" s="222" t="e">
        <f t="shared" si="29"/>
        <v>#DIV/0!</v>
      </c>
      <c r="O56" s="228">
        <f t="shared" si="29"/>
        <v>0</v>
      </c>
    </row>
    <row r="57" spans="1:15">
      <c r="A57" s="716" t="s">
        <v>68</v>
      </c>
      <c r="B57" s="230" t="s">
        <v>552</v>
      </c>
      <c r="C57" s="828">
        <v>0</v>
      </c>
      <c r="D57" s="922">
        <v>0</v>
      </c>
      <c r="E57" s="231">
        <v>0</v>
      </c>
      <c r="F57" s="231"/>
      <c r="G57" s="231"/>
      <c r="H57" s="231"/>
      <c r="I57" s="231"/>
      <c r="J57" s="232"/>
      <c r="K57" s="232"/>
      <c r="L57" s="232"/>
      <c r="M57" s="232"/>
      <c r="N57" s="724"/>
      <c r="O57" s="722">
        <f>SUM(C57:N57)</f>
        <v>0</v>
      </c>
    </row>
    <row r="58" spans="1:15">
      <c r="D58" s="908" t="s">
        <v>193</v>
      </c>
    </row>
    <row r="59" spans="1:15">
      <c r="D59" s="908" t="s">
        <v>194</v>
      </c>
      <c r="J59" s="418"/>
    </row>
    <row r="61" spans="1:15" ht="18">
      <c r="B61" s="24" t="s">
        <v>69</v>
      </c>
    </row>
    <row r="63" spans="1:15">
      <c r="B63" s="193" t="s">
        <v>195</v>
      </c>
    </row>
    <row r="64" spans="1:15" ht="15.75" thickBot="1">
      <c r="C64" s="233" t="s">
        <v>137</v>
      </c>
      <c r="D64" s="923" t="s">
        <v>2</v>
      </c>
      <c r="E64" s="233" t="s">
        <v>3</v>
      </c>
      <c r="F64" s="233" t="s">
        <v>4</v>
      </c>
      <c r="G64" s="233" t="s">
        <v>5</v>
      </c>
      <c r="H64" s="233" t="s">
        <v>6</v>
      </c>
      <c r="I64" s="233" t="s">
        <v>7</v>
      </c>
      <c r="J64" s="233" t="s">
        <v>8</v>
      </c>
      <c r="K64" s="233" t="s">
        <v>9</v>
      </c>
      <c r="L64" s="233" t="s">
        <v>10</v>
      </c>
      <c r="M64" s="233" t="s">
        <v>11</v>
      </c>
      <c r="N64" s="233" t="s">
        <v>12</v>
      </c>
      <c r="O64" s="233" t="s">
        <v>570</v>
      </c>
    </row>
    <row r="65" spans="1:15" ht="15.75" thickTop="1">
      <c r="A65" s="234" t="s">
        <v>177</v>
      </c>
      <c r="B65" s="174" t="str">
        <f>B13</f>
        <v>Số phế phẩm</v>
      </c>
      <c r="C65" s="236">
        <f>C13</f>
        <v>0</v>
      </c>
      <c r="D65" s="924">
        <f t="shared" ref="D65:O65" si="30">D13</f>
        <v>0</v>
      </c>
      <c r="E65" s="236">
        <f t="shared" si="30"/>
        <v>0</v>
      </c>
      <c r="F65" s="236">
        <f t="shared" si="30"/>
        <v>0</v>
      </c>
      <c r="G65" s="236">
        <f t="shared" si="30"/>
        <v>0</v>
      </c>
      <c r="H65" s="236">
        <f t="shared" si="30"/>
        <v>0</v>
      </c>
      <c r="I65" s="236">
        <f t="shared" si="30"/>
        <v>0</v>
      </c>
      <c r="J65" s="236">
        <f t="shared" si="30"/>
        <v>0</v>
      </c>
      <c r="K65" s="236">
        <f t="shared" si="30"/>
        <v>0</v>
      </c>
      <c r="L65" s="236">
        <f t="shared" si="30"/>
        <v>0</v>
      </c>
      <c r="M65" s="236">
        <f t="shared" si="30"/>
        <v>0</v>
      </c>
      <c r="N65" s="236">
        <f t="shared" si="30"/>
        <v>0</v>
      </c>
      <c r="O65" s="236">
        <f t="shared" si="30"/>
        <v>0</v>
      </c>
    </row>
    <row r="66" spans="1:15">
      <c r="A66" s="241" t="s">
        <v>178</v>
      </c>
      <c r="B66" s="236" t="str">
        <f>B16</f>
        <v>Số phế phẩm</v>
      </c>
      <c r="C66" s="236">
        <f>C16</f>
        <v>0</v>
      </c>
      <c r="D66" s="924">
        <f t="shared" ref="D66:O66" si="31">D16</f>
        <v>0</v>
      </c>
      <c r="E66" s="236">
        <f t="shared" si="31"/>
        <v>0</v>
      </c>
      <c r="F66" s="236">
        <f t="shared" si="31"/>
        <v>0</v>
      </c>
      <c r="G66" s="236">
        <f t="shared" si="31"/>
        <v>0</v>
      </c>
      <c r="H66" s="236">
        <f t="shared" si="31"/>
        <v>0</v>
      </c>
      <c r="I66" s="236">
        <f t="shared" si="31"/>
        <v>0</v>
      </c>
      <c r="J66" s="236">
        <f t="shared" si="31"/>
        <v>0</v>
      </c>
      <c r="K66" s="236">
        <f t="shared" si="31"/>
        <v>0</v>
      </c>
      <c r="L66" s="236">
        <f t="shared" si="31"/>
        <v>0</v>
      </c>
      <c r="M66" s="236">
        <f t="shared" si="31"/>
        <v>0</v>
      </c>
      <c r="N66" s="236">
        <f t="shared" si="31"/>
        <v>0</v>
      </c>
      <c r="O66" s="236">
        <f t="shared" si="31"/>
        <v>0</v>
      </c>
    </row>
    <row r="67" spans="1:15">
      <c r="A67" s="242" t="s">
        <v>179</v>
      </c>
      <c r="B67" s="236" t="str">
        <f>B19</f>
        <v>Số phế phẩm</v>
      </c>
      <c r="C67" s="236">
        <f>C19</f>
        <v>0</v>
      </c>
      <c r="D67" s="924">
        <f t="shared" ref="D67:O67" si="32">D19</f>
        <v>0</v>
      </c>
      <c r="E67" s="236">
        <f t="shared" si="32"/>
        <v>0</v>
      </c>
      <c r="F67" s="236">
        <f t="shared" si="32"/>
        <v>0</v>
      </c>
      <c r="G67" s="236">
        <f t="shared" si="32"/>
        <v>0</v>
      </c>
      <c r="H67" s="236">
        <f t="shared" si="32"/>
        <v>0</v>
      </c>
      <c r="I67" s="236">
        <f t="shared" si="32"/>
        <v>0</v>
      </c>
      <c r="J67" s="236">
        <f t="shared" si="32"/>
        <v>0</v>
      </c>
      <c r="K67" s="236">
        <f t="shared" si="32"/>
        <v>0</v>
      </c>
      <c r="L67" s="236">
        <f t="shared" si="32"/>
        <v>0</v>
      </c>
      <c r="M67" s="236">
        <f t="shared" si="32"/>
        <v>0</v>
      </c>
      <c r="N67" s="236">
        <f t="shared" si="32"/>
        <v>0</v>
      </c>
      <c r="O67" s="236">
        <f t="shared" si="32"/>
        <v>0</v>
      </c>
    </row>
    <row r="68" spans="1:15">
      <c r="A68" s="242" t="s">
        <v>180</v>
      </c>
      <c r="B68" s="236" t="str">
        <f>B22</f>
        <v>Số phế phẩm</v>
      </c>
      <c r="C68" s="236">
        <f>C22</f>
        <v>0</v>
      </c>
      <c r="D68" s="924">
        <f t="shared" ref="D68:O68" si="33">D22</f>
        <v>0</v>
      </c>
      <c r="E68" s="236">
        <f t="shared" si="33"/>
        <v>0</v>
      </c>
      <c r="F68" s="236">
        <f t="shared" si="33"/>
        <v>0</v>
      </c>
      <c r="G68" s="236">
        <f t="shared" si="33"/>
        <v>0</v>
      </c>
      <c r="H68" s="236">
        <f t="shared" si="33"/>
        <v>0</v>
      </c>
      <c r="I68" s="236">
        <f t="shared" si="33"/>
        <v>0</v>
      </c>
      <c r="J68" s="236">
        <f t="shared" si="33"/>
        <v>0</v>
      </c>
      <c r="K68" s="236">
        <f t="shared" si="33"/>
        <v>0</v>
      </c>
      <c r="L68" s="236">
        <f t="shared" si="33"/>
        <v>0</v>
      </c>
      <c r="M68" s="236">
        <f t="shared" si="33"/>
        <v>0</v>
      </c>
      <c r="N68" s="236">
        <f t="shared" si="33"/>
        <v>0</v>
      </c>
      <c r="O68" s="236">
        <f t="shared" si="33"/>
        <v>0</v>
      </c>
    </row>
    <row r="69" spans="1:15">
      <c r="A69" s="242" t="s">
        <v>181</v>
      </c>
      <c r="B69" s="236" t="str">
        <f>B25</f>
        <v>Số phế phẩm</v>
      </c>
      <c r="C69" s="236">
        <f>C25</f>
        <v>0</v>
      </c>
      <c r="D69" s="924">
        <f t="shared" ref="D69:O69" si="34">D25</f>
        <v>0</v>
      </c>
      <c r="E69" s="236">
        <f t="shared" si="34"/>
        <v>0</v>
      </c>
      <c r="F69" s="236">
        <f t="shared" si="34"/>
        <v>0</v>
      </c>
      <c r="G69" s="236">
        <f t="shared" si="34"/>
        <v>0</v>
      </c>
      <c r="H69" s="236">
        <f t="shared" si="34"/>
        <v>0</v>
      </c>
      <c r="I69" s="236">
        <f t="shared" si="34"/>
        <v>0</v>
      </c>
      <c r="J69" s="236">
        <f t="shared" si="34"/>
        <v>0</v>
      </c>
      <c r="K69" s="236">
        <f t="shared" si="34"/>
        <v>0</v>
      </c>
      <c r="L69" s="236">
        <f t="shared" si="34"/>
        <v>0</v>
      </c>
      <c r="M69" s="236">
        <f t="shared" si="34"/>
        <v>0</v>
      </c>
      <c r="N69" s="236">
        <f t="shared" si="34"/>
        <v>0</v>
      </c>
      <c r="O69" s="236">
        <f t="shared" si="34"/>
        <v>0</v>
      </c>
    </row>
    <row r="70" spans="1:15">
      <c r="A70" s="242" t="s">
        <v>182</v>
      </c>
      <c r="B70" s="236" t="str">
        <f>B28</f>
        <v>Số phế phẩm</v>
      </c>
      <c r="C70" s="236">
        <f>C28</f>
        <v>0</v>
      </c>
      <c r="D70" s="924">
        <f t="shared" ref="D70:O70" si="35">D28</f>
        <v>0</v>
      </c>
      <c r="E70" s="236">
        <f t="shared" si="35"/>
        <v>0</v>
      </c>
      <c r="F70" s="236">
        <f t="shared" si="35"/>
        <v>0</v>
      </c>
      <c r="G70" s="236">
        <f t="shared" si="35"/>
        <v>0</v>
      </c>
      <c r="H70" s="236">
        <f t="shared" si="35"/>
        <v>0</v>
      </c>
      <c r="I70" s="236">
        <f t="shared" si="35"/>
        <v>0</v>
      </c>
      <c r="J70" s="236">
        <f t="shared" si="35"/>
        <v>0</v>
      </c>
      <c r="K70" s="236">
        <f t="shared" si="35"/>
        <v>0</v>
      </c>
      <c r="L70" s="236">
        <f>L28</f>
        <v>0</v>
      </c>
      <c r="M70" s="236">
        <f t="shared" si="35"/>
        <v>0</v>
      </c>
      <c r="N70" s="236">
        <f t="shared" si="35"/>
        <v>0</v>
      </c>
      <c r="O70" s="236">
        <f t="shared" si="35"/>
        <v>0</v>
      </c>
    </row>
    <row r="71" spans="1:15">
      <c r="A71" s="242" t="s">
        <v>183</v>
      </c>
      <c r="B71" s="236" t="str">
        <f>B31</f>
        <v>Số phế phẩm</v>
      </c>
      <c r="C71" s="236">
        <f>C31</f>
        <v>0</v>
      </c>
      <c r="D71" s="924">
        <f t="shared" ref="D71:O71" si="36">D31</f>
        <v>0</v>
      </c>
      <c r="E71" s="236">
        <f t="shared" si="36"/>
        <v>1</v>
      </c>
      <c r="F71" s="236">
        <f t="shared" si="36"/>
        <v>0</v>
      </c>
      <c r="G71" s="236">
        <f t="shared" si="36"/>
        <v>0</v>
      </c>
      <c r="H71" s="236">
        <f t="shared" si="36"/>
        <v>0</v>
      </c>
      <c r="I71" s="236">
        <f t="shared" si="36"/>
        <v>0</v>
      </c>
      <c r="J71" s="236">
        <f t="shared" si="36"/>
        <v>0</v>
      </c>
      <c r="K71" s="236">
        <f t="shared" si="36"/>
        <v>0</v>
      </c>
      <c r="L71" s="236">
        <f t="shared" si="36"/>
        <v>0</v>
      </c>
      <c r="M71" s="236">
        <f t="shared" si="36"/>
        <v>0</v>
      </c>
      <c r="N71" s="236">
        <f t="shared" si="36"/>
        <v>0</v>
      </c>
      <c r="O71" s="236">
        <f t="shared" si="36"/>
        <v>1</v>
      </c>
    </row>
    <row r="72" spans="1:15">
      <c r="A72" s="242" t="s">
        <v>184</v>
      </c>
      <c r="B72" s="236" t="str">
        <f>B34</f>
        <v>Số phế phẩm</v>
      </c>
      <c r="C72" s="236">
        <f>C34</f>
        <v>0</v>
      </c>
      <c r="D72" s="924">
        <f t="shared" ref="D72:O72" si="37">D34</f>
        <v>0</v>
      </c>
      <c r="E72" s="236">
        <f t="shared" si="37"/>
        <v>0</v>
      </c>
      <c r="F72" s="236">
        <f t="shared" si="37"/>
        <v>0</v>
      </c>
      <c r="G72" s="236">
        <f t="shared" si="37"/>
        <v>0</v>
      </c>
      <c r="H72" s="236">
        <f>H34</f>
        <v>0</v>
      </c>
      <c r="I72" s="236">
        <f t="shared" si="37"/>
        <v>0</v>
      </c>
      <c r="J72" s="236">
        <f>J34</f>
        <v>0</v>
      </c>
      <c r="K72" s="236">
        <f t="shared" si="37"/>
        <v>0</v>
      </c>
      <c r="L72" s="236">
        <f t="shared" si="37"/>
        <v>0</v>
      </c>
      <c r="M72" s="236">
        <f t="shared" si="37"/>
        <v>0</v>
      </c>
      <c r="N72" s="236">
        <f t="shared" si="37"/>
        <v>0</v>
      </c>
      <c r="O72" s="236">
        <f t="shared" si="37"/>
        <v>0</v>
      </c>
    </row>
    <row r="73" spans="1:15">
      <c r="A73" s="483" t="s">
        <v>185</v>
      </c>
      <c r="B73" s="498" t="str">
        <f>B37</f>
        <v>不良件数</v>
      </c>
      <c r="C73" s="498">
        <f>C37</f>
        <v>0</v>
      </c>
      <c r="D73" s="925">
        <f t="shared" ref="D73:O73" si="38">D37</f>
        <v>0</v>
      </c>
      <c r="E73" s="498">
        <f t="shared" si="38"/>
        <v>0</v>
      </c>
      <c r="F73" s="498">
        <f t="shared" si="38"/>
        <v>0</v>
      </c>
      <c r="G73" s="498">
        <f t="shared" si="38"/>
        <v>0</v>
      </c>
      <c r="H73" s="498">
        <f t="shared" si="38"/>
        <v>0</v>
      </c>
      <c r="I73" s="498">
        <f t="shared" si="38"/>
        <v>0</v>
      </c>
      <c r="J73" s="498">
        <f t="shared" si="38"/>
        <v>0</v>
      </c>
      <c r="K73" s="498">
        <f t="shared" si="38"/>
        <v>0</v>
      </c>
      <c r="L73" s="498">
        <f t="shared" si="38"/>
        <v>0</v>
      </c>
      <c r="M73" s="498">
        <f t="shared" si="38"/>
        <v>0</v>
      </c>
      <c r="N73" s="498">
        <f t="shared" si="38"/>
        <v>0</v>
      </c>
      <c r="O73" s="498">
        <f t="shared" si="38"/>
        <v>0</v>
      </c>
    </row>
    <row r="74" spans="1:15">
      <c r="A74" s="242" t="s">
        <v>186</v>
      </c>
      <c r="B74" s="236" t="str">
        <f>B40</f>
        <v>Số phế phẩm</v>
      </c>
      <c r="C74" s="236">
        <f>C40</f>
        <v>0</v>
      </c>
      <c r="D74" s="924">
        <f t="shared" ref="D74:O74" si="39">D40</f>
        <v>0</v>
      </c>
      <c r="E74" s="236">
        <f t="shared" si="39"/>
        <v>0</v>
      </c>
      <c r="F74" s="236">
        <f t="shared" si="39"/>
        <v>0</v>
      </c>
      <c r="G74" s="236">
        <f t="shared" si="39"/>
        <v>0</v>
      </c>
      <c r="H74" s="236">
        <f t="shared" si="39"/>
        <v>0</v>
      </c>
      <c r="I74" s="236">
        <f t="shared" si="39"/>
        <v>0</v>
      </c>
      <c r="J74" s="236">
        <f t="shared" si="39"/>
        <v>0</v>
      </c>
      <c r="K74" s="236">
        <f t="shared" si="39"/>
        <v>0</v>
      </c>
      <c r="L74" s="236">
        <f t="shared" si="39"/>
        <v>0</v>
      </c>
      <c r="M74" s="236">
        <f t="shared" si="39"/>
        <v>0</v>
      </c>
      <c r="N74" s="236">
        <f t="shared" si="39"/>
        <v>0</v>
      </c>
      <c r="O74" s="236">
        <f t="shared" si="39"/>
        <v>0</v>
      </c>
    </row>
    <row r="75" spans="1:15">
      <c r="A75" s="242" t="s">
        <v>187</v>
      </c>
      <c r="B75" s="236" t="str">
        <f>B43</f>
        <v>Số phế phẩm</v>
      </c>
      <c r="C75" s="236">
        <f>C43</f>
        <v>0</v>
      </c>
      <c r="D75" s="924">
        <f t="shared" ref="D75:O75" si="40">D43</f>
        <v>0</v>
      </c>
      <c r="E75" s="236">
        <f t="shared" si="40"/>
        <v>0</v>
      </c>
      <c r="F75" s="236">
        <f t="shared" si="40"/>
        <v>0</v>
      </c>
      <c r="G75" s="236">
        <f t="shared" si="40"/>
        <v>0</v>
      </c>
      <c r="H75" s="236">
        <f t="shared" si="40"/>
        <v>0</v>
      </c>
      <c r="I75" s="236">
        <f t="shared" si="40"/>
        <v>0</v>
      </c>
      <c r="J75" s="236">
        <f t="shared" si="40"/>
        <v>0</v>
      </c>
      <c r="K75" s="236">
        <f t="shared" si="40"/>
        <v>0</v>
      </c>
      <c r="L75" s="236">
        <f t="shared" si="40"/>
        <v>0</v>
      </c>
      <c r="M75" s="236">
        <f t="shared" si="40"/>
        <v>0</v>
      </c>
      <c r="N75" s="236">
        <f t="shared" si="40"/>
        <v>0</v>
      </c>
      <c r="O75" s="236">
        <f t="shared" si="40"/>
        <v>0</v>
      </c>
    </row>
    <row r="76" spans="1:15">
      <c r="A76" s="242" t="s">
        <v>188</v>
      </c>
      <c r="B76" s="236" t="str">
        <f>B46</f>
        <v>Số phế phẩm</v>
      </c>
      <c r="C76" s="236">
        <f>C46</f>
        <v>0</v>
      </c>
      <c r="D76" s="924">
        <f t="shared" ref="D76:O76" si="41">D46</f>
        <v>0</v>
      </c>
      <c r="E76" s="236">
        <f t="shared" si="41"/>
        <v>0</v>
      </c>
      <c r="F76" s="236">
        <f t="shared" si="41"/>
        <v>0</v>
      </c>
      <c r="G76" s="236">
        <f t="shared" si="41"/>
        <v>0</v>
      </c>
      <c r="H76" s="236">
        <f t="shared" si="41"/>
        <v>0</v>
      </c>
      <c r="I76" s="236">
        <f t="shared" si="41"/>
        <v>0</v>
      </c>
      <c r="J76" s="236">
        <f t="shared" si="41"/>
        <v>0</v>
      </c>
      <c r="K76" s="236">
        <f>K46</f>
        <v>0</v>
      </c>
      <c r="L76" s="236">
        <f t="shared" si="41"/>
        <v>0</v>
      </c>
      <c r="M76" s="236">
        <f t="shared" si="41"/>
        <v>0</v>
      </c>
      <c r="N76" s="236">
        <f t="shared" si="41"/>
        <v>0</v>
      </c>
      <c r="O76" s="236">
        <f t="shared" si="41"/>
        <v>0</v>
      </c>
    </row>
    <row r="77" spans="1:15">
      <c r="A77" s="242" t="s">
        <v>189</v>
      </c>
      <c r="B77" s="236" t="str">
        <f>B49</f>
        <v>Số phế phẩm</v>
      </c>
      <c r="C77" s="236">
        <f>C49</f>
        <v>0</v>
      </c>
      <c r="D77" s="924">
        <f t="shared" ref="D77:O77" si="42">D49</f>
        <v>0</v>
      </c>
      <c r="E77" s="236">
        <f t="shared" si="42"/>
        <v>0</v>
      </c>
      <c r="F77" s="236">
        <f t="shared" si="42"/>
        <v>0</v>
      </c>
      <c r="G77" s="236">
        <f t="shared" si="42"/>
        <v>0</v>
      </c>
      <c r="H77" s="236">
        <f t="shared" si="42"/>
        <v>0</v>
      </c>
      <c r="I77" s="236">
        <f t="shared" si="42"/>
        <v>0</v>
      </c>
      <c r="J77" s="236">
        <f t="shared" si="42"/>
        <v>0</v>
      </c>
      <c r="K77" s="236">
        <f t="shared" si="42"/>
        <v>0</v>
      </c>
      <c r="L77" s="236">
        <f t="shared" si="42"/>
        <v>0</v>
      </c>
      <c r="M77" s="236">
        <f t="shared" si="42"/>
        <v>0</v>
      </c>
      <c r="N77" s="236">
        <f t="shared" si="42"/>
        <v>0</v>
      </c>
      <c r="O77" s="236">
        <f t="shared" si="42"/>
        <v>0</v>
      </c>
    </row>
    <row r="78" spans="1:15">
      <c r="A78" s="483" t="s">
        <v>190</v>
      </c>
      <c r="B78" s="498" t="str">
        <f>B52</f>
        <v>不良件数</v>
      </c>
      <c r="C78" s="498">
        <f>C52</f>
        <v>0</v>
      </c>
      <c r="D78" s="925">
        <f t="shared" ref="D78:O78" si="43">D52</f>
        <v>0</v>
      </c>
      <c r="E78" s="498">
        <f t="shared" si="43"/>
        <v>0</v>
      </c>
      <c r="F78" s="498">
        <f t="shared" si="43"/>
        <v>0</v>
      </c>
      <c r="G78" s="498">
        <f t="shared" si="43"/>
        <v>0</v>
      </c>
      <c r="H78" s="498">
        <f t="shared" si="43"/>
        <v>0</v>
      </c>
      <c r="I78" s="498">
        <f t="shared" si="43"/>
        <v>0</v>
      </c>
      <c r="J78" s="498">
        <f t="shared" si="43"/>
        <v>0</v>
      </c>
      <c r="K78" s="498">
        <f t="shared" si="43"/>
        <v>0</v>
      </c>
      <c r="L78" s="498">
        <f t="shared" si="43"/>
        <v>0</v>
      </c>
      <c r="M78" s="498">
        <f t="shared" si="43"/>
        <v>0</v>
      </c>
      <c r="N78" s="498">
        <f t="shared" si="43"/>
        <v>0</v>
      </c>
      <c r="O78" s="498">
        <f t="shared" si="43"/>
        <v>0</v>
      </c>
    </row>
    <row r="79" spans="1:15">
      <c r="A79" s="242" t="s">
        <v>191</v>
      </c>
      <c r="B79" s="236" t="str">
        <f>B55</f>
        <v>Số phế phẩm</v>
      </c>
      <c r="C79" s="236">
        <f>C55</f>
        <v>0</v>
      </c>
      <c r="D79" s="924">
        <f t="shared" ref="D79:O79" si="44">D55</f>
        <v>0</v>
      </c>
      <c r="E79" s="236">
        <f t="shared" si="44"/>
        <v>0</v>
      </c>
      <c r="F79" s="236">
        <f t="shared" si="44"/>
        <v>0</v>
      </c>
      <c r="G79" s="236">
        <f t="shared" si="44"/>
        <v>0</v>
      </c>
      <c r="H79" s="236">
        <f t="shared" si="44"/>
        <v>0</v>
      </c>
      <c r="I79" s="236">
        <f t="shared" si="44"/>
        <v>0</v>
      </c>
      <c r="J79" s="236">
        <f>J55</f>
        <v>0</v>
      </c>
      <c r="K79" s="236">
        <f t="shared" si="44"/>
        <v>0</v>
      </c>
      <c r="L79" s="236">
        <f t="shared" si="44"/>
        <v>0</v>
      </c>
      <c r="M79" s="236">
        <f t="shared" si="44"/>
        <v>0</v>
      </c>
      <c r="N79" s="236">
        <f t="shared" si="44"/>
        <v>0</v>
      </c>
      <c r="O79" s="236">
        <f t="shared" si="44"/>
        <v>0</v>
      </c>
    </row>
    <row r="80" spans="1:15">
      <c r="A80" s="235" t="s">
        <v>192</v>
      </c>
      <c r="B80" s="236">
        <f>B58</f>
        <v>0</v>
      </c>
      <c r="C80" s="496">
        <f>C57</f>
        <v>0</v>
      </c>
      <c r="D80" s="926">
        <f t="shared" ref="D80:O80" si="45">D57</f>
        <v>0</v>
      </c>
      <c r="E80" s="496">
        <f t="shared" si="45"/>
        <v>0</v>
      </c>
      <c r="F80" s="496">
        <f t="shared" si="45"/>
        <v>0</v>
      </c>
      <c r="G80" s="496">
        <f t="shared" si="45"/>
        <v>0</v>
      </c>
      <c r="H80" s="496">
        <f t="shared" si="45"/>
        <v>0</v>
      </c>
      <c r="I80" s="496">
        <f t="shared" si="45"/>
        <v>0</v>
      </c>
      <c r="J80" s="496">
        <f t="shared" si="45"/>
        <v>0</v>
      </c>
      <c r="K80" s="496">
        <f t="shared" si="45"/>
        <v>0</v>
      </c>
      <c r="L80" s="496">
        <f t="shared" si="45"/>
        <v>0</v>
      </c>
      <c r="M80" s="496">
        <f t="shared" si="45"/>
        <v>0</v>
      </c>
      <c r="N80" s="496">
        <f t="shared" si="45"/>
        <v>0</v>
      </c>
      <c r="O80" s="496">
        <f t="shared" si="45"/>
        <v>0</v>
      </c>
    </row>
    <row r="98" spans="1:15">
      <c r="B98" s="193" t="s">
        <v>195</v>
      </c>
    </row>
    <row r="99" spans="1:15" ht="15.75" thickBot="1">
      <c r="C99" s="233" t="s">
        <v>137</v>
      </c>
      <c r="D99" s="923" t="s">
        <v>2</v>
      </c>
      <c r="E99" s="233" t="s">
        <v>3</v>
      </c>
      <c r="F99" s="233" t="s">
        <v>4</v>
      </c>
      <c r="G99" s="233" t="s">
        <v>5</v>
      </c>
      <c r="H99" s="233" t="s">
        <v>6</v>
      </c>
      <c r="I99" s="233" t="s">
        <v>7</v>
      </c>
      <c r="J99" s="233" t="s">
        <v>8</v>
      </c>
      <c r="K99" s="233" t="s">
        <v>9</v>
      </c>
      <c r="L99" s="233" t="s">
        <v>10</v>
      </c>
      <c r="M99" s="233" t="s">
        <v>11</v>
      </c>
      <c r="N99" s="233" t="s">
        <v>12</v>
      </c>
      <c r="O99" s="233" t="s">
        <v>570</v>
      </c>
    </row>
    <row r="100" spans="1:15" ht="15.75" thickTop="1">
      <c r="A100" s="242" t="s">
        <v>177</v>
      </c>
      <c r="B100" s="243" t="str">
        <f>B14</f>
        <v>Tỷ lệ phế phẩm</v>
      </c>
      <c r="C100" s="243">
        <f>C14</f>
        <v>0</v>
      </c>
      <c r="D100" s="927">
        <f t="shared" ref="D100:O100" si="46">D14</f>
        <v>0</v>
      </c>
      <c r="E100" s="243">
        <f t="shared" si="46"/>
        <v>0</v>
      </c>
      <c r="F100" s="243" t="e">
        <f t="shared" si="46"/>
        <v>#DIV/0!</v>
      </c>
      <c r="G100" s="243" t="e">
        <f t="shared" si="46"/>
        <v>#DIV/0!</v>
      </c>
      <c r="H100" s="243" t="e">
        <f t="shared" si="46"/>
        <v>#DIV/0!</v>
      </c>
      <c r="I100" s="243" t="e">
        <f t="shared" si="46"/>
        <v>#DIV/0!</v>
      </c>
      <c r="J100" s="243" t="e">
        <f t="shared" si="46"/>
        <v>#DIV/0!</v>
      </c>
      <c r="K100" s="243" t="e">
        <f t="shared" si="46"/>
        <v>#DIV/0!</v>
      </c>
      <c r="L100" s="243" t="e">
        <f t="shared" si="46"/>
        <v>#DIV/0!</v>
      </c>
      <c r="M100" s="243" t="e">
        <f t="shared" si="46"/>
        <v>#DIV/0!</v>
      </c>
      <c r="N100" s="243" t="e">
        <f t="shared" si="46"/>
        <v>#DIV/0!</v>
      </c>
      <c r="O100" s="243">
        <f t="shared" si="46"/>
        <v>0</v>
      </c>
    </row>
    <row r="101" spans="1:15">
      <c r="A101" s="242" t="s">
        <v>178</v>
      </c>
      <c r="B101" s="243" t="str">
        <f>B17</f>
        <v>Tỷ lệ phế phẩm</v>
      </c>
      <c r="C101" s="243">
        <f>C17</f>
        <v>0</v>
      </c>
      <c r="D101" s="927">
        <f t="shared" ref="D101:O101" si="47">D17</f>
        <v>0</v>
      </c>
      <c r="E101" s="243">
        <f t="shared" si="47"/>
        <v>0</v>
      </c>
      <c r="F101" s="243" t="e">
        <f t="shared" si="47"/>
        <v>#DIV/0!</v>
      </c>
      <c r="G101" s="243" t="e">
        <f t="shared" si="47"/>
        <v>#DIV/0!</v>
      </c>
      <c r="H101" s="243" t="e">
        <f t="shared" si="47"/>
        <v>#DIV/0!</v>
      </c>
      <c r="I101" s="243" t="e">
        <f t="shared" si="47"/>
        <v>#DIV/0!</v>
      </c>
      <c r="J101" s="243" t="e">
        <f t="shared" si="47"/>
        <v>#DIV/0!</v>
      </c>
      <c r="K101" s="243" t="e">
        <f t="shared" si="47"/>
        <v>#DIV/0!</v>
      </c>
      <c r="L101" s="243" t="e">
        <f t="shared" si="47"/>
        <v>#DIV/0!</v>
      </c>
      <c r="M101" s="243" t="e">
        <f t="shared" si="47"/>
        <v>#DIV/0!</v>
      </c>
      <c r="N101" s="243" t="e">
        <f t="shared" si="47"/>
        <v>#DIV/0!</v>
      </c>
      <c r="O101" s="243">
        <f t="shared" si="47"/>
        <v>0</v>
      </c>
    </row>
    <row r="102" spans="1:15">
      <c r="A102" s="242" t="s">
        <v>179</v>
      </c>
      <c r="B102" s="243" t="str">
        <f>B20</f>
        <v>Tỷ lệ phế phẩm</v>
      </c>
      <c r="C102" s="243">
        <f>C20</f>
        <v>0</v>
      </c>
      <c r="D102" s="927">
        <f t="shared" ref="D102:O102" si="48">D20</f>
        <v>0</v>
      </c>
      <c r="E102" s="243">
        <f t="shared" si="48"/>
        <v>0</v>
      </c>
      <c r="F102" s="243" t="e">
        <f t="shared" si="48"/>
        <v>#DIV/0!</v>
      </c>
      <c r="G102" s="243" t="e">
        <f t="shared" si="48"/>
        <v>#DIV/0!</v>
      </c>
      <c r="H102" s="243" t="e">
        <f t="shared" si="48"/>
        <v>#DIV/0!</v>
      </c>
      <c r="I102" s="243" t="e">
        <f t="shared" si="48"/>
        <v>#DIV/0!</v>
      </c>
      <c r="J102" s="243" t="e">
        <f t="shared" si="48"/>
        <v>#DIV/0!</v>
      </c>
      <c r="K102" s="243" t="e">
        <f t="shared" si="48"/>
        <v>#DIV/0!</v>
      </c>
      <c r="L102" s="243" t="e">
        <f t="shared" si="48"/>
        <v>#DIV/0!</v>
      </c>
      <c r="M102" s="243" t="e">
        <f t="shared" si="48"/>
        <v>#DIV/0!</v>
      </c>
      <c r="N102" s="243" t="e">
        <f t="shared" si="48"/>
        <v>#DIV/0!</v>
      </c>
      <c r="O102" s="243">
        <f t="shared" si="48"/>
        <v>0</v>
      </c>
    </row>
    <row r="103" spans="1:15">
      <c r="A103" s="242" t="s">
        <v>180</v>
      </c>
      <c r="B103" s="243" t="str">
        <f>B23</f>
        <v>Tỷ lệ phế phẩm</v>
      </c>
      <c r="C103" s="243">
        <f>C23</f>
        <v>0</v>
      </c>
      <c r="D103" s="927">
        <f t="shared" ref="D103:O103" si="49">D23</f>
        <v>0</v>
      </c>
      <c r="E103" s="243">
        <f t="shared" si="49"/>
        <v>0</v>
      </c>
      <c r="F103" s="243" t="e">
        <f t="shared" si="49"/>
        <v>#DIV/0!</v>
      </c>
      <c r="G103" s="243" t="e">
        <f t="shared" si="49"/>
        <v>#DIV/0!</v>
      </c>
      <c r="H103" s="243" t="e">
        <f t="shared" si="49"/>
        <v>#DIV/0!</v>
      </c>
      <c r="I103" s="243" t="e">
        <f t="shared" si="49"/>
        <v>#DIV/0!</v>
      </c>
      <c r="J103" s="243" t="e">
        <f t="shared" si="49"/>
        <v>#DIV/0!</v>
      </c>
      <c r="K103" s="243" t="e">
        <f t="shared" si="49"/>
        <v>#DIV/0!</v>
      </c>
      <c r="L103" s="243" t="e">
        <f t="shared" si="49"/>
        <v>#DIV/0!</v>
      </c>
      <c r="M103" s="243" t="e">
        <f t="shared" si="49"/>
        <v>#DIV/0!</v>
      </c>
      <c r="N103" s="243" t="e">
        <f t="shared" si="49"/>
        <v>#DIV/0!</v>
      </c>
      <c r="O103" s="243">
        <f t="shared" si="49"/>
        <v>0</v>
      </c>
    </row>
    <row r="104" spans="1:15">
      <c r="A104" s="242" t="s">
        <v>181</v>
      </c>
      <c r="B104" s="243" t="str">
        <f>B26</f>
        <v>Tỷ lệ phế phẩm</v>
      </c>
      <c r="C104" s="243">
        <f>C26</f>
        <v>0</v>
      </c>
      <c r="D104" s="927">
        <f t="shared" ref="D104:O104" si="50">D26</f>
        <v>0</v>
      </c>
      <c r="E104" s="243">
        <f t="shared" si="50"/>
        <v>0</v>
      </c>
      <c r="F104" s="243" t="e">
        <f t="shared" si="50"/>
        <v>#DIV/0!</v>
      </c>
      <c r="G104" s="243" t="e">
        <f t="shared" si="50"/>
        <v>#DIV/0!</v>
      </c>
      <c r="H104" s="243" t="e">
        <f t="shared" si="50"/>
        <v>#DIV/0!</v>
      </c>
      <c r="I104" s="243" t="e">
        <f t="shared" si="50"/>
        <v>#DIV/0!</v>
      </c>
      <c r="J104" s="243" t="e">
        <f t="shared" si="50"/>
        <v>#DIV/0!</v>
      </c>
      <c r="K104" s="243" t="e">
        <f t="shared" si="50"/>
        <v>#DIV/0!</v>
      </c>
      <c r="L104" s="243" t="e">
        <f t="shared" si="50"/>
        <v>#DIV/0!</v>
      </c>
      <c r="M104" s="243" t="e">
        <f t="shared" si="50"/>
        <v>#DIV/0!</v>
      </c>
      <c r="N104" s="243" t="e">
        <f t="shared" si="50"/>
        <v>#DIV/0!</v>
      </c>
      <c r="O104" s="243">
        <f t="shared" si="50"/>
        <v>0</v>
      </c>
    </row>
    <row r="105" spans="1:15">
      <c r="A105" s="242" t="s">
        <v>182</v>
      </c>
      <c r="B105" s="243" t="str">
        <f>B29</f>
        <v>Tỷ lệ phế phẩm</v>
      </c>
      <c r="C105" s="243">
        <f>C29</f>
        <v>0</v>
      </c>
      <c r="D105" s="927">
        <f t="shared" ref="D105:O105" si="51">D29</f>
        <v>0</v>
      </c>
      <c r="E105" s="243">
        <f t="shared" si="51"/>
        <v>0</v>
      </c>
      <c r="F105" s="243" t="e">
        <f t="shared" si="51"/>
        <v>#DIV/0!</v>
      </c>
      <c r="G105" s="243" t="e">
        <f t="shared" si="51"/>
        <v>#DIV/0!</v>
      </c>
      <c r="H105" s="243" t="e">
        <f t="shared" si="51"/>
        <v>#DIV/0!</v>
      </c>
      <c r="I105" s="243" t="e">
        <f t="shared" si="51"/>
        <v>#DIV/0!</v>
      </c>
      <c r="J105" s="243" t="e">
        <f t="shared" si="51"/>
        <v>#DIV/0!</v>
      </c>
      <c r="K105" s="243" t="e">
        <f t="shared" si="51"/>
        <v>#DIV/0!</v>
      </c>
      <c r="L105" s="243" t="e">
        <f t="shared" si="51"/>
        <v>#DIV/0!</v>
      </c>
      <c r="M105" s="243" t="e">
        <f t="shared" si="51"/>
        <v>#DIV/0!</v>
      </c>
      <c r="N105" s="243" t="e">
        <f t="shared" si="51"/>
        <v>#DIV/0!</v>
      </c>
      <c r="O105" s="243">
        <f t="shared" si="51"/>
        <v>0</v>
      </c>
    </row>
    <row r="106" spans="1:15">
      <c r="A106" s="242" t="s">
        <v>183</v>
      </c>
      <c r="B106" s="243" t="str">
        <f>B32</f>
        <v>Tỷ lệ phế phẩm</v>
      </c>
      <c r="C106" s="243">
        <f>C32</f>
        <v>0</v>
      </c>
      <c r="D106" s="927">
        <f t="shared" ref="D106:O106" si="52">D32</f>
        <v>0</v>
      </c>
      <c r="E106" s="243">
        <f t="shared" si="52"/>
        <v>7.8431372549019605E-4</v>
      </c>
      <c r="F106" s="243" t="e">
        <f t="shared" si="52"/>
        <v>#DIV/0!</v>
      </c>
      <c r="G106" s="243" t="e">
        <f t="shared" si="52"/>
        <v>#DIV/0!</v>
      </c>
      <c r="H106" s="243" t="e">
        <f t="shared" si="52"/>
        <v>#DIV/0!</v>
      </c>
      <c r="I106" s="243" t="e">
        <f t="shared" si="52"/>
        <v>#DIV/0!</v>
      </c>
      <c r="J106" s="243" t="e">
        <f t="shared" si="52"/>
        <v>#DIV/0!</v>
      </c>
      <c r="K106" s="243" t="e">
        <f t="shared" si="52"/>
        <v>#DIV/0!</v>
      </c>
      <c r="L106" s="243" t="e">
        <f t="shared" si="52"/>
        <v>#DIV/0!</v>
      </c>
      <c r="M106" s="243" t="e">
        <f t="shared" si="52"/>
        <v>#DIV/0!</v>
      </c>
      <c r="N106" s="243" t="e">
        <f t="shared" si="52"/>
        <v>#DIV/0!</v>
      </c>
      <c r="O106" s="243">
        <f t="shared" si="52"/>
        <v>2.8498147620404675E-4</v>
      </c>
    </row>
    <row r="107" spans="1:15">
      <c r="A107" s="242" t="s">
        <v>184</v>
      </c>
      <c r="B107" s="243" t="str">
        <f>B35</f>
        <v>Tỷ lệ phế phẩm</v>
      </c>
      <c r="C107" s="243">
        <f>C35</f>
        <v>0</v>
      </c>
      <c r="D107" s="927">
        <f t="shared" ref="D107:O107" si="53">D35</f>
        <v>0</v>
      </c>
      <c r="E107" s="243">
        <f t="shared" si="53"/>
        <v>0</v>
      </c>
      <c r="F107" s="243" t="e">
        <f t="shared" si="53"/>
        <v>#DIV/0!</v>
      </c>
      <c r="G107" s="243" t="e">
        <f t="shared" si="53"/>
        <v>#DIV/0!</v>
      </c>
      <c r="H107" s="243" t="e">
        <f t="shared" si="53"/>
        <v>#DIV/0!</v>
      </c>
      <c r="I107" s="243" t="e">
        <f t="shared" si="53"/>
        <v>#DIV/0!</v>
      </c>
      <c r="J107" s="243" t="e">
        <f t="shared" si="53"/>
        <v>#DIV/0!</v>
      </c>
      <c r="K107" s="243" t="e">
        <f t="shared" si="53"/>
        <v>#DIV/0!</v>
      </c>
      <c r="L107" s="243" t="e">
        <f t="shared" si="53"/>
        <v>#DIV/0!</v>
      </c>
      <c r="M107" s="243" t="e">
        <f t="shared" si="53"/>
        <v>#DIV/0!</v>
      </c>
      <c r="N107" s="243" t="e">
        <f t="shared" si="53"/>
        <v>#DIV/0!</v>
      </c>
      <c r="O107" s="243">
        <f t="shared" si="53"/>
        <v>0</v>
      </c>
    </row>
    <row r="108" spans="1:15">
      <c r="A108" s="483" t="s">
        <v>185</v>
      </c>
      <c r="B108" s="497" t="str">
        <f>B38</f>
        <v>不良率</v>
      </c>
      <c r="C108" s="497" t="e">
        <f>C38</f>
        <v>#DIV/0!</v>
      </c>
      <c r="D108" s="928" t="e">
        <f t="shared" ref="D108:O108" si="54">D38</f>
        <v>#DIV/0!</v>
      </c>
      <c r="E108" s="497" t="e">
        <f t="shared" si="54"/>
        <v>#DIV/0!</v>
      </c>
      <c r="F108" s="497" t="e">
        <f t="shared" si="54"/>
        <v>#DIV/0!</v>
      </c>
      <c r="G108" s="497" t="e">
        <f t="shared" si="54"/>
        <v>#DIV/0!</v>
      </c>
      <c r="H108" s="497" t="e">
        <f t="shared" si="54"/>
        <v>#DIV/0!</v>
      </c>
      <c r="I108" s="497" t="e">
        <f t="shared" si="54"/>
        <v>#DIV/0!</v>
      </c>
      <c r="J108" s="497" t="e">
        <f t="shared" si="54"/>
        <v>#DIV/0!</v>
      </c>
      <c r="K108" s="497" t="e">
        <f t="shared" si="54"/>
        <v>#DIV/0!</v>
      </c>
      <c r="L108" s="497" t="e">
        <f t="shared" si="54"/>
        <v>#DIV/0!</v>
      </c>
      <c r="M108" s="497" t="e">
        <f t="shared" si="54"/>
        <v>#DIV/0!</v>
      </c>
      <c r="N108" s="497" t="e">
        <f t="shared" si="54"/>
        <v>#DIV/0!</v>
      </c>
      <c r="O108" s="497" t="e">
        <f t="shared" si="54"/>
        <v>#DIV/0!</v>
      </c>
    </row>
    <row r="109" spans="1:15">
      <c r="A109" s="242" t="s">
        <v>186</v>
      </c>
      <c r="B109" s="243" t="str">
        <f>B41</f>
        <v>Tỷ lệ phế phẩm</v>
      </c>
      <c r="C109" s="243">
        <f>C41</f>
        <v>0</v>
      </c>
      <c r="D109" s="927">
        <f t="shared" ref="D109:O109" si="55">D41</f>
        <v>0</v>
      </c>
      <c r="E109" s="243">
        <f t="shared" si="55"/>
        <v>0</v>
      </c>
      <c r="F109" s="243" t="e">
        <f t="shared" si="55"/>
        <v>#DIV/0!</v>
      </c>
      <c r="G109" s="243" t="e">
        <f t="shared" si="55"/>
        <v>#DIV/0!</v>
      </c>
      <c r="H109" s="243" t="e">
        <f t="shared" si="55"/>
        <v>#DIV/0!</v>
      </c>
      <c r="I109" s="243" t="e">
        <f t="shared" si="55"/>
        <v>#DIV/0!</v>
      </c>
      <c r="J109" s="243" t="e">
        <f t="shared" si="55"/>
        <v>#DIV/0!</v>
      </c>
      <c r="K109" s="243" t="e">
        <f t="shared" si="55"/>
        <v>#DIV/0!</v>
      </c>
      <c r="L109" s="243" t="e">
        <f t="shared" si="55"/>
        <v>#DIV/0!</v>
      </c>
      <c r="M109" s="243" t="e">
        <f t="shared" si="55"/>
        <v>#DIV/0!</v>
      </c>
      <c r="N109" s="243" t="e">
        <f t="shared" si="55"/>
        <v>#DIV/0!</v>
      </c>
      <c r="O109" s="243">
        <f t="shared" si="55"/>
        <v>0</v>
      </c>
    </row>
    <row r="110" spans="1:15">
      <c r="A110" s="242" t="s">
        <v>187</v>
      </c>
      <c r="B110" s="243" t="str">
        <f>B44</f>
        <v>Tỷ lệ phế phẩm</v>
      </c>
      <c r="C110" s="243">
        <f>C44</f>
        <v>0</v>
      </c>
      <c r="D110" s="927">
        <f t="shared" ref="D110:O110" si="56">D44</f>
        <v>0</v>
      </c>
      <c r="E110" s="243">
        <f t="shared" si="56"/>
        <v>0</v>
      </c>
      <c r="F110" s="243" t="e">
        <f t="shared" si="56"/>
        <v>#DIV/0!</v>
      </c>
      <c r="G110" s="243" t="e">
        <f t="shared" si="56"/>
        <v>#DIV/0!</v>
      </c>
      <c r="H110" s="243" t="e">
        <f t="shared" si="56"/>
        <v>#DIV/0!</v>
      </c>
      <c r="I110" s="243" t="e">
        <f t="shared" si="56"/>
        <v>#DIV/0!</v>
      </c>
      <c r="J110" s="243" t="e">
        <f t="shared" si="56"/>
        <v>#DIV/0!</v>
      </c>
      <c r="K110" s="243" t="e">
        <f t="shared" si="56"/>
        <v>#DIV/0!</v>
      </c>
      <c r="L110" s="243" t="e">
        <f t="shared" si="56"/>
        <v>#DIV/0!</v>
      </c>
      <c r="M110" s="243" t="e">
        <f t="shared" si="56"/>
        <v>#DIV/0!</v>
      </c>
      <c r="N110" s="243" t="e">
        <f t="shared" si="56"/>
        <v>#DIV/0!</v>
      </c>
      <c r="O110" s="243">
        <f t="shared" si="56"/>
        <v>0</v>
      </c>
    </row>
    <row r="111" spans="1:15">
      <c r="A111" s="242" t="s">
        <v>188</v>
      </c>
      <c r="B111" s="243" t="str">
        <f>B47</f>
        <v>Tỷ lệ phế phẩm</v>
      </c>
      <c r="C111" s="243">
        <f>C47</f>
        <v>0</v>
      </c>
      <c r="D111" s="927">
        <f t="shared" ref="D111:O111" si="57">D47</f>
        <v>0</v>
      </c>
      <c r="E111" s="243">
        <f t="shared" si="57"/>
        <v>0</v>
      </c>
      <c r="F111" s="243" t="e">
        <f t="shared" si="57"/>
        <v>#DIV/0!</v>
      </c>
      <c r="G111" s="243" t="e">
        <f t="shared" si="57"/>
        <v>#DIV/0!</v>
      </c>
      <c r="H111" s="243" t="e">
        <f t="shared" si="57"/>
        <v>#DIV/0!</v>
      </c>
      <c r="I111" s="243" t="e">
        <f t="shared" si="57"/>
        <v>#DIV/0!</v>
      </c>
      <c r="J111" s="243" t="e">
        <f t="shared" si="57"/>
        <v>#DIV/0!</v>
      </c>
      <c r="K111" s="243" t="e">
        <f t="shared" si="57"/>
        <v>#DIV/0!</v>
      </c>
      <c r="L111" s="243" t="e">
        <f t="shared" si="57"/>
        <v>#DIV/0!</v>
      </c>
      <c r="M111" s="243" t="e">
        <f t="shared" si="57"/>
        <v>#DIV/0!</v>
      </c>
      <c r="N111" s="243" t="e">
        <f t="shared" si="57"/>
        <v>#DIV/0!</v>
      </c>
      <c r="O111" s="243">
        <f t="shared" si="57"/>
        <v>0</v>
      </c>
    </row>
    <row r="112" spans="1:15">
      <c r="A112" s="242" t="s">
        <v>189</v>
      </c>
      <c r="B112" s="243" t="str">
        <f>B50</f>
        <v>Tỷ lệ phế phẩm</v>
      </c>
      <c r="C112" s="243">
        <f>C50</f>
        <v>0</v>
      </c>
      <c r="D112" s="927">
        <f t="shared" ref="D112:O112" si="58">D50</f>
        <v>0</v>
      </c>
      <c r="E112" s="243">
        <f t="shared" si="58"/>
        <v>0</v>
      </c>
      <c r="F112" s="243" t="e">
        <f t="shared" si="58"/>
        <v>#DIV/0!</v>
      </c>
      <c r="G112" s="243" t="e">
        <f t="shared" si="58"/>
        <v>#DIV/0!</v>
      </c>
      <c r="H112" s="243" t="e">
        <f t="shared" si="58"/>
        <v>#DIV/0!</v>
      </c>
      <c r="I112" s="243" t="e">
        <f t="shared" si="58"/>
        <v>#DIV/0!</v>
      </c>
      <c r="J112" s="243" t="e">
        <f t="shared" si="58"/>
        <v>#DIV/0!</v>
      </c>
      <c r="K112" s="243" t="e">
        <f t="shared" si="58"/>
        <v>#DIV/0!</v>
      </c>
      <c r="L112" s="243" t="e">
        <f t="shared" si="58"/>
        <v>#DIV/0!</v>
      </c>
      <c r="M112" s="243" t="e">
        <f t="shared" si="58"/>
        <v>#DIV/0!</v>
      </c>
      <c r="N112" s="243" t="e">
        <f t="shared" si="58"/>
        <v>#DIV/0!</v>
      </c>
      <c r="O112" s="243">
        <f t="shared" si="58"/>
        <v>0</v>
      </c>
    </row>
    <row r="113" spans="1:15">
      <c r="A113" s="483" t="s">
        <v>190</v>
      </c>
      <c r="B113" s="497" t="str">
        <f>B53</f>
        <v>不良率</v>
      </c>
      <c r="C113" s="497" t="e">
        <f>C53</f>
        <v>#DIV/0!</v>
      </c>
      <c r="D113" s="928" t="e">
        <f t="shared" ref="D113:O113" si="59">D53</f>
        <v>#DIV/0!</v>
      </c>
      <c r="E113" s="497" t="e">
        <f t="shared" si="59"/>
        <v>#DIV/0!</v>
      </c>
      <c r="F113" s="497" t="e">
        <f t="shared" si="59"/>
        <v>#DIV/0!</v>
      </c>
      <c r="G113" s="497" t="e">
        <f t="shared" si="59"/>
        <v>#DIV/0!</v>
      </c>
      <c r="H113" s="497" t="e">
        <f t="shared" si="59"/>
        <v>#DIV/0!</v>
      </c>
      <c r="I113" s="497" t="e">
        <f t="shared" si="59"/>
        <v>#DIV/0!</v>
      </c>
      <c r="J113" s="497" t="e">
        <f t="shared" si="59"/>
        <v>#DIV/0!</v>
      </c>
      <c r="K113" s="497" t="e">
        <f t="shared" si="59"/>
        <v>#DIV/0!</v>
      </c>
      <c r="L113" s="497" t="e">
        <f t="shared" si="59"/>
        <v>#DIV/0!</v>
      </c>
      <c r="M113" s="497" t="e">
        <f t="shared" si="59"/>
        <v>#DIV/0!</v>
      </c>
      <c r="N113" s="497" t="e">
        <f t="shared" si="59"/>
        <v>#DIV/0!</v>
      </c>
      <c r="O113" s="497" t="e">
        <f t="shared" si="59"/>
        <v>#DIV/0!</v>
      </c>
    </row>
    <row r="114" spans="1:15">
      <c r="A114" s="242" t="s">
        <v>191</v>
      </c>
      <c r="B114" s="243" t="str">
        <f>B56</f>
        <v>Tỷ lệ phế phẩm</v>
      </c>
      <c r="C114" s="243">
        <f>C56</f>
        <v>0</v>
      </c>
      <c r="D114" s="927">
        <f t="shared" ref="D114:O114" si="60">D56</f>
        <v>0</v>
      </c>
      <c r="E114" s="243">
        <f t="shared" si="60"/>
        <v>0</v>
      </c>
      <c r="F114" s="243" t="e">
        <f t="shared" si="60"/>
        <v>#DIV/0!</v>
      </c>
      <c r="G114" s="243" t="e">
        <f t="shared" si="60"/>
        <v>#DIV/0!</v>
      </c>
      <c r="H114" s="243" t="e">
        <f t="shared" si="60"/>
        <v>#DIV/0!</v>
      </c>
      <c r="I114" s="243" t="e">
        <f t="shared" si="60"/>
        <v>#DIV/0!</v>
      </c>
      <c r="J114" s="243" t="e">
        <f t="shared" si="60"/>
        <v>#DIV/0!</v>
      </c>
      <c r="K114" s="243" t="e">
        <f t="shared" si="60"/>
        <v>#DIV/0!</v>
      </c>
      <c r="L114" s="243" t="e">
        <f t="shared" si="60"/>
        <v>#DIV/0!</v>
      </c>
      <c r="M114" s="243" t="e">
        <f t="shared" si="60"/>
        <v>#DIV/0!</v>
      </c>
      <c r="N114" s="243" t="e">
        <f t="shared" si="60"/>
        <v>#DIV/0!</v>
      </c>
      <c r="O114" s="243">
        <f t="shared" si="60"/>
        <v>0</v>
      </c>
    </row>
  </sheetData>
  <mergeCells count="16">
    <mergeCell ref="A45:A47"/>
    <mergeCell ref="A48:A50"/>
    <mergeCell ref="A51:A53"/>
    <mergeCell ref="A54:A56"/>
    <mergeCell ref="A27:A29"/>
    <mergeCell ref="A30:A32"/>
    <mergeCell ref="A33:A35"/>
    <mergeCell ref="A36:A38"/>
    <mergeCell ref="A39:A41"/>
    <mergeCell ref="A42:A44"/>
    <mergeCell ref="A24:A26"/>
    <mergeCell ref="A9:A11"/>
    <mergeCell ref="A12:A14"/>
    <mergeCell ref="A15:A17"/>
    <mergeCell ref="A18:A20"/>
    <mergeCell ref="A21:A23"/>
  </mergeCells>
  <phoneticPr fontId="36"/>
  <conditionalFormatting sqref="C9:N9 C10:O10">
    <cfRule type="cellIs" dxfId="18" priority="4" operator="greaterThan">
      <formula>0</formula>
    </cfRule>
  </conditionalFormatting>
  <conditionalFormatting sqref="C13:N13 C16:N16 C19:N19 C22:N22 C25:N25 C28:N28 C31:N31 C34:N34 C37:N37 C40:N40 C43:N43 C46:N46 C49:N49 C52:N52 C55:N55 C57:N57">
    <cfRule type="cellIs" dxfId="17" priority="1" operator="greaterThan">
      <formula>0</formula>
    </cfRule>
  </conditionalFormatting>
  <conditionalFormatting sqref="C65:O80">
    <cfRule type="cellIs" dxfId="16" priority="3" operator="greaterThan">
      <formula>0</formula>
    </cfRule>
  </conditionalFormatting>
  <conditionalFormatting sqref="C100:O114">
    <cfRule type="cellIs" dxfId="15" priority="2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54A5-2460-4C18-A460-024B946835CF}">
  <sheetPr>
    <tabColor rgb="FFFF0000"/>
  </sheetPr>
  <dimension ref="A1:T232"/>
  <sheetViews>
    <sheetView zoomScaleNormal="100" workbookViewId="0">
      <pane xSplit="2" ySplit="11" topLeftCell="C92" activePane="bottomRight" state="frozen"/>
      <selection pane="topRight" activeCell="C1" sqref="C1"/>
      <selection pane="bottomLeft" activeCell="A12" sqref="A12"/>
      <selection pane="bottomRight" activeCell="W59" sqref="W59"/>
    </sheetView>
  </sheetViews>
  <sheetFormatPr defaultRowHeight="15"/>
  <cols>
    <col min="2" max="2" width="19.7109375" customWidth="1"/>
    <col min="3" max="3" width="14.5703125" customWidth="1"/>
    <col min="12" max="12" width="10.140625" style="541" bestFit="1" customWidth="1"/>
    <col min="16" max="16" width="12.5703125" style="541" customWidth="1"/>
    <col min="19" max="19" width="13" customWidth="1"/>
  </cols>
  <sheetData>
    <row r="1" spans="1:20" ht="18.75">
      <c r="A1" s="292"/>
      <c r="B1" s="292"/>
      <c r="C1" s="292"/>
      <c r="D1" s="196" t="s">
        <v>450</v>
      </c>
      <c r="E1" s="293"/>
      <c r="F1" s="293"/>
      <c r="G1" s="293"/>
      <c r="H1" s="293"/>
      <c r="I1" s="293"/>
      <c r="J1" s="293"/>
      <c r="K1" s="293"/>
      <c r="L1" s="293"/>
      <c r="M1" s="195"/>
      <c r="N1" s="197"/>
      <c r="O1" s="293"/>
      <c r="P1" s="293"/>
      <c r="Q1" s="292"/>
      <c r="R1" s="292"/>
      <c r="S1" s="292"/>
      <c r="T1" s="292"/>
    </row>
    <row r="2" spans="1:20" ht="17.25">
      <c r="A2" s="292"/>
      <c r="B2" s="292"/>
      <c r="C2" s="292"/>
      <c r="D2" s="196" t="s">
        <v>451</v>
      </c>
      <c r="E2" s="293"/>
      <c r="F2" s="293"/>
      <c r="G2" s="293"/>
      <c r="H2" s="293"/>
      <c r="I2" s="293"/>
      <c r="J2" s="293"/>
      <c r="K2" s="293"/>
      <c r="L2" s="293"/>
      <c r="M2" s="292"/>
      <c r="N2" s="198"/>
      <c r="O2" s="293"/>
      <c r="P2" s="293"/>
      <c r="Q2" s="292"/>
      <c r="R2" s="292"/>
      <c r="S2" s="292"/>
      <c r="T2" s="292"/>
    </row>
    <row r="3" spans="1:20" ht="17.25">
      <c r="A3" s="292"/>
      <c r="B3" s="292"/>
      <c r="C3" s="292"/>
      <c r="D3" s="196" t="s">
        <v>452</v>
      </c>
      <c r="E3" s="293"/>
      <c r="F3" s="293"/>
      <c r="G3" s="293"/>
      <c r="H3" s="293"/>
      <c r="I3" s="293"/>
      <c r="J3" s="293"/>
      <c r="K3" s="293"/>
      <c r="L3" s="293"/>
      <c r="M3" s="292"/>
      <c r="N3" s="198"/>
      <c r="O3" s="293"/>
      <c r="P3" s="293"/>
      <c r="Q3" s="292"/>
      <c r="R3" s="292"/>
      <c r="S3" s="292"/>
      <c r="T3" s="292"/>
    </row>
    <row r="4" spans="1:20" ht="17.25">
      <c r="A4" s="292"/>
      <c r="B4" s="292"/>
      <c r="C4" s="292"/>
      <c r="D4" s="196"/>
      <c r="E4" s="293"/>
      <c r="F4" s="293"/>
      <c r="G4" s="293"/>
      <c r="H4" s="293"/>
      <c r="I4" s="293"/>
      <c r="J4" s="293"/>
      <c r="K4" s="293"/>
      <c r="L4" s="293"/>
      <c r="M4" s="292"/>
      <c r="N4" s="198"/>
      <c r="O4" s="293"/>
      <c r="P4" s="293"/>
      <c r="Q4" s="292"/>
      <c r="R4" s="292"/>
      <c r="S4" s="292"/>
      <c r="T4" s="292"/>
    </row>
    <row r="5" spans="1:20" ht="18" thickBot="1">
      <c r="A5" s="292"/>
      <c r="B5" s="292"/>
      <c r="C5" s="292"/>
      <c r="D5" s="196"/>
      <c r="E5" s="293"/>
      <c r="F5" s="293"/>
      <c r="G5" s="293"/>
      <c r="H5" s="293"/>
      <c r="I5" s="293"/>
      <c r="J5" s="293"/>
      <c r="K5" s="293"/>
      <c r="L5" s="293"/>
      <c r="M5" s="292"/>
      <c r="N5" s="198"/>
      <c r="O5" s="293"/>
      <c r="P5" s="293"/>
      <c r="Q5" s="292"/>
      <c r="R5" s="292"/>
      <c r="S5" s="292"/>
      <c r="T5" s="292"/>
    </row>
    <row r="6" spans="1:20" ht="18" thickBot="1">
      <c r="A6" s="292"/>
      <c r="B6" s="188" t="s">
        <v>196</v>
      </c>
      <c r="C6" s="292"/>
      <c r="D6" s="294" t="s">
        <v>170</v>
      </c>
      <c r="E6" s="293"/>
      <c r="F6" s="295" t="s">
        <v>171</v>
      </c>
      <c r="G6" s="198"/>
      <c r="H6" s="293"/>
      <c r="I6" s="293"/>
      <c r="J6" s="293"/>
      <c r="K6" s="293"/>
      <c r="L6" s="293"/>
      <c r="M6" s="293"/>
      <c r="N6" s="293"/>
      <c r="O6" s="293"/>
      <c r="P6" s="293"/>
      <c r="Q6" s="292"/>
      <c r="R6" s="292"/>
      <c r="S6" s="292"/>
      <c r="T6" s="292"/>
    </row>
    <row r="7" spans="1:20">
      <c r="A7" s="292"/>
      <c r="B7" s="292"/>
      <c r="C7" s="292" t="s">
        <v>172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2"/>
      <c r="R7" s="292"/>
      <c r="S7" s="292"/>
      <c r="T7" s="292"/>
    </row>
    <row r="8" spans="1:20" ht="15.75" thickBot="1">
      <c r="A8" s="293" t="s">
        <v>197</v>
      </c>
      <c r="B8" s="293" t="s">
        <v>198</v>
      </c>
      <c r="C8" s="292"/>
      <c r="D8" s="296" t="s">
        <v>137</v>
      </c>
      <c r="E8" s="297" t="s">
        <v>2</v>
      </c>
      <c r="F8" s="296" t="s">
        <v>3</v>
      </c>
      <c r="G8" s="296" t="s">
        <v>4</v>
      </c>
      <c r="H8" s="296" t="s">
        <v>5</v>
      </c>
      <c r="I8" s="296" t="s">
        <v>6</v>
      </c>
      <c r="J8" s="296" t="s">
        <v>7</v>
      </c>
      <c r="K8" s="296" t="s">
        <v>8</v>
      </c>
      <c r="L8" s="296" t="s">
        <v>199</v>
      </c>
      <c r="M8" s="296" t="s">
        <v>10</v>
      </c>
      <c r="N8" s="296" t="s">
        <v>11</v>
      </c>
      <c r="O8" s="296" t="s">
        <v>12</v>
      </c>
      <c r="P8" s="202" t="s">
        <v>570</v>
      </c>
      <c r="Q8" s="292"/>
      <c r="R8" s="292"/>
      <c r="S8" s="292"/>
      <c r="T8" s="292"/>
    </row>
    <row r="9" spans="1:20" ht="15.75" thickTop="1">
      <c r="A9" s="988"/>
      <c r="B9" s="991" t="s">
        <v>200</v>
      </c>
      <c r="C9" s="419" t="s">
        <v>551</v>
      </c>
      <c r="D9" s="420">
        <f>SUM(D12,D15,D18,D21,D24,D27,D30,D33,D36,D39,D42,D45,D48,D51,D54,D57,D60,D63,D66,D69,D72,D75,D78,D81,D84,D87,D90,D93,D96,D99,D102)</f>
        <v>2126</v>
      </c>
      <c r="E9" s="420">
        <f t="shared" ref="E9:O9" si="0">SUM(E12,E15,E18,E21,E24,E27,E30,E33,E36,E39,E42,E45,E48,E51,E54,E57,E60,E63,E66,E69,E72,E75,E78,E81,E84,E87,E90,E93,E96,E99,E102)</f>
        <v>1807</v>
      </c>
      <c r="F9" s="420">
        <f>SUM(F12,F15,F18,F21,F24,F27,F30,F33,F36,F39,F42,F45,F48,F51,F54,F57,F60,F63,F66,F69,F72,F75,F78,F81,F84,F87,F90,F93,F96,F99,F102)</f>
        <v>2510</v>
      </c>
      <c r="G9" s="420">
        <f>SUM(G12,G15,G18,G21,G24,G27,G30,G33,G36,G39,G42,G45,G48,G51,G54,G57,G60,G63,G66,G69,G72,G75,G78,G81,G84,G87,G90,G93,G96,G99,G102)</f>
        <v>0</v>
      </c>
      <c r="H9" s="420">
        <f t="shared" si="0"/>
        <v>0</v>
      </c>
      <c r="I9" s="420">
        <f t="shared" si="0"/>
        <v>0</v>
      </c>
      <c r="J9" s="420">
        <f t="shared" si="0"/>
        <v>0</v>
      </c>
      <c r="K9" s="420">
        <f t="shared" si="0"/>
        <v>0</v>
      </c>
      <c r="L9" s="420">
        <f t="shared" si="0"/>
        <v>0</v>
      </c>
      <c r="M9" s="420">
        <f t="shared" si="0"/>
        <v>0</v>
      </c>
      <c r="N9" s="420">
        <f t="shared" si="0"/>
        <v>0</v>
      </c>
      <c r="O9" s="420">
        <f t="shared" si="0"/>
        <v>0</v>
      </c>
      <c r="P9" s="539">
        <f>SUM(D9:O9)</f>
        <v>6443</v>
      </c>
      <c r="Q9" s="298"/>
      <c r="R9" s="205"/>
      <c r="S9" s="205"/>
      <c r="T9" s="205"/>
    </row>
    <row r="10" spans="1:20">
      <c r="A10" s="989"/>
      <c r="B10" s="992"/>
      <c r="C10" s="422" t="s">
        <v>552</v>
      </c>
      <c r="D10" s="421">
        <f>SUM(D13,D16,D19,D22,D25,D28,D31,D34,D37,D40,D43,D46,D49,D52,D55,D58,D61,D64,D67,D70,D73,D76,D79,D82,D85,D88,D91,D94,D97,D100,D103)</f>
        <v>0</v>
      </c>
      <c r="E10" s="421">
        <f t="shared" ref="E10:O10" si="1">SUM(E13,E16,E19,E22,E25,E28,E31,E34,E37,E40,E43,E46,E49,E52,E55,E58,E61,E64,E67,E70,E73,E76,E79,E82,E85,E88,E91,E94,E97,E100,E103)</f>
        <v>4</v>
      </c>
      <c r="F10" s="421">
        <f t="shared" si="1"/>
        <v>4</v>
      </c>
      <c r="G10" s="421">
        <f>SUM(G13,G16,G19,G22,G25,G28,G31,G34,G37,G40,G43,G46,G49,G52,G55,G58,G61,G64,G67,G70,G73,G76,G79,G82,G85,G88,G91,G94,G97,G100,G103)</f>
        <v>0</v>
      </c>
      <c r="H10" s="421">
        <f t="shared" si="1"/>
        <v>0</v>
      </c>
      <c r="I10" s="421">
        <f t="shared" si="1"/>
        <v>0</v>
      </c>
      <c r="J10" s="421">
        <f t="shared" si="1"/>
        <v>0</v>
      </c>
      <c r="K10" s="421">
        <f t="shared" si="1"/>
        <v>0</v>
      </c>
      <c r="L10" s="421">
        <f t="shared" si="1"/>
        <v>0</v>
      </c>
      <c r="M10" s="421">
        <f t="shared" si="1"/>
        <v>0</v>
      </c>
      <c r="N10" s="421">
        <f t="shared" si="1"/>
        <v>0</v>
      </c>
      <c r="O10" s="421">
        <f t="shared" si="1"/>
        <v>0</v>
      </c>
      <c r="P10" s="540">
        <f>SUM(D10:O10)</f>
        <v>8</v>
      </c>
      <c r="Q10" s="293"/>
      <c r="R10" s="292"/>
      <c r="S10" s="292"/>
      <c r="T10" s="292"/>
    </row>
    <row r="11" spans="1:20" ht="15.75" thickBot="1">
      <c r="A11" s="990"/>
      <c r="B11" s="993"/>
      <c r="C11" s="209" t="s">
        <v>553</v>
      </c>
      <c r="D11" s="299">
        <f>D10/D9</f>
        <v>0</v>
      </c>
      <c r="E11" s="299">
        <f>E10/E9</f>
        <v>2.2136137244050912E-3</v>
      </c>
      <c r="F11" s="299">
        <f t="shared" ref="F11:N11" si="2">F10/F9</f>
        <v>1.5936254980079682E-3</v>
      </c>
      <c r="G11" s="299" t="e">
        <f>G10/G9</f>
        <v>#DIV/0!</v>
      </c>
      <c r="H11" s="299" t="e">
        <f t="shared" si="2"/>
        <v>#DIV/0!</v>
      </c>
      <c r="I11" s="299" t="e">
        <f t="shared" si="2"/>
        <v>#DIV/0!</v>
      </c>
      <c r="J11" s="299" t="e">
        <f t="shared" si="2"/>
        <v>#DIV/0!</v>
      </c>
      <c r="K11" s="299" t="e">
        <f t="shared" si="2"/>
        <v>#DIV/0!</v>
      </c>
      <c r="L11" s="299" t="e">
        <f t="shared" si="2"/>
        <v>#DIV/0!</v>
      </c>
      <c r="M11" s="299" t="e">
        <f t="shared" si="2"/>
        <v>#DIV/0!</v>
      </c>
      <c r="N11" s="299" t="e">
        <f t="shared" si="2"/>
        <v>#DIV/0!</v>
      </c>
      <c r="O11" s="300" t="e">
        <f>O10/O9</f>
        <v>#DIV/0!</v>
      </c>
      <c r="P11" s="301">
        <f>P10/P9</f>
        <v>1.2416576129132392E-3</v>
      </c>
      <c r="Q11" s="302"/>
      <c r="R11" s="292"/>
      <c r="S11" s="292"/>
      <c r="T11" s="292"/>
    </row>
    <row r="12" spans="1:20">
      <c r="A12" s="994" t="s">
        <v>423</v>
      </c>
      <c r="B12" s="997" t="s">
        <v>424</v>
      </c>
      <c r="C12" s="495" t="s">
        <v>554</v>
      </c>
      <c r="D12" s="213">
        <v>13</v>
      </c>
      <c r="E12" s="214">
        <v>0</v>
      </c>
      <c r="F12" s="304">
        <v>0</v>
      </c>
      <c r="G12" s="304"/>
      <c r="H12" s="304"/>
      <c r="I12" s="304"/>
      <c r="J12" s="303"/>
      <c r="K12" s="303"/>
      <c r="L12" s="303"/>
      <c r="M12" s="303"/>
      <c r="N12" s="303"/>
      <c r="O12" s="305"/>
      <c r="P12" s="216">
        <f>SUM(D12:O12)</f>
        <v>13</v>
      </c>
      <c r="Q12" s="292"/>
      <c r="R12" s="292"/>
      <c r="S12" s="292"/>
      <c r="T12" s="292"/>
    </row>
    <row r="13" spans="1:20">
      <c r="A13" s="995"/>
      <c r="B13" s="997"/>
      <c r="C13" s="206" t="s">
        <v>552</v>
      </c>
      <c r="D13" s="207">
        <v>0</v>
      </c>
      <c r="E13" s="217">
        <v>0</v>
      </c>
      <c r="F13" s="307">
        <v>0</v>
      </c>
      <c r="G13" s="307"/>
      <c r="H13" s="307"/>
      <c r="I13" s="307"/>
      <c r="J13" s="306"/>
      <c r="K13" s="306"/>
      <c r="L13" s="306"/>
      <c r="M13" s="306"/>
      <c r="N13" s="306"/>
      <c r="O13" s="308"/>
      <c r="P13" s="219">
        <f>SUM(D13:O13)</f>
        <v>0</v>
      </c>
      <c r="Q13" s="292"/>
      <c r="R13" s="292"/>
      <c r="S13" s="292"/>
      <c r="T13" s="292"/>
    </row>
    <row r="14" spans="1:20" ht="15.75" thickBot="1">
      <c r="A14" s="996"/>
      <c r="B14" s="997"/>
      <c r="C14" s="220" t="s">
        <v>553</v>
      </c>
      <c r="D14" s="221">
        <f>D13/D12</f>
        <v>0</v>
      </c>
      <c r="E14" s="221" t="e">
        <f t="shared" ref="E14" si="3">E13/E12</f>
        <v>#DIV/0!</v>
      </c>
      <c r="F14" s="309" t="e">
        <f t="shared" ref="F14:P14" si="4">F13/F12</f>
        <v>#DIV/0!</v>
      </c>
      <c r="G14" s="309" t="e">
        <f t="shared" si="4"/>
        <v>#DIV/0!</v>
      </c>
      <c r="H14" s="309" t="e">
        <f t="shared" si="4"/>
        <v>#DIV/0!</v>
      </c>
      <c r="I14" s="309" t="e">
        <f t="shared" si="4"/>
        <v>#DIV/0!</v>
      </c>
      <c r="J14" s="309" t="e">
        <f t="shared" si="4"/>
        <v>#DIV/0!</v>
      </c>
      <c r="K14" s="309" t="e">
        <f t="shared" si="4"/>
        <v>#DIV/0!</v>
      </c>
      <c r="L14" s="309" t="e">
        <f t="shared" si="4"/>
        <v>#DIV/0!</v>
      </c>
      <c r="M14" s="309" t="e">
        <f t="shared" si="4"/>
        <v>#DIV/0!</v>
      </c>
      <c r="N14" s="309" t="e">
        <f t="shared" si="4"/>
        <v>#DIV/0!</v>
      </c>
      <c r="O14" s="310" t="e">
        <f t="shared" si="4"/>
        <v>#DIV/0!</v>
      </c>
      <c r="P14" s="311">
        <f t="shared" si="4"/>
        <v>0</v>
      </c>
      <c r="Q14" s="292"/>
      <c r="R14" s="292"/>
      <c r="S14" s="292"/>
      <c r="T14" s="292"/>
    </row>
    <row r="15" spans="1:20">
      <c r="A15" s="998" t="s">
        <v>425</v>
      </c>
      <c r="B15" s="1000" t="s">
        <v>426</v>
      </c>
      <c r="C15" s="495" t="s">
        <v>554</v>
      </c>
      <c r="D15" s="829">
        <v>13</v>
      </c>
      <c r="E15" s="244">
        <v>13</v>
      </c>
      <c r="F15" s="312">
        <v>15</v>
      </c>
      <c r="G15" s="313"/>
      <c r="H15" s="314"/>
      <c r="I15" s="313"/>
      <c r="J15" s="313"/>
      <c r="K15" s="313"/>
      <c r="L15" s="313"/>
      <c r="M15" s="313"/>
      <c r="N15" s="313"/>
      <c r="O15" s="315"/>
      <c r="P15" s="224">
        <f>SUM(D15:O15)</f>
        <v>41</v>
      </c>
      <c r="Q15" s="292"/>
      <c r="R15" s="292"/>
      <c r="S15" s="292"/>
      <c r="T15" s="292"/>
    </row>
    <row r="16" spans="1:20">
      <c r="A16" s="995"/>
      <c r="B16" s="997"/>
      <c r="C16" s="206" t="s">
        <v>552</v>
      </c>
      <c r="D16" s="830">
        <v>0</v>
      </c>
      <c r="E16" s="245">
        <v>0</v>
      </c>
      <c r="F16" s="316">
        <v>0</v>
      </c>
      <c r="G16" s="317"/>
      <c r="H16" s="306"/>
      <c r="I16" s="317"/>
      <c r="J16" s="317"/>
      <c r="K16" s="317"/>
      <c r="L16" s="317"/>
      <c r="M16" s="317"/>
      <c r="N16" s="317"/>
      <c r="O16" s="318"/>
      <c r="P16" s="219">
        <f>SUM(D16:O16)</f>
        <v>0</v>
      </c>
      <c r="Q16" s="292"/>
      <c r="R16" s="292"/>
      <c r="S16" s="292"/>
      <c r="T16" s="292"/>
    </row>
    <row r="17" spans="1:20" ht="15.75" thickBot="1">
      <c r="A17" s="999"/>
      <c r="B17" s="1001"/>
      <c r="C17" s="220" t="s">
        <v>553</v>
      </c>
      <c r="D17" s="221">
        <f>D16/D15</f>
        <v>0</v>
      </c>
      <c r="E17" s="831">
        <f t="shared" ref="E17" si="5">E16/E15</f>
        <v>0</v>
      </c>
      <c r="F17" s="309">
        <f t="shared" ref="F17:P17" si="6">F16/F15</f>
        <v>0</v>
      </c>
      <c r="G17" s="309" t="e">
        <f t="shared" si="6"/>
        <v>#DIV/0!</v>
      </c>
      <c r="H17" s="309" t="e">
        <f t="shared" si="6"/>
        <v>#DIV/0!</v>
      </c>
      <c r="I17" s="309" t="e">
        <f t="shared" si="6"/>
        <v>#DIV/0!</v>
      </c>
      <c r="J17" s="309" t="e">
        <f t="shared" si="6"/>
        <v>#DIV/0!</v>
      </c>
      <c r="K17" s="309" t="e">
        <f t="shared" si="6"/>
        <v>#DIV/0!</v>
      </c>
      <c r="L17" s="309" t="e">
        <f t="shared" si="6"/>
        <v>#DIV/0!</v>
      </c>
      <c r="M17" s="309" t="e">
        <f t="shared" si="6"/>
        <v>#DIV/0!</v>
      </c>
      <c r="N17" s="309" t="e">
        <f t="shared" si="6"/>
        <v>#DIV/0!</v>
      </c>
      <c r="O17" s="310" t="e">
        <f t="shared" si="6"/>
        <v>#DIV/0!</v>
      </c>
      <c r="P17" s="311">
        <f t="shared" si="6"/>
        <v>0</v>
      </c>
      <c r="Q17" s="292"/>
      <c r="R17" s="292"/>
      <c r="S17" s="292"/>
      <c r="T17" s="292"/>
    </row>
    <row r="18" spans="1:20">
      <c r="A18" s="998" t="s">
        <v>427</v>
      </c>
      <c r="B18" s="1002" t="s">
        <v>657</v>
      </c>
      <c r="C18" s="495" t="s">
        <v>554</v>
      </c>
      <c r="D18" s="832">
        <v>8</v>
      </c>
      <c r="E18" s="244">
        <v>20</v>
      </c>
      <c r="F18" s="319">
        <v>40</v>
      </c>
      <c r="G18" s="314"/>
      <c r="H18" s="314"/>
      <c r="I18" s="314"/>
      <c r="J18" s="314"/>
      <c r="K18" s="314"/>
      <c r="L18" s="314"/>
      <c r="M18" s="314"/>
      <c r="N18" s="314"/>
      <c r="O18" s="320"/>
      <c r="P18" s="224">
        <f>SUM(D18:O18)</f>
        <v>68</v>
      </c>
      <c r="Q18" s="292"/>
      <c r="R18" s="292"/>
      <c r="S18" s="292"/>
      <c r="T18" s="292"/>
    </row>
    <row r="19" spans="1:20">
      <c r="A19" s="995"/>
      <c r="B19" s="1003"/>
      <c r="C19" s="206" t="s">
        <v>552</v>
      </c>
      <c r="D19" s="833">
        <v>0</v>
      </c>
      <c r="E19" s="833">
        <v>0</v>
      </c>
      <c r="F19" s="321">
        <v>0</v>
      </c>
      <c r="G19" s="306"/>
      <c r="H19" s="306"/>
      <c r="I19" s="306"/>
      <c r="J19" s="306"/>
      <c r="K19" s="306"/>
      <c r="L19" s="306"/>
      <c r="M19" s="306"/>
      <c r="N19" s="306"/>
      <c r="O19" s="308"/>
      <c r="P19" s="219">
        <f>SUM(D19:O19)</f>
        <v>0</v>
      </c>
      <c r="Q19" s="292"/>
      <c r="R19" s="292"/>
      <c r="S19" s="292"/>
      <c r="T19" s="292"/>
    </row>
    <row r="20" spans="1:20" ht="15.75" thickBot="1">
      <c r="A20" s="999"/>
      <c r="B20" s="1004"/>
      <c r="C20" s="220" t="s">
        <v>553</v>
      </c>
      <c r="D20" s="221">
        <f t="shared" ref="D20:E20" si="7">D19/D18</f>
        <v>0</v>
      </c>
      <c r="E20" s="831">
        <f t="shared" si="7"/>
        <v>0</v>
      </c>
      <c r="F20" s="309">
        <f t="shared" ref="F20:P20" si="8">F19/F18</f>
        <v>0</v>
      </c>
      <c r="G20" s="309" t="e">
        <f t="shared" si="8"/>
        <v>#DIV/0!</v>
      </c>
      <c r="H20" s="309" t="e">
        <f t="shared" si="8"/>
        <v>#DIV/0!</v>
      </c>
      <c r="I20" s="309" t="e">
        <f t="shared" si="8"/>
        <v>#DIV/0!</v>
      </c>
      <c r="J20" s="309" t="e">
        <f t="shared" si="8"/>
        <v>#DIV/0!</v>
      </c>
      <c r="K20" s="309" t="e">
        <f t="shared" si="8"/>
        <v>#DIV/0!</v>
      </c>
      <c r="L20" s="309" t="e">
        <f t="shared" si="8"/>
        <v>#DIV/0!</v>
      </c>
      <c r="M20" s="309" t="e">
        <f t="shared" si="8"/>
        <v>#DIV/0!</v>
      </c>
      <c r="N20" s="309" t="e">
        <f t="shared" si="8"/>
        <v>#DIV/0!</v>
      </c>
      <c r="O20" s="310" t="e">
        <f t="shared" si="8"/>
        <v>#DIV/0!</v>
      </c>
      <c r="P20" s="322">
        <f t="shared" si="8"/>
        <v>0</v>
      </c>
      <c r="Q20" s="292"/>
      <c r="R20" s="292"/>
      <c r="S20" s="292"/>
      <c r="T20" s="292"/>
    </row>
    <row r="21" spans="1:20">
      <c r="A21" s="1005" t="s">
        <v>428</v>
      </c>
      <c r="B21" s="1000" t="s">
        <v>429</v>
      </c>
      <c r="C21" s="495" t="s">
        <v>583</v>
      </c>
      <c r="D21" s="225">
        <v>12</v>
      </c>
      <c r="E21" s="226">
        <v>0</v>
      </c>
      <c r="F21" s="314">
        <v>12</v>
      </c>
      <c r="G21" s="314"/>
      <c r="H21" s="314"/>
      <c r="I21" s="314"/>
      <c r="J21" s="314"/>
      <c r="K21" s="314"/>
      <c r="L21" s="314"/>
      <c r="M21" s="314"/>
      <c r="N21" s="314"/>
      <c r="O21" s="320"/>
      <c r="P21" s="229">
        <f>SUM(D21:O21)</f>
        <v>24</v>
      </c>
      <c r="Q21" s="292"/>
      <c r="R21" s="292"/>
      <c r="S21" s="292"/>
      <c r="T21" s="292"/>
    </row>
    <row r="22" spans="1:20">
      <c r="A22" s="1006"/>
      <c r="B22" s="997"/>
      <c r="C22" s="206" t="s">
        <v>552</v>
      </c>
      <c r="D22" s="207">
        <v>0</v>
      </c>
      <c r="E22" s="217">
        <v>0</v>
      </c>
      <c r="F22" s="306">
        <v>0</v>
      </c>
      <c r="G22" s="306"/>
      <c r="H22" s="306"/>
      <c r="I22" s="306"/>
      <c r="J22" s="306"/>
      <c r="K22" s="306"/>
      <c r="L22" s="306"/>
      <c r="M22" s="306"/>
      <c r="N22" s="306"/>
      <c r="O22" s="308"/>
      <c r="P22" s="219">
        <f>SUM(D22:O22)</f>
        <v>0</v>
      </c>
      <c r="Q22" s="292"/>
      <c r="R22" s="292"/>
      <c r="S22" s="292"/>
      <c r="T22" s="292"/>
    </row>
    <row r="23" spans="1:20" ht="15.75" thickBot="1">
      <c r="A23" s="1007"/>
      <c r="B23" s="997"/>
      <c r="C23" s="220" t="s">
        <v>553</v>
      </c>
      <c r="D23" s="221">
        <f>D22/D21</f>
        <v>0</v>
      </c>
      <c r="E23" s="221" t="e">
        <f t="shared" ref="E23" si="9">E22/E21</f>
        <v>#DIV/0!</v>
      </c>
      <c r="F23" s="309">
        <f t="shared" ref="F23:P23" si="10">F22/F21</f>
        <v>0</v>
      </c>
      <c r="G23" s="309" t="e">
        <f t="shared" si="10"/>
        <v>#DIV/0!</v>
      </c>
      <c r="H23" s="309" t="e">
        <f t="shared" si="10"/>
        <v>#DIV/0!</v>
      </c>
      <c r="I23" s="309" t="e">
        <f t="shared" si="10"/>
        <v>#DIV/0!</v>
      </c>
      <c r="J23" s="309" t="e">
        <f t="shared" si="10"/>
        <v>#DIV/0!</v>
      </c>
      <c r="K23" s="309" t="e">
        <f t="shared" si="10"/>
        <v>#DIV/0!</v>
      </c>
      <c r="L23" s="309" t="e">
        <f t="shared" si="10"/>
        <v>#DIV/0!</v>
      </c>
      <c r="M23" s="309" t="e">
        <f t="shared" si="10"/>
        <v>#DIV/0!</v>
      </c>
      <c r="N23" s="309" t="e">
        <f t="shared" si="10"/>
        <v>#DIV/0!</v>
      </c>
      <c r="O23" s="310" t="e">
        <f t="shared" si="10"/>
        <v>#DIV/0!</v>
      </c>
      <c r="P23" s="311">
        <f t="shared" si="10"/>
        <v>0</v>
      </c>
      <c r="Q23" s="292"/>
      <c r="R23" s="292"/>
      <c r="S23" s="292"/>
      <c r="T23" s="292"/>
    </row>
    <row r="24" spans="1:20">
      <c r="A24" s="1005" t="s">
        <v>430</v>
      </c>
      <c r="B24" s="1008" t="s">
        <v>430</v>
      </c>
      <c r="C24" s="495" t="s">
        <v>554</v>
      </c>
      <c r="D24" s="225">
        <v>4</v>
      </c>
      <c r="E24" s="226">
        <v>3</v>
      </c>
      <c r="F24" s="323">
        <v>4</v>
      </c>
      <c r="G24" s="323"/>
      <c r="H24" s="323"/>
      <c r="I24" s="323"/>
      <c r="J24" s="323"/>
      <c r="K24" s="323"/>
      <c r="L24" s="323"/>
      <c r="M24" s="323"/>
      <c r="N24" s="314"/>
      <c r="O24" s="320"/>
      <c r="P24" s="224">
        <f>SUM(D24:O24)</f>
        <v>11</v>
      </c>
      <c r="Q24" s="292"/>
      <c r="R24" s="292"/>
      <c r="S24" s="292"/>
      <c r="T24" s="292"/>
    </row>
    <row r="25" spans="1:20">
      <c r="A25" s="1006"/>
      <c r="B25" s="1009"/>
      <c r="C25" s="206" t="s">
        <v>552</v>
      </c>
      <c r="D25" s="207">
        <v>0</v>
      </c>
      <c r="E25" s="217">
        <v>0</v>
      </c>
      <c r="F25" s="307">
        <v>0</v>
      </c>
      <c r="G25" s="307"/>
      <c r="H25" s="307"/>
      <c r="I25" s="307"/>
      <c r="J25" s="306"/>
      <c r="K25" s="306"/>
      <c r="L25" s="306"/>
      <c r="M25" s="306"/>
      <c r="N25" s="306"/>
      <c r="O25" s="308"/>
      <c r="P25" s="219">
        <f>SUM(D25:O25)</f>
        <v>0</v>
      </c>
      <c r="Q25" s="292"/>
      <c r="R25" s="292"/>
      <c r="S25" s="292"/>
      <c r="T25" s="292"/>
    </row>
    <row r="26" spans="1:20" ht="15.75" thickBot="1">
      <c r="A26" s="1007"/>
      <c r="B26" s="1010"/>
      <c r="C26" s="220" t="s">
        <v>553</v>
      </c>
      <c r="D26" s="221">
        <f>D25/D24</f>
        <v>0</v>
      </c>
      <c r="E26" s="221">
        <f t="shared" ref="E26" si="11">E25/E24</f>
        <v>0</v>
      </c>
      <c r="F26" s="309">
        <f t="shared" ref="F26:P26" si="12">F25/F24</f>
        <v>0</v>
      </c>
      <c r="G26" s="309" t="e">
        <f t="shared" si="12"/>
        <v>#DIV/0!</v>
      </c>
      <c r="H26" s="309" t="e">
        <f t="shared" si="12"/>
        <v>#DIV/0!</v>
      </c>
      <c r="I26" s="309" t="e">
        <f t="shared" si="12"/>
        <v>#DIV/0!</v>
      </c>
      <c r="J26" s="309" t="e">
        <f t="shared" si="12"/>
        <v>#DIV/0!</v>
      </c>
      <c r="K26" s="309" t="e">
        <f t="shared" si="12"/>
        <v>#DIV/0!</v>
      </c>
      <c r="L26" s="309" t="e">
        <f t="shared" si="12"/>
        <v>#DIV/0!</v>
      </c>
      <c r="M26" s="309" t="e">
        <f t="shared" si="12"/>
        <v>#DIV/0!</v>
      </c>
      <c r="N26" s="309" t="e">
        <f t="shared" si="12"/>
        <v>#DIV/0!</v>
      </c>
      <c r="O26" s="310" t="e">
        <f t="shared" si="12"/>
        <v>#DIV/0!</v>
      </c>
      <c r="P26" s="322">
        <f t="shared" si="12"/>
        <v>0</v>
      </c>
      <c r="Q26" s="292"/>
      <c r="R26" s="292"/>
      <c r="S26" s="292"/>
      <c r="T26" s="292"/>
    </row>
    <row r="27" spans="1:20">
      <c r="A27" s="998" t="s">
        <v>608</v>
      </c>
      <c r="B27" s="1000" t="s">
        <v>431</v>
      </c>
      <c r="C27" s="495" t="s">
        <v>554</v>
      </c>
      <c r="D27" s="834">
        <v>32</v>
      </c>
      <c r="E27" s="834">
        <v>9</v>
      </c>
      <c r="F27" s="313">
        <v>15</v>
      </c>
      <c r="G27" s="313"/>
      <c r="H27" s="580"/>
      <c r="I27" s="323"/>
      <c r="J27" s="323"/>
      <c r="K27" s="323"/>
      <c r="L27" s="323"/>
      <c r="M27" s="323"/>
      <c r="N27" s="323"/>
      <c r="O27" s="324"/>
      <c r="P27" s="229">
        <f>SUM(D27:O27)</f>
        <v>56</v>
      </c>
      <c r="Q27" s="292"/>
      <c r="R27" s="292"/>
      <c r="S27" s="292"/>
      <c r="T27" s="292"/>
    </row>
    <row r="28" spans="1:20">
      <c r="A28" s="995"/>
      <c r="B28" s="997"/>
      <c r="C28" s="206" t="s">
        <v>552</v>
      </c>
      <c r="D28" s="835">
        <v>0</v>
      </c>
      <c r="E28" s="835">
        <v>0</v>
      </c>
      <c r="F28" s="317">
        <v>0</v>
      </c>
      <c r="G28" s="317"/>
      <c r="H28" s="619"/>
      <c r="I28" s="307"/>
      <c r="J28" s="307"/>
      <c r="K28" s="307"/>
      <c r="L28" s="307"/>
      <c r="M28" s="307"/>
      <c r="N28" s="307"/>
      <c r="O28" s="325"/>
      <c r="P28" s="219">
        <f>SUM(D28:O28)</f>
        <v>0</v>
      </c>
      <c r="Q28" s="292"/>
      <c r="R28" s="292"/>
      <c r="S28" s="292"/>
      <c r="T28" s="292"/>
    </row>
    <row r="29" spans="1:20" ht="15.75" thickBot="1">
      <c r="A29" s="999"/>
      <c r="B29" s="1001"/>
      <c r="C29" s="220" t="s">
        <v>553</v>
      </c>
      <c r="D29" s="221">
        <f>D28/D27</f>
        <v>0</v>
      </c>
      <c r="E29" s="221">
        <f>E28/E27</f>
        <v>0</v>
      </c>
      <c r="F29" s="309">
        <f>F28/F27</f>
        <v>0</v>
      </c>
      <c r="G29" s="309" t="e">
        <f>G28/G27</f>
        <v>#DIV/0!</v>
      </c>
      <c r="H29" s="309" t="e">
        <f t="shared" ref="H29:P29" si="13">H28/H27</f>
        <v>#DIV/0!</v>
      </c>
      <c r="I29" s="309" t="e">
        <f t="shared" si="13"/>
        <v>#DIV/0!</v>
      </c>
      <c r="J29" s="309" t="e">
        <f t="shared" si="13"/>
        <v>#DIV/0!</v>
      </c>
      <c r="K29" s="309" t="e">
        <f t="shared" si="13"/>
        <v>#DIV/0!</v>
      </c>
      <c r="L29" s="309" t="e">
        <f t="shared" si="13"/>
        <v>#DIV/0!</v>
      </c>
      <c r="M29" s="309" t="e">
        <f t="shared" si="13"/>
        <v>#DIV/0!</v>
      </c>
      <c r="N29" s="309" t="e">
        <f t="shared" si="13"/>
        <v>#DIV/0!</v>
      </c>
      <c r="O29" s="310" t="e">
        <f t="shared" si="13"/>
        <v>#DIV/0!</v>
      </c>
      <c r="P29" s="322">
        <f t="shared" si="13"/>
        <v>0</v>
      </c>
      <c r="Q29" s="292"/>
      <c r="R29" s="292"/>
      <c r="S29" s="292"/>
      <c r="T29" s="292"/>
    </row>
    <row r="30" spans="1:20">
      <c r="A30" s="994" t="s">
        <v>580</v>
      </c>
      <c r="B30" s="997" t="s">
        <v>581</v>
      </c>
      <c r="C30" s="495" t="s">
        <v>554</v>
      </c>
      <c r="D30" s="225">
        <v>0</v>
      </c>
      <c r="E30" s="226">
        <v>0</v>
      </c>
      <c r="F30" s="314">
        <v>0</v>
      </c>
      <c r="G30" s="314"/>
      <c r="H30" s="314"/>
      <c r="I30" s="314"/>
      <c r="J30" s="314"/>
      <c r="K30" s="314"/>
      <c r="L30" s="314"/>
      <c r="M30" s="314"/>
      <c r="N30" s="314"/>
      <c r="O30" s="320"/>
      <c r="P30" s="229">
        <f>SUM(D30:O30)</f>
        <v>0</v>
      </c>
      <c r="Q30" s="292"/>
      <c r="R30" s="292"/>
      <c r="S30" s="292"/>
      <c r="T30" s="292"/>
    </row>
    <row r="31" spans="1:20">
      <c r="A31" s="995"/>
      <c r="B31" s="997"/>
      <c r="C31" s="206" t="s">
        <v>552</v>
      </c>
      <c r="D31" s="207">
        <v>0</v>
      </c>
      <c r="E31" s="217">
        <v>0</v>
      </c>
      <c r="F31" s="306">
        <v>0</v>
      </c>
      <c r="G31" s="306"/>
      <c r="H31" s="306"/>
      <c r="I31" s="306"/>
      <c r="J31" s="306"/>
      <c r="K31" s="306"/>
      <c r="L31" s="306"/>
      <c r="M31" s="306"/>
      <c r="N31" s="306"/>
      <c r="O31" s="308"/>
      <c r="P31" s="219">
        <f>SUM(D31:O31)</f>
        <v>0</v>
      </c>
      <c r="Q31" s="292"/>
      <c r="R31" s="292"/>
      <c r="S31" s="292"/>
      <c r="T31" s="292"/>
    </row>
    <row r="32" spans="1:20" ht="15.75" thickBot="1">
      <c r="A32" s="996"/>
      <c r="B32" s="997"/>
      <c r="C32" s="220" t="s">
        <v>553</v>
      </c>
      <c r="D32" s="221" t="e">
        <f>D31/D30</f>
        <v>#DIV/0!</v>
      </c>
      <c r="E32" s="221" t="e">
        <f t="shared" ref="E32" si="14">E31/E30</f>
        <v>#DIV/0!</v>
      </c>
      <c r="F32" s="309" t="e">
        <f t="shared" ref="F32:P32" si="15">F31/F30</f>
        <v>#DIV/0!</v>
      </c>
      <c r="G32" s="309" t="e">
        <f t="shared" si="15"/>
        <v>#DIV/0!</v>
      </c>
      <c r="H32" s="309" t="e">
        <f>H31/H30</f>
        <v>#DIV/0!</v>
      </c>
      <c r="I32" s="309" t="e">
        <f>I31/I30</f>
        <v>#DIV/0!</v>
      </c>
      <c r="J32" s="309" t="e">
        <f t="shared" si="15"/>
        <v>#DIV/0!</v>
      </c>
      <c r="K32" s="309" t="e">
        <f t="shared" si="15"/>
        <v>#DIV/0!</v>
      </c>
      <c r="L32" s="309" t="e">
        <f t="shared" si="15"/>
        <v>#DIV/0!</v>
      </c>
      <c r="M32" s="309" t="e">
        <f t="shared" si="15"/>
        <v>#DIV/0!</v>
      </c>
      <c r="N32" s="309" t="e">
        <f t="shared" si="15"/>
        <v>#DIV/0!</v>
      </c>
      <c r="O32" s="310" t="e">
        <f t="shared" si="15"/>
        <v>#DIV/0!</v>
      </c>
      <c r="P32" s="322" t="e">
        <f t="shared" si="15"/>
        <v>#DIV/0!</v>
      </c>
      <c r="Q32" s="292"/>
      <c r="R32" s="292"/>
      <c r="S32" s="292"/>
      <c r="T32" s="292"/>
    </row>
    <row r="33" spans="1:20">
      <c r="A33" s="998" t="s">
        <v>636</v>
      </c>
      <c r="B33" s="1000" t="s">
        <v>637</v>
      </c>
      <c r="C33" s="495" t="s">
        <v>554</v>
      </c>
      <c r="D33" s="225">
        <v>0</v>
      </c>
      <c r="E33" s="226">
        <v>0</v>
      </c>
      <c r="F33" s="323">
        <v>0</v>
      </c>
      <c r="G33" s="323"/>
      <c r="H33" s="323"/>
      <c r="I33" s="323"/>
      <c r="J33" s="314"/>
      <c r="K33" s="314"/>
      <c r="L33" s="314"/>
      <c r="M33" s="314"/>
      <c r="N33" s="314"/>
      <c r="O33" s="320"/>
      <c r="P33" s="229">
        <f>SUM(D33:O33)</f>
        <v>0</v>
      </c>
      <c r="Q33" s="292"/>
      <c r="R33" s="292"/>
      <c r="S33" s="292"/>
      <c r="T33" s="292"/>
    </row>
    <row r="34" spans="1:20">
      <c r="A34" s="995"/>
      <c r="B34" s="997"/>
      <c r="C34" s="206" t="s">
        <v>552</v>
      </c>
      <c r="D34" s="207">
        <v>0</v>
      </c>
      <c r="E34" s="217">
        <v>0</v>
      </c>
      <c r="F34" s="307">
        <v>0</v>
      </c>
      <c r="G34" s="307"/>
      <c r="H34" s="307"/>
      <c r="I34" s="307"/>
      <c r="J34" s="306"/>
      <c r="K34" s="306"/>
      <c r="L34" s="306"/>
      <c r="M34" s="306"/>
      <c r="N34" s="306"/>
      <c r="O34" s="308"/>
      <c r="P34" s="219">
        <f>SUM(D34:O34)</f>
        <v>0</v>
      </c>
      <c r="Q34" s="292"/>
      <c r="R34" s="292"/>
      <c r="S34" s="292"/>
      <c r="T34" s="292"/>
    </row>
    <row r="35" spans="1:20" ht="15.75" thickBot="1">
      <c r="A35" s="999"/>
      <c r="B35" s="1001"/>
      <c r="C35" s="220" t="s">
        <v>553</v>
      </c>
      <c r="D35" s="221" t="e">
        <f>D34/D33</f>
        <v>#DIV/0!</v>
      </c>
      <c r="E35" s="221" t="e">
        <f t="shared" ref="E35" si="16">E34/E33</f>
        <v>#DIV/0!</v>
      </c>
      <c r="F35" s="309" t="e">
        <f t="shared" ref="F35:P35" si="17">F34/F33</f>
        <v>#DIV/0!</v>
      </c>
      <c r="G35" s="309" t="e">
        <f t="shared" si="17"/>
        <v>#DIV/0!</v>
      </c>
      <c r="H35" s="309" t="e">
        <f>H34/H33</f>
        <v>#DIV/0!</v>
      </c>
      <c r="I35" s="309" t="e">
        <f>I34/I33</f>
        <v>#DIV/0!</v>
      </c>
      <c r="J35" s="309" t="e">
        <f t="shared" si="17"/>
        <v>#DIV/0!</v>
      </c>
      <c r="K35" s="309" t="e">
        <f t="shared" si="17"/>
        <v>#DIV/0!</v>
      </c>
      <c r="L35" s="309" t="e">
        <f t="shared" si="17"/>
        <v>#DIV/0!</v>
      </c>
      <c r="M35" s="309" t="e">
        <f t="shared" si="17"/>
        <v>#DIV/0!</v>
      </c>
      <c r="N35" s="309" t="e">
        <f t="shared" si="17"/>
        <v>#DIV/0!</v>
      </c>
      <c r="O35" s="310" t="e">
        <f t="shared" si="17"/>
        <v>#DIV/0!</v>
      </c>
      <c r="P35" s="322" t="e">
        <f t="shared" si="17"/>
        <v>#DIV/0!</v>
      </c>
      <c r="Q35" s="292"/>
      <c r="R35" s="292"/>
      <c r="S35" s="292"/>
      <c r="T35" s="292"/>
    </row>
    <row r="36" spans="1:20">
      <c r="A36" s="994" t="s">
        <v>432</v>
      </c>
      <c r="B36" s="997" t="s">
        <v>638</v>
      </c>
      <c r="C36" s="495" t="s">
        <v>554</v>
      </c>
      <c r="D36" s="225">
        <v>14</v>
      </c>
      <c r="E36" s="225">
        <v>0</v>
      </c>
      <c r="F36" s="314">
        <v>29</v>
      </c>
      <c r="G36" s="314"/>
      <c r="H36" s="306"/>
      <c r="I36" s="314"/>
      <c r="J36" s="314"/>
      <c r="K36" s="314"/>
      <c r="L36" s="314"/>
      <c r="M36" s="314"/>
      <c r="N36" s="314"/>
      <c r="O36" s="320"/>
      <c r="P36" s="229">
        <f>SUM(D36:O36)</f>
        <v>43</v>
      </c>
      <c r="Q36" s="292"/>
      <c r="R36" s="292"/>
      <c r="S36" s="292"/>
      <c r="T36" s="292"/>
    </row>
    <row r="37" spans="1:20">
      <c r="A37" s="995"/>
      <c r="B37" s="997"/>
      <c r="C37" s="206" t="s">
        <v>552</v>
      </c>
      <c r="D37" s="207">
        <v>0</v>
      </c>
      <c r="E37" s="207">
        <v>0</v>
      </c>
      <c r="F37" s="306">
        <v>0</v>
      </c>
      <c r="G37" s="306"/>
      <c r="H37" s="720"/>
      <c r="I37" s="306"/>
      <c r="J37" s="306"/>
      <c r="K37" s="306"/>
      <c r="L37" s="306"/>
      <c r="M37" s="306"/>
      <c r="N37" s="306"/>
      <c r="O37" s="308"/>
      <c r="P37" s="219">
        <f>SUM(D37:O37)</f>
        <v>0</v>
      </c>
      <c r="Q37" s="292"/>
      <c r="R37" s="292"/>
      <c r="S37" s="292"/>
      <c r="T37" s="292"/>
    </row>
    <row r="38" spans="1:20" ht="15.75" thickBot="1">
      <c r="A38" s="996"/>
      <c r="B38" s="997"/>
      <c r="C38" s="220" t="s">
        <v>553</v>
      </c>
      <c r="D38" s="221">
        <f t="shared" ref="D38:E38" si="18">D37/D36</f>
        <v>0</v>
      </c>
      <c r="E38" s="221" t="e">
        <f t="shared" si="18"/>
        <v>#DIV/0!</v>
      </c>
      <c r="F38" s="309">
        <f t="shared" ref="F38:P38" si="19">F37/F36</f>
        <v>0</v>
      </c>
      <c r="G38" s="309" t="e">
        <f t="shared" si="19"/>
        <v>#DIV/0!</v>
      </c>
      <c r="H38" s="309" t="e">
        <f t="shared" si="19"/>
        <v>#DIV/0!</v>
      </c>
      <c r="I38" s="309" t="e">
        <f t="shared" si="19"/>
        <v>#DIV/0!</v>
      </c>
      <c r="J38" s="309" t="e">
        <f t="shared" si="19"/>
        <v>#DIV/0!</v>
      </c>
      <c r="K38" s="309" t="e">
        <f t="shared" si="19"/>
        <v>#DIV/0!</v>
      </c>
      <c r="L38" s="309" t="e">
        <f t="shared" si="19"/>
        <v>#DIV/0!</v>
      </c>
      <c r="M38" s="309" t="e">
        <f t="shared" si="19"/>
        <v>#DIV/0!</v>
      </c>
      <c r="N38" s="309" t="e">
        <f t="shared" si="19"/>
        <v>#DIV/0!</v>
      </c>
      <c r="O38" s="310" t="e">
        <f t="shared" si="19"/>
        <v>#DIV/0!</v>
      </c>
      <c r="P38" s="322">
        <f t="shared" si="19"/>
        <v>0</v>
      </c>
      <c r="Q38" s="292"/>
      <c r="R38" s="292"/>
      <c r="S38" s="292"/>
      <c r="T38" s="292"/>
    </row>
    <row r="39" spans="1:20">
      <c r="A39" s="998" t="s">
        <v>639</v>
      </c>
      <c r="B39" s="1000" t="s">
        <v>640</v>
      </c>
      <c r="C39" s="495" t="s">
        <v>554</v>
      </c>
      <c r="D39" s="225">
        <v>16</v>
      </c>
      <c r="E39" s="225">
        <v>3</v>
      </c>
      <c r="F39" s="314">
        <v>21</v>
      </c>
      <c r="G39" s="314"/>
      <c r="H39" s="314"/>
      <c r="I39" s="314"/>
      <c r="J39" s="314"/>
      <c r="K39" s="314"/>
      <c r="L39" s="314"/>
      <c r="M39" s="314"/>
      <c r="N39" s="314"/>
      <c r="O39" s="320"/>
      <c r="P39" s="229">
        <f>SUM(D39:O39)</f>
        <v>40</v>
      </c>
      <c r="Q39" s="292"/>
      <c r="R39" s="292"/>
      <c r="S39" s="292"/>
      <c r="T39" s="292"/>
    </row>
    <row r="40" spans="1:20">
      <c r="A40" s="995"/>
      <c r="B40" s="997"/>
      <c r="C40" s="206" t="s">
        <v>552</v>
      </c>
      <c r="D40" s="207">
        <v>0</v>
      </c>
      <c r="E40" s="207">
        <v>0</v>
      </c>
      <c r="F40" s="306">
        <v>0</v>
      </c>
      <c r="G40" s="306"/>
      <c r="H40" s="306"/>
      <c r="I40" s="306"/>
      <c r="J40" s="306"/>
      <c r="K40" s="306"/>
      <c r="L40" s="306"/>
      <c r="M40" s="306"/>
      <c r="N40" s="306"/>
      <c r="O40" s="308"/>
      <c r="P40" s="219">
        <f>SUM(D40:O40)</f>
        <v>0</v>
      </c>
      <c r="Q40" s="292"/>
      <c r="R40" s="292"/>
      <c r="S40" s="292"/>
      <c r="T40" s="292"/>
    </row>
    <row r="41" spans="1:20" ht="15.75" thickBot="1">
      <c r="A41" s="999"/>
      <c r="B41" s="1001"/>
      <c r="C41" s="220" t="s">
        <v>553</v>
      </c>
      <c r="D41" s="221">
        <f t="shared" ref="D41:E41" si="20">D40/D39</f>
        <v>0</v>
      </c>
      <c r="E41" s="221">
        <f t="shared" si="20"/>
        <v>0</v>
      </c>
      <c r="F41" s="309">
        <f t="shared" ref="F41:P41" si="21">F40/F39</f>
        <v>0</v>
      </c>
      <c r="G41" s="309" t="e">
        <f t="shared" si="21"/>
        <v>#DIV/0!</v>
      </c>
      <c r="H41" s="309" t="e">
        <f t="shared" si="21"/>
        <v>#DIV/0!</v>
      </c>
      <c r="I41" s="309" t="e">
        <f t="shared" si="21"/>
        <v>#DIV/0!</v>
      </c>
      <c r="J41" s="309" t="e">
        <f t="shared" si="21"/>
        <v>#DIV/0!</v>
      </c>
      <c r="K41" s="309" t="e">
        <f t="shared" si="21"/>
        <v>#DIV/0!</v>
      </c>
      <c r="L41" s="309" t="e">
        <f t="shared" si="21"/>
        <v>#DIV/0!</v>
      </c>
      <c r="M41" s="309" t="e">
        <f t="shared" si="21"/>
        <v>#DIV/0!</v>
      </c>
      <c r="N41" s="309" t="e">
        <f t="shared" si="21"/>
        <v>#DIV/0!</v>
      </c>
      <c r="O41" s="310" t="e">
        <f t="shared" si="21"/>
        <v>#DIV/0!</v>
      </c>
      <c r="P41" s="322">
        <f t="shared" si="21"/>
        <v>0</v>
      </c>
      <c r="Q41" s="292"/>
      <c r="R41" s="292"/>
      <c r="S41" s="292"/>
      <c r="T41" s="292"/>
    </row>
    <row r="42" spans="1:20">
      <c r="A42" s="998" t="s">
        <v>641</v>
      </c>
      <c r="B42" s="1000" t="s">
        <v>642</v>
      </c>
      <c r="C42" s="495" t="s">
        <v>554</v>
      </c>
      <c r="D42" s="225">
        <v>103</v>
      </c>
      <c r="E42" s="226">
        <v>59</v>
      </c>
      <c r="F42" s="314">
        <v>64</v>
      </c>
      <c r="G42" s="314"/>
      <c r="H42" s="314"/>
      <c r="I42" s="314"/>
      <c r="J42" s="314"/>
      <c r="K42" s="314"/>
      <c r="L42" s="314"/>
      <c r="M42" s="314"/>
      <c r="N42" s="314"/>
      <c r="O42" s="320"/>
      <c r="P42" s="229">
        <f>SUM(D42:O42)</f>
        <v>226</v>
      </c>
      <c r="Q42" s="292"/>
      <c r="R42" s="292"/>
      <c r="S42" s="292"/>
      <c r="T42" s="292"/>
    </row>
    <row r="43" spans="1:20">
      <c r="A43" s="995"/>
      <c r="B43" s="997"/>
      <c r="C43" s="206" t="s">
        <v>552</v>
      </c>
      <c r="D43" s="207">
        <v>0</v>
      </c>
      <c r="E43" s="217">
        <v>1</v>
      </c>
      <c r="F43" s="306">
        <v>4</v>
      </c>
      <c r="G43" s="306"/>
      <c r="H43" s="306"/>
      <c r="I43" s="306"/>
      <c r="J43" s="306"/>
      <c r="K43" s="306"/>
      <c r="L43" s="306"/>
      <c r="M43" s="306"/>
      <c r="N43" s="306"/>
      <c r="O43" s="308"/>
      <c r="P43" s="219">
        <f>SUM(D43:O43)</f>
        <v>5</v>
      </c>
      <c r="Q43" s="292"/>
      <c r="R43" s="292"/>
      <c r="S43" s="292"/>
      <c r="T43" s="292"/>
    </row>
    <row r="44" spans="1:20" ht="15.75" thickBot="1">
      <c r="A44" s="999"/>
      <c r="B44" s="1001"/>
      <c r="C44" s="220" t="s">
        <v>553</v>
      </c>
      <c r="D44" s="221">
        <f t="shared" ref="D44:E44" si="22">D43/D42</f>
        <v>0</v>
      </c>
      <c r="E44" s="221">
        <f t="shared" si="22"/>
        <v>1.6949152542372881E-2</v>
      </c>
      <c r="F44" s="309">
        <f t="shared" ref="F44:P44" si="23">F43/F42</f>
        <v>6.25E-2</v>
      </c>
      <c r="G44" s="309" t="e">
        <f t="shared" si="23"/>
        <v>#DIV/0!</v>
      </c>
      <c r="H44" s="309" t="e">
        <f t="shared" si="23"/>
        <v>#DIV/0!</v>
      </c>
      <c r="I44" s="309" t="e">
        <f t="shared" si="23"/>
        <v>#DIV/0!</v>
      </c>
      <c r="J44" s="309" t="e">
        <f t="shared" si="23"/>
        <v>#DIV/0!</v>
      </c>
      <c r="K44" s="309" t="e">
        <f t="shared" si="23"/>
        <v>#DIV/0!</v>
      </c>
      <c r="L44" s="309" t="e">
        <f t="shared" si="23"/>
        <v>#DIV/0!</v>
      </c>
      <c r="M44" s="309" t="e">
        <f t="shared" si="23"/>
        <v>#DIV/0!</v>
      </c>
      <c r="N44" s="309" t="e">
        <f t="shared" si="23"/>
        <v>#DIV/0!</v>
      </c>
      <c r="O44" s="310" t="e">
        <f t="shared" si="23"/>
        <v>#DIV/0!</v>
      </c>
      <c r="P44" s="322">
        <f t="shared" si="23"/>
        <v>2.2123893805309734E-2</v>
      </c>
      <c r="Q44" s="292"/>
      <c r="R44" s="292"/>
      <c r="S44" s="292"/>
      <c r="T44" s="292"/>
    </row>
    <row r="45" spans="1:20">
      <c r="A45" s="998" t="s">
        <v>643</v>
      </c>
      <c r="B45" s="997" t="s">
        <v>644</v>
      </c>
      <c r="C45" s="495" t="s">
        <v>554</v>
      </c>
      <c r="D45" s="225">
        <v>142</v>
      </c>
      <c r="E45" s="226">
        <v>428</v>
      </c>
      <c r="F45" s="314">
        <v>178</v>
      </c>
      <c r="G45" s="314"/>
      <c r="H45" s="314"/>
      <c r="I45" s="314"/>
      <c r="J45" s="314"/>
      <c r="K45" s="314"/>
      <c r="L45" s="314"/>
      <c r="M45" s="314"/>
      <c r="N45" s="314"/>
      <c r="O45" s="320"/>
      <c r="P45" s="229">
        <f>SUM(D45:O45)</f>
        <v>748</v>
      </c>
      <c r="Q45" s="292"/>
      <c r="R45" s="292"/>
      <c r="S45" s="292"/>
      <c r="T45" s="292"/>
    </row>
    <row r="46" spans="1:20">
      <c r="A46" s="995"/>
      <c r="B46" s="997"/>
      <c r="C46" s="206" t="s">
        <v>552</v>
      </c>
      <c r="D46" s="207">
        <v>0</v>
      </c>
      <c r="E46" s="217">
        <v>0</v>
      </c>
      <c r="F46" s="306">
        <v>0</v>
      </c>
      <c r="G46" s="306"/>
      <c r="H46" s="306"/>
      <c r="I46" s="306"/>
      <c r="J46" s="306"/>
      <c r="K46" s="306"/>
      <c r="L46" s="306"/>
      <c r="M46" s="306"/>
      <c r="N46" s="306"/>
      <c r="O46" s="308"/>
      <c r="P46" s="219">
        <f>SUM(D46:O46)</f>
        <v>0</v>
      </c>
      <c r="Q46" s="292"/>
      <c r="R46" s="292"/>
      <c r="S46" s="292"/>
      <c r="T46" s="292"/>
    </row>
    <row r="47" spans="1:20" ht="15.75" thickBot="1">
      <c r="A47" s="999"/>
      <c r="B47" s="997"/>
      <c r="C47" s="220" t="s">
        <v>553</v>
      </c>
      <c r="D47" s="221">
        <f>D46/D45</f>
        <v>0</v>
      </c>
      <c r="E47" s="221">
        <f t="shared" ref="E47" si="24">E46/E45</f>
        <v>0</v>
      </c>
      <c r="F47" s="309">
        <f>F46/F45</f>
        <v>0</v>
      </c>
      <c r="G47" s="309" t="e">
        <f>G46/G45</f>
        <v>#DIV/0!</v>
      </c>
      <c r="H47" s="309" t="e">
        <f>H46/H45</f>
        <v>#DIV/0!</v>
      </c>
      <c r="I47" s="309" t="e">
        <f>I46/I45</f>
        <v>#DIV/0!</v>
      </c>
      <c r="J47" s="309" t="e">
        <f t="shared" ref="J47:P47" si="25">J46/J45</f>
        <v>#DIV/0!</v>
      </c>
      <c r="K47" s="309" t="e">
        <f t="shared" si="25"/>
        <v>#DIV/0!</v>
      </c>
      <c r="L47" s="309" t="e">
        <f t="shared" si="25"/>
        <v>#DIV/0!</v>
      </c>
      <c r="M47" s="309" t="e">
        <f t="shared" si="25"/>
        <v>#DIV/0!</v>
      </c>
      <c r="N47" s="309" t="e">
        <f t="shared" si="25"/>
        <v>#DIV/0!</v>
      </c>
      <c r="O47" s="310" t="e">
        <f t="shared" si="25"/>
        <v>#DIV/0!</v>
      </c>
      <c r="P47" s="322">
        <f t="shared" si="25"/>
        <v>0</v>
      </c>
      <c r="Q47" s="292"/>
      <c r="R47" s="292"/>
      <c r="S47" s="292"/>
      <c r="T47" s="292"/>
    </row>
    <row r="48" spans="1:20">
      <c r="A48" s="998" t="s">
        <v>433</v>
      </c>
      <c r="B48" s="1000" t="s">
        <v>434</v>
      </c>
      <c r="C48" s="495" t="s">
        <v>554</v>
      </c>
      <c r="D48" s="225">
        <v>31</v>
      </c>
      <c r="E48" s="226">
        <v>44</v>
      </c>
      <c r="F48" s="314">
        <v>64</v>
      </c>
      <c r="G48" s="314"/>
      <c r="H48" s="314"/>
      <c r="I48" s="314"/>
      <c r="J48" s="314"/>
      <c r="K48" s="314"/>
      <c r="L48" s="314"/>
      <c r="M48" s="314"/>
      <c r="N48" s="314"/>
      <c r="O48" s="320"/>
      <c r="P48" s="229">
        <f>SUM(D48:O48)</f>
        <v>139</v>
      </c>
      <c r="Q48" s="292"/>
      <c r="R48" s="292"/>
      <c r="S48" s="292"/>
      <c r="T48" s="292"/>
    </row>
    <row r="49" spans="1:20">
      <c r="A49" s="995"/>
      <c r="B49" s="997"/>
      <c r="C49" s="206" t="s">
        <v>552</v>
      </c>
      <c r="D49" s="207">
        <v>0</v>
      </c>
      <c r="E49" s="217">
        <v>0</v>
      </c>
      <c r="F49" s="306">
        <v>0</v>
      </c>
      <c r="G49" s="306"/>
      <c r="H49" s="306"/>
      <c r="I49" s="306"/>
      <c r="J49" s="306"/>
      <c r="K49" s="306"/>
      <c r="L49" s="306"/>
      <c r="M49" s="306"/>
      <c r="N49" s="306"/>
      <c r="O49" s="308"/>
      <c r="P49" s="219">
        <f>SUM(D49:O49)</f>
        <v>0</v>
      </c>
      <c r="Q49" s="292"/>
      <c r="R49" s="292"/>
      <c r="S49" s="292"/>
      <c r="T49" s="292"/>
    </row>
    <row r="50" spans="1:20" ht="15.75" thickBot="1">
      <c r="A50" s="999"/>
      <c r="B50" s="1001"/>
      <c r="C50" s="220" t="s">
        <v>553</v>
      </c>
      <c r="D50" s="221">
        <f>D49/D48</f>
        <v>0</v>
      </c>
      <c r="E50" s="221">
        <f t="shared" ref="E50" si="26">E49/E48</f>
        <v>0</v>
      </c>
      <c r="F50" s="309">
        <f t="shared" ref="F50:P50" si="27">F49/F48</f>
        <v>0</v>
      </c>
      <c r="G50" s="309" t="e">
        <f>G49/G48</f>
        <v>#DIV/0!</v>
      </c>
      <c r="H50" s="309" t="e">
        <f t="shared" si="27"/>
        <v>#DIV/0!</v>
      </c>
      <c r="I50" s="309" t="e">
        <f t="shared" si="27"/>
        <v>#DIV/0!</v>
      </c>
      <c r="J50" s="309" t="e">
        <f t="shared" si="27"/>
        <v>#DIV/0!</v>
      </c>
      <c r="K50" s="309" t="e">
        <f t="shared" si="27"/>
        <v>#DIV/0!</v>
      </c>
      <c r="L50" s="309" t="e">
        <f t="shared" si="27"/>
        <v>#DIV/0!</v>
      </c>
      <c r="M50" s="309" t="e">
        <f t="shared" si="27"/>
        <v>#DIV/0!</v>
      </c>
      <c r="N50" s="309" t="e">
        <f t="shared" si="27"/>
        <v>#DIV/0!</v>
      </c>
      <c r="O50" s="310" t="e">
        <f t="shared" si="27"/>
        <v>#DIV/0!</v>
      </c>
      <c r="P50" s="322">
        <f t="shared" si="27"/>
        <v>0</v>
      </c>
      <c r="Q50" s="292"/>
      <c r="R50" s="292"/>
      <c r="S50" s="292"/>
      <c r="T50" s="292"/>
    </row>
    <row r="51" spans="1:20">
      <c r="A51" s="994" t="s">
        <v>614</v>
      </c>
      <c r="B51" s="1000" t="s">
        <v>615</v>
      </c>
      <c r="C51" s="495" t="s">
        <v>554</v>
      </c>
      <c r="D51" s="225">
        <v>376</v>
      </c>
      <c r="E51" s="225">
        <v>246</v>
      </c>
      <c r="F51" s="314">
        <v>419</v>
      </c>
      <c r="G51" s="314"/>
      <c r="H51" s="314"/>
      <c r="I51" s="314"/>
      <c r="J51" s="314"/>
      <c r="K51" s="314"/>
      <c r="L51" s="314"/>
      <c r="M51" s="314"/>
      <c r="N51" s="314"/>
      <c r="O51" s="320"/>
      <c r="P51" s="229">
        <f>SUM(D51:O51)</f>
        <v>1041</v>
      </c>
      <c r="Q51" s="292"/>
      <c r="R51" s="292"/>
      <c r="S51" s="292"/>
      <c r="T51" s="292"/>
    </row>
    <row r="52" spans="1:20">
      <c r="A52" s="995"/>
      <c r="B52" s="997"/>
      <c r="C52" s="206" t="s">
        <v>552</v>
      </c>
      <c r="D52" s="207">
        <v>0</v>
      </c>
      <c r="E52" s="207">
        <v>0</v>
      </c>
      <c r="F52" s="306">
        <v>0</v>
      </c>
      <c r="G52" s="306"/>
      <c r="H52" s="306"/>
      <c r="I52" s="306"/>
      <c r="J52" s="306"/>
      <c r="K52" s="306"/>
      <c r="L52" s="306"/>
      <c r="M52" s="306"/>
      <c r="N52" s="306"/>
      <c r="O52" s="308"/>
      <c r="P52" s="219">
        <f>SUM(D52:O52)</f>
        <v>0</v>
      </c>
      <c r="Q52" s="292"/>
      <c r="R52" s="292"/>
      <c r="S52" s="292"/>
      <c r="T52" s="292"/>
    </row>
    <row r="53" spans="1:20" ht="15.75" thickBot="1">
      <c r="A53" s="996"/>
      <c r="B53" s="1001"/>
      <c r="C53" s="220" t="s">
        <v>553</v>
      </c>
      <c r="D53" s="836">
        <f>D52/D51</f>
        <v>0</v>
      </c>
      <c r="E53" s="836">
        <f t="shared" ref="E53" si="28">E52/E51</f>
        <v>0</v>
      </c>
      <c r="F53" s="326">
        <f t="shared" ref="F53:P53" si="29">F52/F51</f>
        <v>0</v>
      </c>
      <c r="G53" s="326" t="e">
        <f t="shared" si="29"/>
        <v>#DIV/0!</v>
      </c>
      <c r="H53" s="326" t="e">
        <f t="shared" si="29"/>
        <v>#DIV/0!</v>
      </c>
      <c r="I53" s="326" t="e">
        <f t="shared" si="29"/>
        <v>#DIV/0!</v>
      </c>
      <c r="J53" s="326" t="e">
        <f t="shared" si="29"/>
        <v>#DIV/0!</v>
      </c>
      <c r="K53" s="326" t="e">
        <f t="shared" si="29"/>
        <v>#DIV/0!</v>
      </c>
      <c r="L53" s="326" t="e">
        <f t="shared" si="29"/>
        <v>#DIV/0!</v>
      </c>
      <c r="M53" s="326" t="e">
        <f t="shared" si="29"/>
        <v>#DIV/0!</v>
      </c>
      <c r="N53" s="326" t="e">
        <f t="shared" si="29"/>
        <v>#DIV/0!</v>
      </c>
      <c r="O53" s="327" t="e">
        <f t="shared" si="29"/>
        <v>#DIV/0!</v>
      </c>
      <c r="P53" s="322">
        <f t="shared" si="29"/>
        <v>0</v>
      </c>
      <c r="Q53" s="292"/>
      <c r="R53" s="292"/>
      <c r="S53" s="292"/>
      <c r="T53" s="292"/>
    </row>
    <row r="54" spans="1:20">
      <c r="A54" s="998" t="s">
        <v>609</v>
      </c>
      <c r="B54" s="997" t="s">
        <v>645</v>
      </c>
      <c r="C54" s="495" t="s">
        <v>554</v>
      </c>
      <c r="D54" s="225">
        <v>0</v>
      </c>
      <c r="E54" s="226">
        <v>0</v>
      </c>
      <c r="F54" s="314">
        <v>4</v>
      </c>
      <c r="G54" s="314"/>
      <c r="H54" s="314"/>
      <c r="I54" s="314"/>
      <c r="J54" s="314"/>
      <c r="K54" s="314"/>
      <c r="L54" s="314"/>
      <c r="M54" s="314"/>
      <c r="N54" s="314"/>
      <c r="O54" s="320"/>
      <c r="P54" s="229">
        <f>SUM(D54:O54)</f>
        <v>4</v>
      </c>
      <c r="Q54" s="292"/>
      <c r="R54" s="292"/>
      <c r="S54" s="292"/>
      <c r="T54" s="292"/>
    </row>
    <row r="55" spans="1:20">
      <c r="A55" s="995"/>
      <c r="B55" s="997"/>
      <c r="C55" s="206" t="s">
        <v>552</v>
      </c>
      <c r="D55" s="207">
        <v>0</v>
      </c>
      <c r="E55" s="217">
        <v>0</v>
      </c>
      <c r="F55" s="306">
        <v>0</v>
      </c>
      <c r="G55" s="306"/>
      <c r="H55" s="306"/>
      <c r="I55" s="306"/>
      <c r="J55" s="306"/>
      <c r="K55" s="306"/>
      <c r="L55" s="306"/>
      <c r="M55" s="306"/>
      <c r="N55" s="306"/>
      <c r="O55" s="308"/>
      <c r="P55" s="219">
        <f>SUM(D55:O55)</f>
        <v>0</v>
      </c>
      <c r="Q55" s="292"/>
      <c r="R55" s="292"/>
      <c r="S55" s="292"/>
      <c r="T55" s="292"/>
    </row>
    <row r="56" spans="1:20" ht="15.75" thickBot="1">
      <c r="A56" s="999"/>
      <c r="B56" s="997"/>
      <c r="C56" s="220" t="s">
        <v>553</v>
      </c>
      <c r="D56" s="221" t="e">
        <f>D55/D54</f>
        <v>#DIV/0!</v>
      </c>
      <c r="E56" s="221" t="e">
        <f t="shared" ref="E56" si="30">E55/E54</f>
        <v>#DIV/0!</v>
      </c>
      <c r="F56" s="309">
        <f>F55/F54</f>
        <v>0</v>
      </c>
      <c r="G56" s="309" t="e">
        <f>G55/G54</f>
        <v>#DIV/0!</v>
      </c>
      <c r="H56" s="309" t="e">
        <f>H55/H54</f>
        <v>#DIV/0!</v>
      </c>
      <c r="I56" s="309" t="e">
        <f>I55/I54</f>
        <v>#DIV/0!</v>
      </c>
      <c r="J56" s="309" t="e">
        <f t="shared" ref="J56:P56" si="31">J55/J54</f>
        <v>#DIV/0!</v>
      </c>
      <c r="K56" s="309" t="e">
        <f t="shared" si="31"/>
        <v>#DIV/0!</v>
      </c>
      <c r="L56" s="309" t="e">
        <f t="shared" si="31"/>
        <v>#DIV/0!</v>
      </c>
      <c r="M56" s="309" t="e">
        <f t="shared" si="31"/>
        <v>#DIV/0!</v>
      </c>
      <c r="N56" s="309" t="e">
        <f t="shared" si="31"/>
        <v>#DIV/0!</v>
      </c>
      <c r="O56" s="310" t="e">
        <f t="shared" si="31"/>
        <v>#DIV/0!</v>
      </c>
      <c r="P56" s="322">
        <f t="shared" si="31"/>
        <v>0</v>
      </c>
      <c r="Q56" s="292"/>
      <c r="R56" s="292"/>
      <c r="S56" s="292"/>
      <c r="T56" s="292"/>
    </row>
    <row r="57" spans="1:20">
      <c r="A57" s="998" t="s">
        <v>585</v>
      </c>
      <c r="B57" s="1011" t="s">
        <v>584</v>
      </c>
      <c r="C57" s="495" t="s">
        <v>554</v>
      </c>
      <c r="D57" s="225">
        <v>0</v>
      </c>
      <c r="E57" s="226">
        <v>4</v>
      </c>
      <c r="F57" s="314">
        <v>0</v>
      </c>
      <c r="G57" s="314"/>
      <c r="H57" s="314"/>
      <c r="I57" s="314"/>
      <c r="J57" s="314"/>
      <c r="K57" s="314"/>
      <c r="L57" s="314"/>
      <c r="M57" s="314"/>
      <c r="N57" s="314"/>
      <c r="O57" s="320"/>
      <c r="P57" s="229">
        <f>SUM(D57:O57)</f>
        <v>4</v>
      </c>
      <c r="Q57" s="292"/>
      <c r="R57" s="292"/>
      <c r="S57" s="292"/>
      <c r="T57" s="292"/>
    </row>
    <row r="58" spans="1:20">
      <c r="A58" s="995"/>
      <c r="B58" s="997"/>
      <c r="C58" s="206" t="s">
        <v>552</v>
      </c>
      <c r="D58" s="207">
        <v>0</v>
      </c>
      <c r="E58" s="217">
        <v>0</v>
      </c>
      <c r="F58" s="306">
        <v>0</v>
      </c>
      <c r="G58" s="306"/>
      <c r="H58" s="306"/>
      <c r="I58" s="306"/>
      <c r="J58" s="306"/>
      <c r="K58" s="306"/>
      <c r="L58" s="306"/>
      <c r="M58" s="306"/>
      <c r="N58" s="306"/>
      <c r="O58" s="308"/>
      <c r="P58" s="219">
        <f>SUM(D58:O58)</f>
        <v>0</v>
      </c>
      <c r="Q58" s="292"/>
      <c r="R58" s="292"/>
      <c r="S58" s="292"/>
      <c r="T58" s="292"/>
    </row>
    <row r="59" spans="1:20" ht="15.75" thickBot="1">
      <c r="A59" s="999"/>
      <c r="B59" s="1001"/>
      <c r="C59" s="220" t="s">
        <v>553</v>
      </c>
      <c r="D59" s="221" t="e">
        <f>D58/D57</f>
        <v>#DIV/0!</v>
      </c>
      <c r="E59" s="221">
        <f t="shared" ref="E59" si="32">E58/E57</f>
        <v>0</v>
      </c>
      <c r="F59" s="309" t="e">
        <f>F58/F57</f>
        <v>#DIV/0!</v>
      </c>
      <c r="G59" s="309" t="e">
        <f>G58/G57</f>
        <v>#DIV/0!</v>
      </c>
      <c r="H59" s="309" t="e">
        <f>H58/H57</f>
        <v>#DIV/0!</v>
      </c>
      <c r="I59" s="309" t="e">
        <f>I58/I57</f>
        <v>#DIV/0!</v>
      </c>
      <c r="J59" s="309" t="e">
        <f t="shared" ref="J59:P59" si="33">J58/J57</f>
        <v>#DIV/0!</v>
      </c>
      <c r="K59" s="309" t="e">
        <f t="shared" si="33"/>
        <v>#DIV/0!</v>
      </c>
      <c r="L59" s="309" t="e">
        <f t="shared" si="33"/>
        <v>#DIV/0!</v>
      </c>
      <c r="M59" s="309" t="e">
        <f t="shared" si="33"/>
        <v>#DIV/0!</v>
      </c>
      <c r="N59" s="309" t="e">
        <f t="shared" si="33"/>
        <v>#DIV/0!</v>
      </c>
      <c r="O59" s="310" t="e">
        <f t="shared" si="33"/>
        <v>#DIV/0!</v>
      </c>
      <c r="P59" s="322">
        <f t="shared" si="33"/>
        <v>0</v>
      </c>
      <c r="Q59" s="292"/>
      <c r="R59" s="292"/>
      <c r="S59" s="292"/>
      <c r="T59" s="292"/>
    </row>
    <row r="60" spans="1:20">
      <c r="A60" s="998" t="s">
        <v>646</v>
      </c>
      <c r="B60" s="1000" t="s">
        <v>647</v>
      </c>
      <c r="C60" s="495" t="s">
        <v>554</v>
      </c>
      <c r="D60" s="225">
        <v>63</v>
      </c>
      <c r="E60" s="226">
        <v>25</v>
      </c>
      <c r="F60" s="314">
        <v>57</v>
      </c>
      <c r="G60" s="314"/>
      <c r="H60" s="314"/>
      <c r="I60" s="314"/>
      <c r="J60" s="314"/>
      <c r="K60" s="314"/>
      <c r="L60" s="314"/>
      <c r="M60" s="314"/>
      <c r="N60" s="314"/>
      <c r="O60" s="320"/>
      <c r="P60" s="229">
        <f>SUM(D60:O60)</f>
        <v>145</v>
      </c>
      <c r="Q60" s="292"/>
      <c r="R60" s="292"/>
      <c r="S60" s="292"/>
      <c r="T60" s="292"/>
    </row>
    <row r="61" spans="1:20">
      <c r="A61" s="995"/>
      <c r="B61" s="997"/>
      <c r="C61" s="206" t="s">
        <v>552</v>
      </c>
      <c r="D61" s="207">
        <v>0</v>
      </c>
      <c r="E61" s="217">
        <v>0</v>
      </c>
      <c r="F61" s="306">
        <v>0</v>
      </c>
      <c r="G61" s="306"/>
      <c r="H61" s="306"/>
      <c r="I61" s="306"/>
      <c r="J61" s="306"/>
      <c r="K61" s="306"/>
      <c r="L61" s="306"/>
      <c r="M61" s="306"/>
      <c r="N61" s="306"/>
      <c r="O61" s="308"/>
      <c r="P61" s="219">
        <f>SUM(D61:O61)</f>
        <v>0</v>
      </c>
      <c r="Q61" s="292"/>
      <c r="R61" s="292"/>
      <c r="S61" s="292"/>
      <c r="T61" s="292"/>
    </row>
    <row r="62" spans="1:20" ht="15.75" thickBot="1">
      <c r="A62" s="999"/>
      <c r="B62" s="1001"/>
      <c r="C62" s="220" t="s">
        <v>553</v>
      </c>
      <c r="D62" s="221">
        <f>D61/D60</f>
        <v>0</v>
      </c>
      <c r="E62" s="221">
        <f t="shared" ref="E62" si="34">E61/E60</f>
        <v>0</v>
      </c>
      <c r="F62" s="309">
        <f>F61/F60</f>
        <v>0</v>
      </c>
      <c r="G62" s="309" t="e">
        <f>G61/G60</f>
        <v>#DIV/0!</v>
      </c>
      <c r="H62" s="309" t="e">
        <f>H61/H60</f>
        <v>#DIV/0!</v>
      </c>
      <c r="I62" s="309" t="e">
        <f>I61/I60</f>
        <v>#DIV/0!</v>
      </c>
      <c r="J62" s="309" t="e">
        <f t="shared" ref="J62:P62" si="35">J61/J60</f>
        <v>#DIV/0!</v>
      </c>
      <c r="K62" s="309" t="e">
        <f t="shared" si="35"/>
        <v>#DIV/0!</v>
      </c>
      <c r="L62" s="309" t="e">
        <f t="shared" si="35"/>
        <v>#DIV/0!</v>
      </c>
      <c r="M62" s="309" t="e">
        <f t="shared" si="35"/>
        <v>#DIV/0!</v>
      </c>
      <c r="N62" s="309" t="e">
        <f t="shared" si="35"/>
        <v>#DIV/0!</v>
      </c>
      <c r="O62" s="310" t="e">
        <f t="shared" si="35"/>
        <v>#DIV/0!</v>
      </c>
      <c r="P62" s="322">
        <f t="shared" si="35"/>
        <v>0</v>
      </c>
      <c r="Q62" s="292"/>
      <c r="R62" s="292"/>
      <c r="S62" s="292"/>
      <c r="T62" s="292"/>
    </row>
    <row r="63" spans="1:20">
      <c r="A63" s="1012" t="s">
        <v>668</v>
      </c>
      <c r="B63" s="1000" t="s">
        <v>435</v>
      </c>
      <c r="C63" s="495" t="s">
        <v>554</v>
      </c>
      <c r="D63" s="225">
        <v>34</v>
      </c>
      <c r="E63" s="226">
        <v>26</v>
      </c>
      <c r="F63" s="314">
        <v>24</v>
      </c>
      <c r="G63" s="314"/>
      <c r="H63" s="314"/>
      <c r="I63" s="314"/>
      <c r="J63" s="314"/>
      <c r="K63" s="314"/>
      <c r="L63" s="314"/>
      <c r="M63" s="314"/>
      <c r="N63" s="314"/>
      <c r="O63" s="320"/>
      <c r="P63" s="229">
        <f>SUM(D63:O63)</f>
        <v>84</v>
      </c>
      <c r="Q63" s="292"/>
      <c r="R63" s="292"/>
      <c r="S63" s="292"/>
      <c r="T63" s="292"/>
    </row>
    <row r="64" spans="1:20">
      <c r="A64" s="1006"/>
      <c r="B64" s="997"/>
      <c r="C64" s="206" t="s">
        <v>552</v>
      </c>
      <c r="D64" s="207">
        <v>0</v>
      </c>
      <c r="E64" s="217">
        <v>0</v>
      </c>
      <c r="F64" s="306">
        <v>0</v>
      </c>
      <c r="G64" s="306"/>
      <c r="H64" s="306"/>
      <c r="I64" s="306"/>
      <c r="J64" s="306"/>
      <c r="K64" s="306"/>
      <c r="L64" s="306"/>
      <c r="M64" s="306"/>
      <c r="N64" s="306"/>
      <c r="O64" s="308"/>
      <c r="P64" s="219">
        <f>SUM(D64:O64)</f>
        <v>0</v>
      </c>
      <c r="Q64" s="292"/>
      <c r="R64" s="292"/>
      <c r="S64" s="292"/>
      <c r="T64" s="292"/>
    </row>
    <row r="65" spans="1:20" ht="15.75" thickBot="1">
      <c r="A65" s="1007"/>
      <c r="B65" s="1001"/>
      <c r="C65" s="220" t="s">
        <v>553</v>
      </c>
      <c r="D65" s="221">
        <f>D64/D63</f>
        <v>0</v>
      </c>
      <c r="E65" s="221">
        <f t="shared" ref="E65" si="36">E64/E63</f>
        <v>0</v>
      </c>
      <c r="F65" s="309">
        <f>F64/F63</f>
        <v>0</v>
      </c>
      <c r="G65" s="309" t="e">
        <f>G64/G63</f>
        <v>#DIV/0!</v>
      </c>
      <c r="H65" s="309" t="e">
        <f>H64/H63</f>
        <v>#DIV/0!</v>
      </c>
      <c r="I65" s="309" t="e">
        <f>I64/I63</f>
        <v>#DIV/0!</v>
      </c>
      <c r="J65" s="309" t="e">
        <f t="shared" ref="J65:P65" si="37">J64/J63</f>
        <v>#DIV/0!</v>
      </c>
      <c r="K65" s="309" t="e">
        <f t="shared" si="37"/>
        <v>#DIV/0!</v>
      </c>
      <c r="L65" s="309" t="e">
        <f t="shared" si="37"/>
        <v>#DIV/0!</v>
      </c>
      <c r="M65" s="309" t="e">
        <f t="shared" si="37"/>
        <v>#DIV/0!</v>
      </c>
      <c r="N65" s="309" t="e">
        <f t="shared" si="37"/>
        <v>#DIV/0!</v>
      </c>
      <c r="O65" s="310" t="e">
        <f t="shared" si="37"/>
        <v>#DIV/0!</v>
      </c>
      <c r="P65" s="322">
        <f t="shared" si="37"/>
        <v>0</v>
      </c>
      <c r="Q65" s="292"/>
      <c r="R65" s="292"/>
      <c r="S65" s="292"/>
      <c r="T65" s="292"/>
    </row>
    <row r="66" spans="1:20">
      <c r="A66" s="1005" t="s">
        <v>436</v>
      </c>
      <c r="B66" s="1000" t="s">
        <v>437</v>
      </c>
      <c r="C66" s="495" t="s">
        <v>554</v>
      </c>
      <c r="D66" s="225">
        <v>0</v>
      </c>
      <c r="E66" s="226">
        <v>0</v>
      </c>
      <c r="F66" s="314">
        <v>0</v>
      </c>
      <c r="G66" s="314"/>
      <c r="H66" s="314"/>
      <c r="I66" s="314"/>
      <c r="J66" s="314"/>
      <c r="K66" s="314"/>
      <c r="L66" s="314"/>
      <c r="M66" s="314"/>
      <c r="N66" s="314"/>
      <c r="O66" s="320"/>
      <c r="P66" s="229">
        <f>SUM(D66:O66)</f>
        <v>0</v>
      </c>
      <c r="Q66" s="292"/>
      <c r="R66" s="292"/>
      <c r="S66" s="292"/>
      <c r="T66" s="292"/>
    </row>
    <row r="67" spans="1:20">
      <c r="A67" s="1006"/>
      <c r="B67" s="997"/>
      <c r="C67" s="206" t="s">
        <v>552</v>
      </c>
      <c r="D67" s="207">
        <v>0</v>
      </c>
      <c r="E67" s="217">
        <v>0</v>
      </c>
      <c r="F67" s="306">
        <v>0</v>
      </c>
      <c r="G67" s="306"/>
      <c r="H67" s="306"/>
      <c r="I67" s="306"/>
      <c r="J67" s="306"/>
      <c r="K67" s="306"/>
      <c r="L67" s="306"/>
      <c r="M67" s="306"/>
      <c r="N67" s="306"/>
      <c r="O67" s="308"/>
      <c r="P67" s="219">
        <f>SUM(D67:O67)</f>
        <v>0</v>
      </c>
      <c r="Q67" s="292"/>
      <c r="R67" s="292"/>
      <c r="S67" s="292"/>
      <c r="T67" s="292"/>
    </row>
    <row r="68" spans="1:20" ht="15.75" thickBot="1">
      <c r="A68" s="1007"/>
      <c r="B68" s="1001"/>
      <c r="C68" s="220" t="s">
        <v>553</v>
      </c>
      <c r="D68" s="221" t="e">
        <f>D67/D66</f>
        <v>#DIV/0!</v>
      </c>
      <c r="E68" s="221" t="e">
        <f t="shared" ref="E68" si="38">E67/E66</f>
        <v>#DIV/0!</v>
      </c>
      <c r="F68" s="309" t="e">
        <f>F67/F66</f>
        <v>#DIV/0!</v>
      </c>
      <c r="G68" s="309" t="e">
        <f>G67/G66</f>
        <v>#DIV/0!</v>
      </c>
      <c r="H68" s="309" t="e">
        <f>H67/H66</f>
        <v>#DIV/0!</v>
      </c>
      <c r="I68" s="309" t="e">
        <f>I67/I66</f>
        <v>#DIV/0!</v>
      </c>
      <c r="J68" s="309" t="e">
        <f t="shared" ref="J68:P68" si="39">J67/J66</f>
        <v>#DIV/0!</v>
      </c>
      <c r="K68" s="309" t="e">
        <f t="shared" si="39"/>
        <v>#DIV/0!</v>
      </c>
      <c r="L68" s="309" t="e">
        <f t="shared" si="39"/>
        <v>#DIV/0!</v>
      </c>
      <c r="M68" s="309" t="e">
        <f t="shared" si="39"/>
        <v>#DIV/0!</v>
      </c>
      <c r="N68" s="309" t="e">
        <f t="shared" si="39"/>
        <v>#DIV/0!</v>
      </c>
      <c r="O68" s="310" t="e">
        <f t="shared" si="39"/>
        <v>#DIV/0!</v>
      </c>
      <c r="P68" s="322" t="e">
        <f t="shared" si="39"/>
        <v>#DIV/0!</v>
      </c>
      <c r="Q68" s="292"/>
      <c r="R68" s="292"/>
      <c r="S68" s="292"/>
      <c r="T68" s="292"/>
    </row>
    <row r="69" spans="1:20">
      <c r="A69" s="1005" t="s">
        <v>648</v>
      </c>
      <c r="B69" s="1000" t="s">
        <v>649</v>
      </c>
      <c r="C69" s="495" t="s">
        <v>554</v>
      </c>
      <c r="D69" s="225">
        <v>0</v>
      </c>
      <c r="E69" s="226">
        <v>0</v>
      </c>
      <c r="F69" s="314">
        <v>0</v>
      </c>
      <c r="G69" s="314"/>
      <c r="H69" s="314"/>
      <c r="I69" s="314"/>
      <c r="J69" s="314"/>
      <c r="K69" s="314"/>
      <c r="L69" s="314"/>
      <c r="M69" s="314"/>
      <c r="N69" s="314"/>
      <c r="O69" s="320"/>
      <c r="P69" s="229">
        <f>SUM(D69:O69)</f>
        <v>0</v>
      </c>
      <c r="Q69" s="292"/>
      <c r="R69" s="292"/>
      <c r="S69" s="292"/>
      <c r="T69" s="292"/>
    </row>
    <row r="70" spans="1:20">
      <c r="A70" s="1006"/>
      <c r="B70" s="997"/>
      <c r="C70" s="206" t="s">
        <v>552</v>
      </c>
      <c r="D70" s="207">
        <v>0</v>
      </c>
      <c r="E70" s="217">
        <v>0</v>
      </c>
      <c r="F70" s="306">
        <v>0</v>
      </c>
      <c r="G70" s="306"/>
      <c r="H70" s="306"/>
      <c r="I70" s="306"/>
      <c r="J70" s="306"/>
      <c r="K70" s="306"/>
      <c r="L70" s="306"/>
      <c r="M70" s="306"/>
      <c r="N70" s="306"/>
      <c r="O70" s="308"/>
      <c r="P70" s="219">
        <f>SUM(D70:O70)</f>
        <v>0</v>
      </c>
      <c r="Q70" s="292"/>
      <c r="R70" s="292"/>
      <c r="S70" s="292"/>
      <c r="T70" s="292"/>
    </row>
    <row r="71" spans="1:20" ht="15.75" thickBot="1">
      <c r="A71" s="1007"/>
      <c r="B71" s="1001"/>
      <c r="C71" s="220" t="s">
        <v>553</v>
      </c>
      <c r="D71" s="221" t="e">
        <f>D70/D69</f>
        <v>#DIV/0!</v>
      </c>
      <c r="E71" s="221" t="e">
        <f t="shared" ref="E71" si="40">E70/E69</f>
        <v>#DIV/0!</v>
      </c>
      <c r="F71" s="309" t="e">
        <f>F70/F69</f>
        <v>#DIV/0!</v>
      </c>
      <c r="G71" s="309" t="e">
        <f>G70/G69</f>
        <v>#DIV/0!</v>
      </c>
      <c r="H71" s="309" t="e">
        <f>H70/H69</f>
        <v>#DIV/0!</v>
      </c>
      <c r="I71" s="309" t="e">
        <f>I70/I69</f>
        <v>#DIV/0!</v>
      </c>
      <c r="J71" s="309" t="e">
        <f t="shared" ref="J71:P71" si="41">J70/J69</f>
        <v>#DIV/0!</v>
      </c>
      <c r="K71" s="309" t="e">
        <f t="shared" si="41"/>
        <v>#DIV/0!</v>
      </c>
      <c r="L71" s="309" t="e">
        <f t="shared" si="41"/>
        <v>#DIV/0!</v>
      </c>
      <c r="M71" s="309" t="e">
        <f t="shared" si="41"/>
        <v>#DIV/0!</v>
      </c>
      <c r="N71" s="309" t="e">
        <f t="shared" si="41"/>
        <v>#DIV/0!</v>
      </c>
      <c r="O71" s="310" t="e">
        <f t="shared" si="41"/>
        <v>#DIV/0!</v>
      </c>
      <c r="P71" s="322" t="e">
        <f t="shared" si="41"/>
        <v>#DIV/0!</v>
      </c>
      <c r="Q71" s="292"/>
      <c r="R71" s="292"/>
      <c r="S71" s="292"/>
      <c r="T71" s="292"/>
    </row>
    <row r="72" spans="1:20">
      <c r="A72" s="1005" t="s">
        <v>650</v>
      </c>
      <c r="B72" s="1000" t="s">
        <v>651</v>
      </c>
      <c r="C72" s="495" t="s">
        <v>554</v>
      </c>
      <c r="D72" s="225">
        <v>34</v>
      </c>
      <c r="E72" s="226">
        <v>0</v>
      </c>
      <c r="F72" s="314">
        <v>19</v>
      </c>
      <c r="G72" s="314"/>
      <c r="H72" s="314"/>
      <c r="I72" s="314"/>
      <c r="J72" s="314"/>
      <c r="K72" s="314"/>
      <c r="L72" s="314"/>
      <c r="M72" s="314"/>
      <c r="N72" s="314"/>
      <c r="O72" s="320"/>
      <c r="P72" s="229">
        <f>SUM(D72:O72)</f>
        <v>53</v>
      </c>
      <c r="Q72" s="292"/>
      <c r="R72" s="292"/>
      <c r="S72" s="292"/>
      <c r="T72" s="292"/>
    </row>
    <row r="73" spans="1:20">
      <c r="A73" s="1006"/>
      <c r="B73" s="997"/>
      <c r="C73" s="206" t="s">
        <v>552</v>
      </c>
      <c r="D73" s="207">
        <v>0</v>
      </c>
      <c r="E73" s="217">
        <v>0</v>
      </c>
      <c r="F73" s="306">
        <v>0</v>
      </c>
      <c r="G73" s="306"/>
      <c r="H73" s="306"/>
      <c r="I73" s="306"/>
      <c r="J73" s="306"/>
      <c r="K73" s="306"/>
      <c r="L73" s="306"/>
      <c r="M73" s="855"/>
      <c r="N73" s="306"/>
      <c r="O73" s="308"/>
      <c r="P73" s="219">
        <f>SUM(D73:O73)</f>
        <v>0</v>
      </c>
      <c r="Q73" s="292"/>
      <c r="R73" s="292"/>
      <c r="S73" s="292"/>
      <c r="T73" s="292"/>
    </row>
    <row r="74" spans="1:20" ht="15.75" thickBot="1">
      <c r="A74" s="1007"/>
      <c r="B74" s="1001"/>
      <c r="C74" s="220" t="s">
        <v>553</v>
      </c>
      <c r="D74" s="221">
        <f>D73/D72</f>
        <v>0</v>
      </c>
      <c r="E74" s="221" t="e">
        <f t="shared" ref="E74" si="42">E73/E72</f>
        <v>#DIV/0!</v>
      </c>
      <c r="F74" s="309">
        <f>F73/F72</f>
        <v>0</v>
      </c>
      <c r="G74" s="309" t="e">
        <f>G73/G72</f>
        <v>#DIV/0!</v>
      </c>
      <c r="H74" s="309" t="e">
        <f>H73/H72</f>
        <v>#DIV/0!</v>
      </c>
      <c r="I74" s="309" t="e">
        <f>I73/I72</f>
        <v>#DIV/0!</v>
      </c>
      <c r="J74" s="309" t="e">
        <f t="shared" ref="J74:P74" si="43">J73/J72</f>
        <v>#DIV/0!</v>
      </c>
      <c r="K74" s="309" t="e">
        <f t="shared" si="43"/>
        <v>#DIV/0!</v>
      </c>
      <c r="L74" s="309" t="e">
        <f t="shared" si="43"/>
        <v>#DIV/0!</v>
      </c>
      <c r="M74" s="309" t="e">
        <f t="shared" si="43"/>
        <v>#DIV/0!</v>
      </c>
      <c r="N74" s="309" t="e">
        <f t="shared" si="43"/>
        <v>#DIV/0!</v>
      </c>
      <c r="O74" s="310" t="e">
        <f t="shared" si="43"/>
        <v>#DIV/0!</v>
      </c>
      <c r="P74" s="322">
        <f t="shared" si="43"/>
        <v>0</v>
      </c>
      <c r="Q74" s="292"/>
      <c r="R74" s="292"/>
      <c r="S74" s="292"/>
      <c r="T74" s="292"/>
    </row>
    <row r="75" spans="1:20">
      <c r="A75" s="998" t="s">
        <v>652</v>
      </c>
      <c r="B75" s="1000" t="s">
        <v>653</v>
      </c>
      <c r="C75" s="495" t="s">
        <v>554</v>
      </c>
      <c r="D75" s="225">
        <v>17</v>
      </c>
      <c r="E75" s="226">
        <v>6</v>
      </c>
      <c r="F75" s="314">
        <v>23</v>
      </c>
      <c r="G75" s="314"/>
      <c r="H75" s="314"/>
      <c r="I75" s="314"/>
      <c r="J75" s="314"/>
      <c r="K75" s="314"/>
      <c r="L75" s="314"/>
      <c r="M75" s="314"/>
      <c r="N75" s="314"/>
      <c r="O75" s="320"/>
      <c r="P75" s="229">
        <f>SUM(D75:O75)</f>
        <v>46</v>
      </c>
      <c r="Q75" s="292"/>
      <c r="R75" s="292"/>
      <c r="S75" s="292"/>
      <c r="T75" s="292"/>
    </row>
    <row r="76" spans="1:20">
      <c r="A76" s="995"/>
      <c r="B76" s="997"/>
      <c r="C76" s="206" t="s">
        <v>552</v>
      </c>
      <c r="D76" s="207">
        <v>0</v>
      </c>
      <c r="E76" s="217">
        <v>0</v>
      </c>
      <c r="F76" s="306">
        <v>0</v>
      </c>
      <c r="G76" s="306"/>
      <c r="H76" s="306"/>
      <c r="I76" s="306"/>
      <c r="J76" s="306"/>
      <c r="K76" s="306"/>
      <c r="L76" s="306"/>
      <c r="M76" s="306"/>
      <c r="N76" s="306"/>
      <c r="O76" s="308"/>
      <c r="P76" s="219">
        <f>SUM(D76:O76)</f>
        <v>0</v>
      </c>
      <c r="Q76" s="292"/>
      <c r="R76" s="292"/>
      <c r="S76" s="292"/>
      <c r="T76" s="292"/>
    </row>
    <row r="77" spans="1:20" ht="15.75" thickBot="1">
      <c r="A77" s="999"/>
      <c r="B77" s="1001"/>
      <c r="C77" s="220" t="s">
        <v>553</v>
      </c>
      <c r="D77" s="221">
        <f>D76/D75</f>
        <v>0</v>
      </c>
      <c r="E77" s="221">
        <f t="shared" ref="E77" si="44">E76/E75</f>
        <v>0</v>
      </c>
      <c r="F77" s="309">
        <f>F76/F75</f>
        <v>0</v>
      </c>
      <c r="G77" s="309" t="e">
        <f>G76/G75</f>
        <v>#DIV/0!</v>
      </c>
      <c r="H77" s="309" t="e">
        <f>H76/H75</f>
        <v>#DIV/0!</v>
      </c>
      <c r="I77" s="309" t="e">
        <f>I76/I75</f>
        <v>#DIV/0!</v>
      </c>
      <c r="J77" s="309" t="e">
        <f t="shared" ref="J77:P77" si="45">J76/J75</f>
        <v>#DIV/0!</v>
      </c>
      <c r="K77" s="309" t="e">
        <f t="shared" si="45"/>
        <v>#DIV/0!</v>
      </c>
      <c r="L77" s="309" t="e">
        <f t="shared" si="45"/>
        <v>#DIV/0!</v>
      </c>
      <c r="M77" s="309" t="e">
        <f t="shared" si="45"/>
        <v>#DIV/0!</v>
      </c>
      <c r="N77" s="309" t="e">
        <f t="shared" si="45"/>
        <v>#DIV/0!</v>
      </c>
      <c r="O77" s="310" t="e">
        <f t="shared" si="45"/>
        <v>#DIV/0!</v>
      </c>
      <c r="P77" s="322">
        <f t="shared" si="45"/>
        <v>0</v>
      </c>
      <c r="Q77" s="292"/>
      <c r="R77" s="292"/>
      <c r="S77" s="292"/>
      <c r="T77" s="292"/>
    </row>
    <row r="78" spans="1:20">
      <c r="A78" s="998" t="s">
        <v>438</v>
      </c>
      <c r="B78" s="1000" t="s">
        <v>439</v>
      </c>
      <c r="C78" s="495" t="s">
        <v>554</v>
      </c>
      <c r="D78" s="225">
        <v>0</v>
      </c>
      <c r="E78" s="226">
        <v>15</v>
      </c>
      <c r="F78" s="314">
        <v>7</v>
      </c>
      <c r="G78" s="314"/>
      <c r="H78" s="314"/>
      <c r="I78" s="314"/>
      <c r="J78" s="314"/>
      <c r="K78" s="314"/>
      <c r="L78" s="314"/>
      <c r="M78" s="314"/>
      <c r="N78" s="314"/>
      <c r="O78" s="320"/>
      <c r="P78" s="229">
        <f>SUM(D78:O78)</f>
        <v>22</v>
      </c>
      <c r="Q78" s="292"/>
      <c r="R78" s="292"/>
      <c r="S78" s="292"/>
      <c r="T78" s="292"/>
    </row>
    <row r="79" spans="1:20">
      <c r="A79" s="995"/>
      <c r="B79" s="997"/>
      <c r="C79" s="206" t="s">
        <v>552</v>
      </c>
      <c r="D79" s="207">
        <v>0</v>
      </c>
      <c r="E79" s="217">
        <v>0</v>
      </c>
      <c r="F79" s="306">
        <v>0</v>
      </c>
      <c r="G79" s="306"/>
      <c r="H79" s="306"/>
      <c r="I79" s="306"/>
      <c r="J79" s="306"/>
      <c r="K79" s="306"/>
      <c r="L79" s="306"/>
      <c r="M79" s="306"/>
      <c r="N79" s="306"/>
      <c r="O79" s="308"/>
      <c r="P79" s="219">
        <f>SUM(D79:O79)</f>
        <v>0</v>
      </c>
      <c r="Q79" s="292"/>
      <c r="R79" s="292"/>
      <c r="S79" s="292"/>
      <c r="T79" s="292"/>
    </row>
    <row r="80" spans="1:20" ht="15.75" thickBot="1">
      <c r="A80" s="999"/>
      <c r="B80" s="1001"/>
      <c r="C80" s="220" t="s">
        <v>553</v>
      </c>
      <c r="D80" s="221" t="e">
        <f>D79/D78</f>
        <v>#DIV/0!</v>
      </c>
      <c r="E80" s="221">
        <f t="shared" ref="E80" si="46">E79/E78</f>
        <v>0</v>
      </c>
      <c r="F80" s="309">
        <f>F79/F78</f>
        <v>0</v>
      </c>
      <c r="G80" s="309" t="e">
        <f>G79/G78</f>
        <v>#DIV/0!</v>
      </c>
      <c r="H80" s="309" t="e">
        <f>H79/H78</f>
        <v>#DIV/0!</v>
      </c>
      <c r="I80" s="309" t="e">
        <f>I79/I78</f>
        <v>#DIV/0!</v>
      </c>
      <c r="J80" s="309" t="e">
        <f t="shared" ref="J80:P80" si="47">J79/J78</f>
        <v>#DIV/0!</v>
      </c>
      <c r="K80" s="309" t="e">
        <f t="shared" si="47"/>
        <v>#DIV/0!</v>
      </c>
      <c r="L80" s="309" t="e">
        <f t="shared" si="47"/>
        <v>#DIV/0!</v>
      </c>
      <c r="M80" s="309" t="e">
        <f t="shared" si="47"/>
        <v>#DIV/0!</v>
      </c>
      <c r="N80" s="309" t="e">
        <f t="shared" si="47"/>
        <v>#DIV/0!</v>
      </c>
      <c r="O80" s="310" t="e">
        <f t="shared" si="47"/>
        <v>#DIV/0!</v>
      </c>
      <c r="P80" s="322">
        <f t="shared" si="47"/>
        <v>0</v>
      </c>
      <c r="Q80" s="292"/>
      <c r="R80" s="292"/>
      <c r="S80" s="292"/>
      <c r="T80" s="292"/>
    </row>
    <row r="81" spans="1:20">
      <c r="A81" s="998" t="s">
        <v>654</v>
      </c>
      <c r="B81" s="1000" t="s">
        <v>655</v>
      </c>
      <c r="C81" s="495" t="s">
        <v>554</v>
      </c>
      <c r="D81" s="225">
        <v>1097</v>
      </c>
      <c r="E81" s="719">
        <v>801</v>
      </c>
      <c r="F81" s="314">
        <v>1449</v>
      </c>
      <c r="G81" s="314"/>
      <c r="H81" s="314"/>
      <c r="I81" s="314"/>
      <c r="J81" s="314"/>
      <c r="K81" s="314"/>
      <c r="L81" s="314"/>
      <c r="M81" s="314"/>
      <c r="N81" s="314"/>
      <c r="O81" s="320"/>
      <c r="P81" s="229">
        <f>SUM(D81:O81)</f>
        <v>3347</v>
      </c>
      <c r="Q81" s="292"/>
      <c r="R81" s="292"/>
      <c r="S81" s="292"/>
      <c r="T81" s="292"/>
    </row>
    <row r="82" spans="1:20">
      <c r="A82" s="995"/>
      <c r="B82" s="997"/>
      <c r="C82" s="206" t="s">
        <v>552</v>
      </c>
      <c r="D82" s="207">
        <v>0</v>
      </c>
      <c r="E82" s="217">
        <v>0</v>
      </c>
      <c r="F82" s="306">
        <v>0</v>
      </c>
      <c r="G82" s="306"/>
      <c r="H82" s="306"/>
      <c r="I82" s="306"/>
      <c r="J82" s="306"/>
      <c r="K82" s="306"/>
      <c r="L82" s="306"/>
      <c r="M82" s="306"/>
      <c r="N82" s="306"/>
      <c r="O82" s="308"/>
      <c r="P82" s="219">
        <f>SUM(D82:O82)</f>
        <v>0</v>
      </c>
      <c r="Q82" s="292"/>
      <c r="R82" s="292"/>
      <c r="S82" s="292"/>
      <c r="T82" s="292"/>
    </row>
    <row r="83" spans="1:20" ht="15.75" thickBot="1">
      <c r="A83" s="999"/>
      <c r="B83" s="1001"/>
      <c r="C83" s="220" t="s">
        <v>553</v>
      </c>
      <c r="D83" s="221">
        <f>D82/D81</f>
        <v>0</v>
      </c>
      <c r="E83" s="221">
        <f t="shared" ref="E83" si="48">E82/E81</f>
        <v>0</v>
      </c>
      <c r="F83" s="309">
        <f>F82/F81</f>
        <v>0</v>
      </c>
      <c r="G83" s="309" t="e">
        <f>G82/G81</f>
        <v>#DIV/0!</v>
      </c>
      <c r="H83" s="309" t="e">
        <f>H82/H81</f>
        <v>#DIV/0!</v>
      </c>
      <c r="I83" s="309" t="e">
        <f>I82/I81</f>
        <v>#DIV/0!</v>
      </c>
      <c r="J83" s="309" t="e">
        <f t="shared" ref="J83:P83" si="49">J82/J81</f>
        <v>#DIV/0!</v>
      </c>
      <c r="K83" s="309" t="e">
        <f t="shared" si="49"/>
        <v>#DIV/0!</v>
      </c>
      <c r="L83" s="309" t="e">
        <f t="shared" si="49"/>
        <v>#DIV/0!</v>
      </c>
      <c r="M83" s="309" t="e">
        <f t="shared" si="49"/>
        <v>#DIV/0!</v>
      </c>
      <c r="N83" s="309" t="e">
        <f t="shared" si="49"/>
        <v>#DIV/0!</v>
      </c>
      <c r="O83" s="310" t="e">
        <f t="shared" si="49"/>
        <v>#DIV/0!</v>
      </c>
      <c r="P83" s="322">
        <f t="shared" si="49"/>
        <v>0</v>
      </c>
      <c r="Q83" s="292"/>
      <c r="R83" s="292"/>
      <c r="S83" s="292"/>
      <c r="T83" s="292"/>
    </row>
    <row r="84" spans="1:20">
      <c r="A84" s="998" t="s">
        <v>440</v>
      </c>
      <c r="B84" s="1000" t="s">
        <v>441</v>
      </c>
      <c r="C84" s="495" t="s">
        <v>554</v>
      </c>
      <c r="D84" s="225">
        <v>32</v>
      </c>
      <c r="E84" s="226">
        <v>17</v>
      </c>
      <c r="F84" s="314">
        <v>6</v>
      </c>
      <c r="G84" s="314"/>
      <c r="H84" s="314"/>
      <c r="I84" s="314"/>
      <c r="J84" s="314"/>
      <c r="K84" s="314"/>
      <c r="L84" s="314"/>
      <c r="M84" s="314"/>
      <c r="N84" s="314"/>
      <c r="O84" s="320"/>
      <c r="P84" s="229">
        <f>SUM(D84:O84)</f>
        <v>55</v>
      </c>
      <c r="Q84" s="292"/>
      <c r="R84" s="292"/>
      <c r="S84" s="292"/>
      <c r="T84" s="292"/>
    </row>
    <row r="85" spans="1:20">
      <c r="A85" s="995"/>
      <c r="B85" s="997"/>
      <c r="C85" s="206" t="s">
        <v>552</v>
      </c>
      <c r="D85" s="207">
        <v>0</v>
      </c>
      <c r="E85" s="217">
        <v>0</v>
      </c>
      <c r="F85" s="306">
        <v>0</v>
      </c>
      <c r="G85" s="306"/>
      <c r="H85" s="306"/>
      <c r="I85" s="306"/>
      <c r="J85" s="306"/>
      <c r="K85" s="306"/>
      <c r="L85" s="306"/>
      <c r="M85" s="306"/>
      <c r="N85" s="306"/>
      <c r="O85" s="308"/>
      <c r="P85" s="219">
        <f>SUM(D85:O85)</f>
        <v>0</v>
      </c>
      <c r="Q85" s="292"/>
      <c r="R85" s="292"/>
      <c r="S85" s="292"/>
      <c r="T85" s="292"/>
    </row>
    <row r="86" spans="1:20" ht="15.75" thickBot="1">
      <c r="A86" s="999"/>
      <c r="B86" s="1001"/>
      <c r="C86" s="220" t="s">
        <v>553</v>
      </c>
      <c r="D86" s="221">
        <f>D85/D84</f>
        <v>0</v>
      </c>
      <c r="E86" s="221">
        <f t="shared" ref="E86" si="50">E85/E84</f>
        <v>0</v>
      </c>
      <c r="F86" s="309">
        <f>F85/F84</f>
        <v>0</v>
      </c>
      <c r="G86" s="309" t="e">
        <f>G85/G84</f>
        <v>#DIV/0!</v>
      </c>
      <c r="H86" s="309" t="e">
        <f>H85/H84</f>
        <v>#DIV/0!</v>
      </c>
      <c r="I86" s="309" t="e">
        <f>I85/I84</f>
        <v>#DIV/0!</v>
      </c>
      <c r="J86" s="309" t="e">
        <f t="shared" ref="J86:P86" si="51">J85/J84</f>
        <v>#DIV/0!</v>
      </c>
      <c r="K86" s="309" t="e">
        <f t="shared" si="51"/>
        <v>#DIV/0!</v>
      </c>
      <c r="L86" s="309" t="e">
        <f t="shared" si="51"/>
        <v>#DIV/0!</v>
      </c>
      <c r="M86" s="309" t="e">
        <f t="shared" si="51"/>
        <v>#DIV/0!</v>
      </c>
      <c r="N86" s="309" t="e">
        <f t="shared" si="51"/>
        <v>#DIV/0!</v>
      </c>
      <c r="O86" s="310" t="e">
        <f t="shared" si="51"/>
        <v>#DIV/0!</v>
      </c>
      <c r="P86" s="322">
        <f t="shared" si="51"/>
        <v>0</v>
      </c>
      <c r="Q86" s="292"/>
      <c r="R86" s="292"/>
      <c r="S86" s="292"/>
      <c r="T86" s="292"/>
    </row>
    <row r="87" spans="1:20">
      <c r="A87" s="1013" t="s">
        <v>574</v>
      </c>
      <c r="B87" s="1000" t="s">
        <v>656</v>
      </c>
      <c r="C87" s="495" t="s">
        <v>554</v>
      </c>
      <c r="D87" s="225">
        <v>0</v>
      </c>
      <c r="E87" s="226">
        <v>0</v>
      </c>
      <c r="F87" s="314">
        <v>0</v>
      </c>
      <c r="G87" s="314"/>
      <c r="H87" s="314"/>
      <c r="I87" s="314"/>
      <c r="J87" s="314"/>
      <c r="K87" s="314"/>
      <c r="L87" s="314"/>
      <c r="M87" s="314"/>
      <c r="N87" s="314"/>
      <c r="O87" s="320"/>
      <c r="P87" s="229">
        <f>SUM(D87:O87)</f>
        <v>0</v>
      </c>
      <c r="Q87" s="292"/>
      <c r="R87" s="292"/>
      <c r="S87" s="292"/>
      <c r="T87" s="292"/>
    </row>
    <row r="88" spans="1:20">
      <c r="A88" s="1014"/>
      <c r="B88" s="997"/>
      <c r="C88" s="206" t="s">
        <v>552</v>
      </c>
      <c r="D88" s="207">
        <v>0</v>
      </c>
      <c r="E88" s="217">
        <v>0</v>
      </c>
      <c r="F88" s="306">
        <v>0</v>
      </c>
      <c r="G88" s="306"/>
      <c r="H88" s="306"/>
      <c r="I88" s="306"/>
      <c r="J88" s="306"/>
      <c r="K88" s="306"/>
      <c r="L88" s="306"/>
      <c r="M88" s="306"/>
      <c r="N88" s="306"/>
      <c r="O88" s="308"/>
      <c r="P88" s="219">
        <f>SUM(D88:O88)</f>
        <v>0</v>
      </c>
      <c r="Q88" s="292"/>
      <c r="R88" s="292"/>
      <c r="S88" s="292"/>
      <c r="T88" s="292"/>
    </row>
    <row r="89" spans="1:20" ht="15.75" thickBot="1">
      <c r="A89" s="1015"/>
      <c r="B89" s="1001"/>
      <c r="C89" s="220" t="s">
        <v>553</v>
      </c>
      <c r="D89" s="221" t="e">
        <f>D88/D87</f>
        <v>#DIV/0!</v>
      </c>
      <c r="E89" s="221" t="e">
        <f t="shared" ref="E89" si="52">E88/E87</f>
        <v>#DIV/0!</v>
      </c>
      <c r="F89" s="309" t="e">
        <f>F88/F87</f>
        <v>#DIV/0!</v>
      </c>
      <c r="G89" s="309" t="e">
        <f>G88/G87</f>
        <v>#DIV/0!</v>
      </c>
      <c r="H89" s="309" t="e">
        <f>H88/H87</f>
        <v>#DIV/0!</v>
      </c>
      <c r="I89" s="309" t="e">
        <f>I88/I87</f>
        <v>#DIV/0!</v>
      </c>
      <c r="J89" s="309" t="e">
        <f t="shared" ref="J89:P89" si="53">J88/J87</f>
        <v>#DIV/0!</v>
      </c>
      <c r="K89" s="309" t="e">
        <f t="shared" si="53"/>
        <v>#DIV/0!</v>
      </c>
      <c r="L89" s="309" t="e">
        <f t="shared" si="53"/>
        <v>#DIV/0!</v>
      </c>
      <c r="M89" s="309" t="e">
        <f t="shared" si="53"/>
        <v>#DIV/0!</v>
      </c>
      <c r="N89" s="309" t="e">
        <f t="shared" si="53"/>
        <v>#DIV/0!</v>
      </c>
      <c r="O89" s="310" t="e">
        <f t="shared" si="53"/>
        <v>#DIV/0!</v>
      </c>
      <c r="P89" s="322" t="e">
        <f t="shared" si="53"/>
        <v>#DIV/0!</v>
      </c>
      <c r="Q89" s="292"/>
      <c r="R89" s="292"/>
      <c r="S89" s="292"/>
      <c r="T89" s="292"/>
    </row>
    <row r="90" spans="1:20">
      <c r="A90" s="1013" t="s">
        <v>442</v>
      </c>
      <c r="B90" s="1000" t="s">
        <v>443</v>
      </c>
      <c r="C90" s="495" t="s">
        <v>554</v>
      </c>
      <c r="D90" s="225">
        <v>9</v>
      </c>
      <c r="E90" s="226">
        <v>0</v>
      </c>
      <c r="F90" s="314">
        <v>4</v>
      </c>
      <c r="G90" s="314"/>
      <c r="H90" s="314"/>
      <c r="I90" s="314"/>
      <c r="J90" s="314"/>
      <c r="K90" s="314"/>
      <c r="L90" s="314"/>
      <c r="M90" s="314"/>
      <c r="N90" s="314"/>
      <c r="O90" s="320"/>
      <c r="P90" s="229">
        <f t="shared" ref="P90:P91" si="54">SUM(D90:O90)</f>
        <v>13</v>
      </c>
      <c r="Q90" s="292"/>
      <c r="R90" s="292"/>
      <c r="S90" s="292"/>
      <c r="T90" s="292"/>
    </row>
    <row r="91" spans="1:20">
      <c r="A91" s="1014"/>
      <c r="B91" s="997"/>
      <c r="C91" s="206" t="s">
        <v>552</v>
      </c>
      <c r="D91" s="207">
        <v>0</v>
      </c>
      <c r="E91" s="217">
        <v>0</v>
      </c>
      <c r="F91" s="306">
        <v>0</v>
      </c>
      <c r="G91" s="306"/>
      <c r="H91" s="306"/>
      <c r="I91" s="306"/>
      <c r="J91" s="306"/>
      <c r="K91" s="306"/>
      <c r="L91" s="306"/>
      <c r="M91" s="306"/>
      <c r="N91" s="306"/>
      <c r="O91" s="308"/>
      <c r="P91" s="219">
        <f t="shared" si="54"/>
        <v>0</v>
      </c>
      <c r="Q91" s="292"/>
      <c r="R91" s="292"/>
      <c r="S91" s="292"/>
      <c r="T91" s="292"/>
    </row>
    <row r="92" spans="1:20" ht="15.75" thickBot="1">
      <c r="A92" s="1015"/>
      <c r="B92" s="1001"/>
      <c r="C92" s="220" t="s">
        <v>553</v>
      </c>
      <c r="D92" s="221">
        <f t="shared" ref="D92:E98" si="55">D91/D90</f>
        <v>0</v>
      </c>
      <c r="E92" s="221" t="e">
        <f t="shared" si="55"/>
        <v>#DIV/0!</v>
      </c>
      <c r="F92" s="309">
        <f t="shared" ref="E92:P104" si="56">F91/F90</f>
        <v>0</v>
      </c>
      <c r="G92" s="309" t="e">
        <f t="shared" si="56"/>
        <v>#DIV/0!</v>
      </c>
      <c r="H92" s="309" t="e">
        <f t="shared" si="56"/>
        <v>#DIV/0!</v>
      </c>
      <c r="I92" s="309" t="e">
        <f t="shared" si="56"/>
        <v>#DIV/0!</v>
      </c>
      <c r="J92" s="309" t="e">
        <f t="shared" si="56"/>
        <v>#DIV/0!</v>
      </c>
      <c r="K92" s="309" t="e">
        <f t="shared" si="56"/>
        <v>#DIV/0!</v>
      </c>
      <c r="L92" s="309" t="e">
        <f t="shared" si="56"/>
        <v>#DIV/0!</v>
      </c>
      <c r="M92" s="309" t="e">
        <f t="shared" si="56"/>
        <v>#DIV/0!</v>
      </c>
      <c r="N92" s="309" t="e">
        <f t="shared" si="56"/>
        <v>#DIV/0!</v>
      </c>
      <c r="O92" s="310" t="e">
        <f t="shared" si="56"/>
        <v>#DIV/0!</v>
      </c>
      <c r="P92" s="322">
        <f t="shared" si="56"/>
        <v>0</v>
      </c>
      <c r="Q92" s="292"/>
      <c r="R92" s="292"/>
      <c r="S92" s="292"/>
      <c r="T92" s="292"/>
    </row>
    <row r="93" spans="1:20">
      <c r="A93" s="1013" t="s">
        <v>611</v>
      </c>
      <c r="B93" s="1000" t="s">
        <v>612</v>
      </c>
      <c r="C93" s="495" t="s">
        <v>554</v>
      </c>
      <c r="D93" s="225">
        <v>29</v>
      </c>
      <c r="E93" s="226">
        <v>24</v>
      </c>
      <c r="F93" s="314">
        <v>9</v>
      </c>
      <c r="G93" s="314"/>
      <c r="H93" s="314"/>
      <c r="I93" s="314"/>
      <c r="J93" s="314"/>
      <c r="K93" s="314"/>
      <c r="L93" s="314"/>
      <c r="M93" s="314"/>
      <c r="N93" s="314"/>
      <c r="O93" s="320"/>
      <c r="P93" s="229">
        <f t="shared" ref="P93:P94" si="57">SUM(D93:O93)</f>
        <v>62</v>
      </c>
      <c r="Q93" s="292"/>
      <c r="R93" s="292"/>
      <c r="S93" s="292"/>
      <c r="T93" s="292"/>
    </row>
    <row r="94" spans="1:20">
      <c r="A94" s="1014"/>
      <c r="B94" s="997"/>
      <c r="C94" s="206" t="s">
        <v>552</v>
      </c>
      <c r="D94" s="207">
        <v>0</v>
      </c>
      <c r="E94" s="217">
        <v>1</v>
      </c>
      <c r="F94" s="306">
        <v>0</v>
      </c>
      <c r="G94" s="306"/>
      <c r="H94" s="306"/>
      <c r="I94" s="306"/>
      <c r="J94" s="306"/>
      <c r="K94" s="306"/>
      <c r="L94" s="306"/>
      <c r="M94" s="306"/>
      <c r="N94" s="306"/>
      <c r="O94" s="308"/>
      <c r="P94" s="219">
        <f t="shared" si="57"/>
        <v>1</v>
      </c>
      <c r="Q94" s="292"/>
      <c r="R94" s="292"/>
      <c r="S94" s="292"/>
      <c r="T94" s="292"/>
    </row>
    <row r="95" spans="1:20" ht="15.75" thickBot="1">
      <c r="A95" s="1015"/>
      <c r="B95" s="1001"/>
      <c r="C95" s="220" t="s">
        <v>553</v>
      </c>
      <c r="D95" s="221">
        <f t="shared" ref="D95" si="58">D94/D93</f>
        <v>0</v>
      </c>
      <c r="E95" s="221">
        <f t="shared" si="55"/>
        <v>4.1666666666666664E-2</v>
      </c>
      <c r="F95" s="309">
        <f t="shared" ref="F95:P95" si="59">F94/F93</f>
        <v>0</v>
      </c>
      <c r="G95" s="309" t="e">
        <f t="shared" si="59"/>
        <v>#DIV/0!</v>
      </c>
      <c r="H95" s="309" t="e">
        <f t="shared" si="59"/>
        <v>#DIV/0!</v>
      </c>
      <c r="I95" s="309" t="e">
        <f t="shared" si="59"/>
        <v>#DIV/0!</v>
      </c>
      <c r="J95" s="309" t="e">
        <f t="shared" si="59"/>
        <v>#DIV/0!</v>
      </c>
      <c r="K95" s="309" t="e">
        <f t="shared" si="59"/>
        <v>#DIV/0!</v>
      </c>
      <c r="L95" s="309" t="e">
        <f t="shared" si="59"/>
        <v>#DIV/0!</v>
      </c>
      <c r="M95" s="309" t="e">
        <f t="shared" si="59"/>
        <v>#DIV/0!</v>
      </c>
      <c r="N95" s="309" t="e">
        <f t="shared" si="59"/>
        <v>#DIV/0!</v>
      </c>
      <c r="O95" s="310" t="e">
        <f t="shared" si="59"/>
        <v>#DIV/0!</v>
      </c>
      <c r="P95" s="322">
        <f t="shared" si="59"/>
        <v>1.6129032258064516E-2</v>
      </c>
      <c r="Q95" s="292"/>
      <c r="R95" s="292"/>
      <c r="S95" s="292"/>
      <c r="T95" s="292"/>
    </row>
    <row r="96" spans="1:20">
      <c r="A96" s="1013" t="s">
        <v>444</v>
      </c>
      <c r="B96" s="1000" t="s">
        <v>445</v>
      </c>
      <c r="C96" s="495" t="s">
        <v>554</v>
      </c>
      <c r="D96" s="225">
        <v>0</v>
      </c>
      <c r="E96" s="226">
        <v>0</v>
      </c>
      <c r="F96" s="314">
        <v>0</v>
      </c>
      <c r="G96" s="314"/>
      <c r="H96" s="314"/>
      <c r="I96" s="314"/>
      <c r="J96" s="314"/>
      <c r="K96" s="314"/>
      <c r="L96" s="314"/>
      <c r="M96" s="314"/>
      <c r="N96" s="314"/>
      <c r="O96" s="320"/>
      <c r="P96" s="229">
        <f t="shared" ref="P96:P97" si="60">SUM(D96:O96)</f>
        <v>0</v>
      </c>
      <c r="Q96" s="292"/>
      <c r="R96" s="292"/>
      <c r="S96" s="292"/>
      <c r="T96" s="292"/>
    </row>
    <row r="97" spans="1:20">
      <c r="A97" s="1014"/>
      <c r="B97" s="997"/>
      <c r="C97" s="206" t="s">
        <v>552</v>
      </c>
      <c r="D97" s="207">
        <v>0</v>
      </c>
      <c r="E97" s="217">
        <v>0</v>
      </c>
      <c r="F97" s="306">
        <v>0</v>
      </c>
      <c r="G97" s="306"/>
      <c r="H97" s="306"/>
      <c r="I97" s="306"/>
      <c r="J97" s="306"/>
      <c r="K97" s="306"/>
      <c r="L97" s="306"/>
      <c r="M97" s="306"/>
      <c r="N97" s="306"/>
      <c r="O97" s="308"/>
      <c r="P97" s="219">
        <f t="shared" si="60"/>
        <v>0</v>
      </c>
      <c r="Q97" s="292"/>
      <c r="R97" s="292"/>
      <c r="S97" s="292"/>
      <c r="T97" s="292"/>
    </row>
    <row r="98" spans="1:20" ht="15.75" thickBot="1">
      <c r="A98" s="1015"/>
      <c r="B98" s="1001"/>
      <c r="C98" s="220" t="s">
        <v>553</v>
      </c>
      <c r="D98" s="221" t="e">
        <f t="shared" ref="D98" si="61">D97/D96</f>
        <v>#DIV/0!</v>
      </c>
      <c r="E98" s="221" t="e">
        <f t="shared" si="55"/>
        <v>#DIV/0!</v>
      </c>
      <c r="F98" s="309" t="e">
        <f t="shared" ref="F98:P98" si="62">F97/F96</f>
        <v>#DIV/0!</v>
      </c>
      <c r="G98" s="309" t="e">
        <f t="shared" si="62"/>
        <v>#DIV/0!</v>
      </c>
      <c r="H98" s="309" t="e">
        <f t="shared" si="62"/>
        <v>#DIV/0!</v>
      </c>
      <c r="I98" s="309" t="e">
        <f t="shared" si="62"/>
        <v>#DIV/0!</v>
      </c>
      <c r="J98" s="309" t="e">
        <f t="shared" si="62"/>
        <v>#DIV/0!</v>
      </c>
      <c r="K98" s="309" t="e">
        <f t="shared" si="62"/>
        <v>#DIV/0!</v>
      </c>
      <c r="L98" s="309" t="e">
        <f t="shared" si="62"/>
        <v>#DIV/0!</v>
      </c>
      <c r="M98" s="309" t="e">
        <f t="shared" si="62"/>
        <v>#DIV/0!</v>
      </c>
      <c r="N98" s="309" t="e">
        <f t="shared" si="62"/>
        <v>#DIV/0!</v>
      </c>
      <c r="O98" s="310" t="e">
        <f t="shared" si="62"/>
        <v>#DIV/0!</v>
      </c>
      <c r="P98" s="322" t="e">
        <f t="shared" si="62"/>
        <v>#DIV/0!</v>
      </c>
      <c r="Q98" s="292"/>
      <c r="R98" s="292"/>
      <c r="S98" s="292"/>
      <c r="T98" s="292"/>
    </row>
    <row r="99" spans="1:20">
      <c r="A99" s="1016" t="s">
        <v>610</v>
      </c>
      <c r="B99" s="1000" t="s">
        <v>635</v>
      </c>
      <c r="C99" s="495" t="s">
        <v>554</v>
      </c>
      <c r="D99" s="225">
        <v>47</v>
      </c>
      <c r="E99" s="226">
        <v>64</v>
      </c>
      <c r="F99" s="314">
        <v>45</v>
      </c>
      <c r="G99" s="314"/>
      <c r="H99" s="314"/>
      <c r="I99" s="314"/>
      <c r="J99" s="314"/>
      <c r="K99" s="314"/>
      <c r="L99" s="314"/>
      <c r="M99" s="314"/>
      <c r="N99" s="314"/>
      <c r="O99" s="320"/>
      <c r="P99" s="229">
        <f t="shared" ref="P99:P100" si="63">SUM(D99:O99)</f>
        <v>156</v>
      </c>
      <c r="Q99" s="292"/>
      <c r="R99" s="292"/>
      <c r="S99" s="292"/>
      <c r="T99" s="292"/>
    </row>
    <row r="100" spans="1:20">
      <c r="A100" s="1017"/>
      <c r="B100" s="997"/>
      <c r="C100" s="206" t="s">
        <v>552</v>
      </c>
      <c r="D100" s="207">
        <v>0</v>
      </c>
      <c r="E100" s="217">
        <v>2</v>
      </c>
      <c r="F100" s="306">
        <v>0</v>
      </c>
      <c r="G100" s="306"/>
      <c r="H100" s="306"/>
      <c r="I100" s="306"/>
      <c r="J100" s="306"/>
      <c r="K100" s="306"/>
      <c r="L100" s="306"/>
      <c r="M100" s="306"/>
      <c r="N100" s="306"/>
      <c r="O100" s="308"/>
      <c r="P100" s="219">
        <f t="shared" si="63"/>
        <v>2</v>
      </c>
      <c r="Q100" s="292"/>
      <c r="R100" s="292"/>
      <c r="S100" s="292"/>
      <c r="T100" s="292"/>
    </row>
    <row r="101" spans="1:20" ht="15.75" thickBot="1">
      <c r="A101" s="1018"/>
      <c r="B101" s="1001"/>
      <c r="C101" s="220" t="s">
        <v>553</v>
      </c>
      <c r="D101" s="309">
        <f t="shared" ref="D101" si="64">D100/D99</f>
        <v>0</v>
      </c>
      <c r="E101" s="309">
        <f t="shared" si="56"/>
        <v>3.125E-2</v>
      </c>
      <c r="F101" s="309">
        <f t="shared" ref="F101:P101" si="65">F100/F99</f>
        <v>0</v>
      </c>
      <c r="G101" s="309" t="e">
        <f t="shared" si="65"/>
        <v>#DIV/0!</v>
      </c>
      <c r="H101" s="309" t="e">
        <f t="shared" si="65"/>
        <v>#DIV/0!</v>
      </c>
      <c r="I101" s="309" t="e">
        <f t="shared" si="65"/>
        <v>#DIV/0!</v>
      </c>
      <c r="J101" s="309" t="e">
        <f t="shared" si="65"/>
        <v>#DIV/0!</v>
      </c>
      <c r="K101" s="309" t="e">
        <f t="shared" si="65"/>
        <v>#DIV/0!</v>
      </c>
      <c r="L101" s="309" t="e">
        <f t="shared" si="65"/>
        <v>#DIV/0!</v>
      </c>
      <c r="M101" s="309" t="e">
        <f t="shared" si="65"/>
        <v>#DIV/0!</v>
      </c>
      <c r="N101" s="309" t="e">
        <f t="shared" si="65"/>
        <v>#DIV/0!</v>
      </c>
      <c r="O101" s="310" t="e">
        <f t="shared" si="65"/>
        <v>#DIV/0!</v>
      </c>
      <c r="P101" s="322">
        <f t="shared" si="65"/>
        <v>1.282051282051282E-2</v>
      </c>
      <c r="Q101" s="292"/>
      <c r="R101" s="292"/>
      <c r="S101" s="292"/>
      <c r="T101" s="292"/>
    </row>
    <row r="102" spans="1:20">
      <c r="A102" s="1019" t="s">
        <v>666</v>
      </c>
      <c r="B102" s="1000" t="s">
        <v>667</v>
      </c>
      <c r="C102" s="495" t="s">
        <v>554</v>
      </c>
      <c r="D102" s="314">
        <v>0</v>
      </c>
      <c r="E102" s="323">
        <v>0</v>
      </c>
      <c r="F102" s="314">
        <v>2</v>
      </c>
      <c r="G102" s="314"/>
      <c r="H102" s="314"/>
      <c r="I102" s="314"/>
      <c r="J102" s="314"/>
      <c r="K102" s="314"/>
      <c r="L102" s="314"/>
      <c r="M102" s="314"/>
      <c r="N102" s="314"/>
      <c r="O102" s="320"/>
      <c r="P102" s="229">
        <f t="shared" ref="P102:P103" si="66">SUM(D102:O102)</f>
        <v>2</v>
      </c>
      <c r="Q102" s="292"/>
      <c r="R102" s="292"/>
      <c r="S102" s="292"/>
      <c r="T102" s="292"/>
    </row>
    <row r="103" spans="1:20">
      <c r="A103" s="1014"/>
      <c r="B103" s="997"/>
      <c r="C103" s="206" t="s">
        <v>552</v>
      </c>
      <c r="D103" s="306">
        <v>0</v>
      </c>
      <c r="E103" s="307">
        <v>0</v>
      </c>
      <c r="F103" s="306">
        <v>0</v>
      </c>
      <c r="G103" s="306"/>
      <c r="H103" s="306"/>
      <c r="I103" s="306"/>
      <c r="J103" s="306"/>
      <c r="K103" s="306"/>
      <c r="L103" s="306"/>
      <c r="M103" s="306"/>
      <c r="N103" s="306"/>
      <c r="O103" s="308"/>
      <c r="P103" s="219">
        <f t="shared" si="66"/>
        <v>0</v>
      </c>
      <c r="Q103" s="292"/>
      <c r="R103" s="292"/>
      <c r="S103" s="292"/>
      <c r="T103" s="292"/>
    </row>
    <row r="104" spans="1:20" ht="15.75" thickBot="1">
      <c r="A104" s="1015"/>
      <c r="B104" s="1001"/>
      <c r="C104" s="220" t="s">
        <v>553</v>
      </c>
      <c r="D104" s="309" t="e">
        <f t="shared" ref="D104" si="67">D103/D102</f>
        <v>#DIV/0!</v>
      </c>
      <c r="E104" s="309" t="e">
        <f t="shared" si="56"/>
        <v>#DIV/0!</v>
      </c>
      <c r="F104" s="309">
        <f t="shared" ref="F104:P104" si="68">F103/F102</f>
        <v>0</v>
      </c>
      <c r="G104" s="309" t="e">
        <f t="shared" si="68"/>
        <v>#DIV/0!</v>
      </c>
      <c r="H104" s="309" t="e">
        <f t="shared" si="68"/>
        <v>#DIV/0!</v>
      </c>
      <c r="I104" s="309" t="e">
        <f t="shared" si="68"/>
        <v>#DIV/0!</v>
      </c>
      <c r="J104" s="309" t="e">
        <f t="shared" si="68"/>
        <v>#DIV/0!</v>
      </c>
      <c r="K104" s="309" t="e">
        <f t="shared" si="68"/>
        <v>#DIV/0!</v>
      </c>
      <c r="L104" s="309" t="e">
        <f t="shared" si="68"/>
        <v>#DIV/0!</v>
      </c>
      <c r="M104" s="309" t="e">
        <f t="shared" si="68"/>
        <v>#DIV/0!</v>
      </c>
      <c r="N104" s="309" t="e">
        <f t="shared" si="68"/>
        <v>#DIV/0!</v>
      </c>
      <c r="O104" s="310" t="e">
        <f t="shared" si="68"/>
        <v>#DIV/0!</v>
      </c>
      <c r="P104" s="322">
        <f t="shared" si="68"/>
        <v>0</v>
      </c>
      <c r="Q104" s="292"/>
      <c r="R104" s="292"/>
      <c r="S104" s="292"/>
      <c r="T104" s="292"/>
    </row>
    <row r="105" spans="1:20">
      <c r="A105" s="1016"/>
      <c r="B105" s="1000"/>
      <c r="C105" s="495" t="s">
        <v>554</v>
      </c>
      <c r="D105" s="314"/>
      <c r="E105" s="323"/>
      <c r="F105" s="314"/>
      <c r="G105" s="314"/>
      <c r="H105" s="314"/>
      <c r="I105" s="314"/>
      <c r="J105" s="314"/>
      <c r="K105" s="314"/>
      <c r="L105" s="314"/>
      <c r="M105" s="314"/>
      <c r="N105" s="314"/>
      <c r="O105" s="320"/>
      <c r="P105" s="229">
        <f t="shared" ref="P105:P106" si="69">SUM(D105:O105)</f>
        <v>0</v>
      </c>
      <c r="Q105" s="292"/>
      <c r="R105" s="292"/>
      <c r="S105" s="292"/>
      <c r="T105" s="292"/>
    </row>
    <row r="106" spans="1:20">
      <c r="A106" s="1017"/>
      <c r="B106" s="997"/>
      <c r="C106" s="206" t="s">
        <v>552</v>
      </c>
      <c r="D106" s="306"/>
      <c r="E106" s="307"/>
      <c r="F106" s="306"/>
      <c r="G106" s="306"/>
      <c r="H106" s="306"/>
      <c r="I106" s="306"/>
      <c r="J106" s="306"/>
      <c r="K106" s="306"/>
      <c r="L106" s="306"/>
      <c r="M106" s="306"/>
      <c r="N106" s="306"/>
      <c r="O106" s="308"/>
      <c r="P106" s="219">
        <f t="shared" si="69"/>
        <v>0</v>
      </c>
      <c r="Q106" s="292"/>
      <c r="R106" s="292"/>
      <c r="S106" s="292"/>
      <c r="T106" s="292"/>
    </row>
    <row r="107" spans="1:20" ht="15.75" thickBot="1">
      <c r="A107" s="1018"/>
      <c r="B107" s="1001"/>
      <c r="C107" s="220" t="s">
        <v>553</v>
      </c>
      <c r="D107" s="309" t="e">
        <f t="shared" ref="D107:P113" si="70">D106/D105</f>
        <v>#DIV/0!</v>
      </c>
      <c r="E107" s="309" t="e">
        <f t="shared" si="70"/>
        <v>#DIV/0!</v>
      </c>
      <c r="F107" s="309" t="e">
        <f t="shared" si="70"/>
        <v>#DIV/0!</v>
      </c>
      <c r="G107" s="309" t="e">
        <f t="shared" si="70"/>
        <v>#DIV/0!</v>
      </c>
      <c r="H107" s="309" t="e">
        <f t="shared" si="70"/>
        <v>#DIV/0!</v>
      </c>
      <c r="I107" s="309" t="e">
        <f t="shared" si="70"/>
        <v>#DIV/0!</v>
      </c>
      <c r="J107" s="309" t="e">
        <f t="shared" si="70"/>
        <v>#DIV/0!</v>
      </c>
      <c r="K107" s="309" t="e">
        <f t="shared" si="70"/>
        <v>#DIV/0!</v>
      </c>
      <c r="L107" s="309" t="e">
        <f t="shared" si="70"/>
        <v>#DIV/0!</v>
      </c>
      <c r="M107" s="309" t="e">
        <f t="shared" si="70"/>
        <v>#DIV/0!</v>
      </c>
      <c r="N107" s="309" t="e">
        <f t="shared" si="70"/>
        <v>#DIV/0!</v>
      </c>
      <c r="O107" s="310" t="e">
        <f t="shared" si="70"/>
        <v>#DIV/0!</v>
      </c>
      <c r="P107" s="322" t="e">
        <f t="shared" si="70"/>
        <v>#DIV/0!</v>
      </c>
      <c r="Q107" s="292"/>
      <c r="R107" s="292"/>
      <c r="S107" s="292"/>
      <c r="T107" s="292"/>
    </row>
    <row r="108" spans="1:20">
      <c r="A108" s="1020"/>
      <c r="B108" s="1000"/>
      <c r="C108" s="495" t="s">
        <v>554</v>
      </c>
      <c r="D108" s="314"/>
      <c r="E108" s="323"/>
      <c r="F108" s="314"/>
      <c r="G108" s="314"/>
      <c r="H108" s="314"/>
      <c r="I108" s="314"/>
      <c r="J108" s="314"/>
      <c r="K108" s="314"/>
      <c r="L108" s="314"/>
      <c r="M108" s="314"/>
      <c r="N108" s="314"/>
      <c r="O108" s="320"/>
      <c r="P108" s="229">
        <f t="shared" ref="P108:P109" si="71">SUM(D108:O108)</f>
        <v>0</v>
      </c>
      <c r="Q108" s="292"/>
      <c r="R108" s="292"/>
      <c r="S108" s="292"/>
      <c r="T108" s="292"/>
    </row>
    <row r="109" spans="1:20">
      <c r="A109" s="1021"/>
      <c r="B109" s="997"/>
      <c r="C109" s="206" t="s">
        <v>552</v>
      </c>
      <c r="D109" s="306"/>
      <c r="E109" s="307"/>
      <c r="F109" s="306"/>
      <c r="G109" s="306"/>
      <c r="H109" s="306"/>
      <c r="I109" s="306"/>
      <c r="J109" s="306"/>
      <c r="K109" s="306"/>
      <c r="L109" s="306"/>
      <c r="M109" s="306"/>
      <c r="N109" s="306"/>
      <c r="O109" s="308"/>
      <c r="P109" s="219">
        <f t="shared" si="71"/>
        <v>0</v>
      </c>
      <c r="Q109" s="292"/>
      <c r="R109" s="292"/>
      <c r="S109" s="292"/>
      <c r="T109" s="292"/>
    </row>
    <row r="110" spans="1:20" ht="15.75" thickBot="1">
      <c r="A110" s="1022"/>
      <c r="B110" s="1001"/>
      <c r="C110" s="220" t="s">
        <v>553</v>
      </c>
      <c r="D110" s="309" t="e">
        <f t="shared" si="70"/>
        <v>#DIV/0!</v>
      </c>
      <c r="E110" s="309" t="e">
        <f t="shared" si="70"/>
        <v>#DIV/0!</v>
      </c>
      <c r="F110" s="309" t="e">
        <f t="shared" si="70"/>
        <v>#DIV/0!</v>
      </c>
      <c r="G110" s="309" t="e">
        <f t="shared" si="70"/>
        <v>#DIV/0!</v>
      </c>
      <c r="H110" s="309" t="e">
        <f t="shared" si="70"/>
        <v>#DIV/0!</v>
      </c>
      <c r="I110" s="309" t="e">
        <f t="shared" si="70"/>
        <v>#DIV/0!</v>
      </c>
      <c r="J110" s="309" t="e">
        <f t="shared" si="70"/>
        <v>#DIV/0!</v>
      </c>
      <c r="K110" s="309" t="e">
        <f t="shared" si="70"/>
        <v>#DIV/0!</v>
      </c>
      <c r="L110" s="309" t="e">
        <f t="shared" si="70"/>
        <v>#DIV/0!</v>
      </c>
      <c r="M110" s="309" t="e">
        <f t="shared" si="70"/>
        <v>#DIV/0!</v>
      </c>
      <c r="N110" s="309" t="e">
        <f t="shared" si="70"/>
        <v>#DIV/0!</v>
      </c>
      <c r="O110" s="310" t="e">
        <f t="shared" si="70"/>
        <v>#DIV/0!</v>
      </c>
      <c r="P110" s="322" t="e">
        <f t="shared" si="70"/>
        <v>#DIV/0!</v>
      </c>
      <c r="Q110" s="292"/>
      <c r="R110" s="292"/>
      <c r="S110" s="292"/>
      <c r="T110" s="292"/>
    </row>
    <row r="111" spans="1:20">
      <c r="A111" s="1020"/>
      <c r="B111" s="1000"/>
      <c r="C111" s="495" t="s">
        <v>554</v>
      </c>
      <c r="D111" s="314"/>
      <c r="E111" s="323"/>
      <c r="F111" s="314"/>
      <c r="G111" s="314"/>
      <c r="H111" s="314"/>
      <c r="I111" s="314"/>
      <c r="J111" s="314"/>
      <c r="K111" s="314"/>
      <c r="L111" s="314"/>
      <c r="M111" s="314"/>
      <c r="N111" s="314"/>
      <c r="O111" s="320"/>
      <c r="P111" s="229">
        <f t="shared" ref="P111:P112" si="72">SUM(D111:O111)</f>
        <v>0</v>
      </c>
      <c r="Q111" s="292"/>
      <c r="R111" s="292"/>
      <c r="S111" s="292"/>
      <c r="T111" s="292"/>
    </row>
    <row r="112" spans="1:20">
      <c r="A112" s="1021"/>
      <c r="B112" s="997"/>
      <c r="C112" s="206" t="s">
        <v>552</v>
      </c>
      <c r="D112" s="306"/>
      <c r="E112" s="307"/>
      <c r="F112" s="306"/>
      <c r="G112" s="306"/>
      <c r="H112" s="306"/>
      <c r="I112" s="306"/>
      <c r="J112" s="306"/>
      <c r="K112" s="306"/>
      <c r="L112" s="306"/>
      <c r="M112" s="306"/>
      <c r="N112" s="306"/>
      <c r="O112" s="308"/>
      <c r="P112" s="219">
        <f t="shared" si="72"/>
        <v>0</v>
      </c>
      <c r="Q112" s="292"/>
      <c r="R112" s="292"/>
      <c r="S112" s="292"/>
      <c r="T112" s="292"/>
    </row>
    <row r="113" spans="1:20" ht="15.75" thickBot="1">
      <c r="A113" s="1022"/>
      <c r="B113" s="1001"/>
      <c r="C113" s="220" t="s">
        <v>553</v>
      </c>
      <c r="D113" s="309" t="e">
        <f t="shared" si="70"/>
        <v>#DIV/0!</v>
      </c>
      <c r="E113" s="309" t="e">
        <f t="shared" si="70"/>
        <v>#DIV/0!</v>
      </c>
      <c r="F113" s="309" t="e">
        <f t="shared" si="70"/>
        <v>#DIV/0!</v>
      </c>
      <c r="G113" s="309" t="e">
        <f t="shared" si="70"/>
        <v>#DIV/0!</v>
      </c>
      <c r="H113" s="309" t="e">
        <f t="shared" si="70"/>
        <v>#DIV/0!</v>
      </c>
      <c r="I113" s="309" t="e">
        <f t="shared" si="70"/>
        <v>#DIV/0!</v>
      </c>
      <c r="J113" s="309" t="e">
        <f t="shared" si="70"/>
        <v>#DIV/0!</v>
      </c>
      <c r="K113" s="309" t="e">
        <f t="shared" si="70"/>
        <v>#DIV/0!</v>
      </c>
      <c r="L113" s="309" t="e">
        <f t="shared" si="70"/>
        <v>#DIV/0!</v>
      </c>
      <c r="M113" s="309" t="e">
        <f t="shared" si="70"/>
        <v>#DIV/0!</v>
      </c>
      <c r="N113" s="309" t="e">
        <f t="shared" si="70"/>
        <v>#DIV/0!</v>
      </c>
      <c r="O113" s="310" t="e">
        <f t="shared" si="70"/>
        <v>#DIV/0!</v>
      </c>
      <c r="P113" s="322" t="e">
        <f t="shared" si="70"/>
        <v>#DIV/0!</v>
      </c>
      <c r="Q113" s="292"/>
      <c r="R113" s="292"/>
      <c r="S113" s="292"/>
      <c r="T113" s="292"/>
    </row>
    <row r="114" spans="1:20">
      <c r="A114" s="292"/>
      <c r="B114" s="292"/>
      <c r="C114" s="292"/>
      <c r="D114" s="293"/>
      <c r="E114" s="293" t="s">
        <v>193</v>
      </c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2"/>
      <c r="R114" s="292"/>
      <c r="S114" s="292"/>
      <c r="T114" s="292"/>
    </row>
    <row r="115" spans="1:20">
      <c r="A115" s="292"/>
      <c r="B115" s="292"/>
      <c r="C115" s="292"/>
      <c r="D115" s="293"/>
      <c r="E115" s="293" t="s">
        <v>194</v>
      </c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2"/>
      <c r="R115" s="292"/>
      <c r="S115" s="292"/>
      <c r="T115" s="292"/>
    </row>
    <row r="116" spans="1:20">
      <c r="A116" s="292"/>
      <c r="B116" s="292"/>
      <c r="C116" s="292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2"/>
      <c r="R116" s="292"/>
      <c r="S116" s="292"/>
      <c r="T116" s="292"/>
    </row>
    <row r="117" spans="1:20" ht="18">
      <c r="A117" s="292"/>
      <c r="B117" s="292"/>
      <c r="C117" s="328" t="s">
        <v>304</v>
      </c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2"/>
      <c r="R117" s="292"/>
      <c r="S117" s="292"/>
      <c r="T117" s="292"/>
    </row>
    <row r="118" spans="1:20">
      <c r="A118" s="292"/>
      <c r="B118" s="292"/>
      <c r="C118" s="292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2"/>
      <c r="R118" s="292"/>
      <c r="S118" s="292"/>
      <c r="T118" s="292"/>
    </row>
    <row r="119" spans="1:20">
      <c r="A119" s="292"/>
      <c r="B119" s="292"/>
      <c r="C119" s="193" t="s">
        <v>195</v>
      </c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2"/>
      <c r="R119" s="292"/>
      <c r="S119" s="292"/>
      <c r="T119" s="292"/>
    </row>
    <row r="120" spans="1:20" ht="15.75" thickBot="1">
      <c r="A120" s="292"/>
      <c r="B120" s="292"/>
      <c r="C120" s="292"/>
      <c r="D120" s="329" t="s">
        <v>137</v>
      </c>
      <c r="E120" s="330" t="s">
        <v>2</v>
      </c>
      <c r="F120" s="329" t="s">
        <v>3</v>
      </c>
      <c r="G120" s="329" t="s">
        <v>4</v>
      </c>
      <c r="H120" s="329" t="s">
        <v>5</v>
      </c>
      <c r="I120" s="329" t="s">
        <v>6</v>
      </c>
      <c r="J120" s="329" t="s">
        <v>7</v>
      </c>
      <c r="K120" s="329" t="s">
        <v>8</v>
      </c>
      <c r="L120" s="329" t="s">
        <v>9</v>
      </c>
      <c r="M120" s="329" t="s">
        <v>10</v>
      </c>
      <c r="N120" s="329" t="s">
        <v>11</v>
      </c>
      <c r="O120" s="329" t="s">
        <v>12</v>
      </c>
      <c r="P120" s="329" t="s">
        <v>570</v>
      </c>
      <c r="Q120" s="292"/>
      <c r="R120" s="292"/>
      <c r="S120" s="292"/>
      <c r="T120" s="292"/>
    </row>
    <row r="121" spans="1:20" ht="15.75" thickTop="1">
      <c r="A121" s="292"/>
      <c r="B121" s="331" t="str">
        <f>($B$12)</f>
        <v>MMK</v>
      </c>
      <c r="C121" s="500" t="str">
        <f t="shared" ref="C121:P121" si="73">C13</f>
        <v>Số phế phẩm</v>
      </c>
      <c r="D121" s="499">
        <f t="shared" si="73"/>
        <v>0</v>
      </c>
      <c r="E121" s="499">
        <f t="shared" si="73"/>
        <v>0</v>
      </c>
      <c r="F121" s="499">
        <f t="shared" si="73"/>
        <v>0</v>
      </c>
      <c r="G121" s="499">
        <f t="shared" si="73"/>
        <v>0</v>
      </c>
      <c r="H121" s="499">
        <f t="shared" si="73"/>
        <v>0</v>
      </c>
      <c r="I121" s="499">
        <f t="shared" si="73"/>
        <v>0</v>
      </c>
      <c r="J121" s="499">
        <f t="shared" si="73"/>
        <v>0</v>
      </c>
      <c r="K121" s="499">
        <f t="shared" si="73"/>
        <v>0</v>
      </c>
      <c r="L121" s="499">
        <f t="shared" si="73"/>
        <v>0</v>
      </c>
      <c r="M121" s="499">
        <f t="shared" si="73"/>
        <v>0</v>
      </c>
      <c r="N121" s="499">
        <f t="shared" si="73"/>
        <v>0</v>
      </c>
      <c r="O121" s="499">
        <f t="shared" si="73"/>
        <v>0</v>
      </c>
      <c r="P121" s="499">
        <f t="shared" si="73"/>
        <v>0</v>
      </c>
      <c r="Q121" s="292"/>
      <c r="R121" s="292"/>
      <c r="S121" s="292"/>
      <c r="T121" s="292"/>
    </row>
    <row r="122" spans="1:20">
      <c r="A122" s="292"/>
      <c r="B122" s="387" t="str">
        <f>($B$15)</f>
        <v>TWM</v>
      </c>
      <c r="C122" s="499" t="str">
        <f t="shared" ref="C122:P122" si="74">C16</f>
        <v>Số phế phẩm</v>
      </c>
      <c r="D122" s="499">
        <f t="shared" si="74"/>
        <v>0</v>
      </c>
      <c r="E122" s="499">
        <f t="shared" si="74"/>
        <v>0</v>
      </c>
      <c r="F122" s="499">
        <f t="shared" si="74"/>
        <v>0</v>
      </c>
      <c r="G122" s="499">
        <f t="shared" si="74"/>
        <v>0</v>
      </c>
      <c r="H122" s="499">
        <f t="shared" si="74"/>
        <v>0</v>
      </c>
      <c r="I122" s="499">
        <f t="shared" si="74"/>
        <v>0</v>
      </c>
      <c r="J122" s="499">
        <f t="shared" si="74"/>
        <v>0</v>
      </c>
      <c r="K122" s="499">
        <f t="shared" si="74"/>
        <v>0</v>
      </c>
      <c r="L122" s="499">
        <f t="shared" si="74"/>
        <v>0</v>
      </c>
      <c r="M122" s="499">
        <f t="shared" si="74"/>
        <v>0</v>
      </c>
      <c r="N122" s="499">
        <f t="shared" si="74"/>
        <v>0</v>
      </c>
      <c r="O122" s="499">
        <f t="shared" si="74"/>
        <v>0</v>
      </c>
      <c r="P122" s="499">
        <f t="shared" si="74"/>
        <v>0</v>
      </c>
      <c r="Q122" s="292"/>
      <c r="R122" s="292"/>
      <c r="S122" s="292"/>
      <c r="T122" s="292"/>
    </row>
    <row r="123" spans="1:20">
      <c r="A123" s="292"/>
      <c r="B123" s="387" t="str">
        <f>($B$18)</f>
        <v>ＤＧＭ</v>
      </c>
      <c r="C123" s="499" t="str">
        <f t="shared" ref="C123:P123" si="75">C19</f>
        <v>Số phế phẩm</v>
      </c>
      <c r="D123" s="499">
        <f t="shared" si="75"/>
        <v>0</v>
      </c>
      <c r="E123" s="499">
        <f t="shared" si="75"/>
        <v>0</v>
      </c>
      <c r="F123" s="499">
        <f t="shared" si="75"/>
        <v>0</v>
      </c>
      <c r="G123" s="499">
        <f t="shared" si="75"/>
        <v>0</v>
      </c>
      <c r="H123" s="499">
        <f t="shared" si="75"/>
        <v>0</v>
      </c>
      <c r="I123" s="499">
        <f t="shared" si="75"/>
        <v>0</v>
      </c>
      <c r="J123" s="499">
        <f t="shared" si="75"/>
        <v>0</v>
      </c>
      <c r="K123" s="499">
        <f t="shared" si="75"/>
        <v>0</v>
      </c>
      <c r="L123" s="499">
        <f t="shared" si="75"/>
        <v>0</v>
      </c>
      <c r="M123" s="499">
        <f t="shared" si="75"/>
        <v>0</v>
      </c>
      <c r="N123" s="499">
        <f t="shared" si="75"/>
        <v>0</v>
      </c>
      <c r="O123" s="499">
        <f t="shared" si="75"/>
        <v>0</v>
      </c>
      <c r="P123" s="499">
        <f t="shared" si="75"/>
        <v>0</v>
      </c>
      <c r="Q123" s="292"/>
      <c r="R123" s="292"/>
      <c r="S123" s="292"/>
      <c r="T123" s="292"/>
    </row>
    <row r="124" spans="1:20">
      <c r="A124" s="292"/>
      <c r="B124" s="387" t="str">
        <f>($B$21)</f>
        <v>TKM</v>
      </c>
      <c r="C124" s="499" t="str">
        <f t="shared" ref="C124:P124" si="76">C22</f>
        <v>Số phế phẩm</v>
      </c>
      <c r="D124" s="499">
        <f t="shared" si="76"/>
        <v>0</v>
      </c>
      <c r="E124" s="499">
        <f t="shared" si="76"/>
        <v>0</v>
      </c>
      <c r="F124" s="499">
        <f t="shared" si="76"/>
        <v>0</v>
      </c>
      <c r="G124" s="499">
        <f t="shared" si="76"/>
        <v>0</v>
      </c>
      <c r="H124" s="499">
        <f t="shared" si="76"/>
        <v>0</v>
      </c>
      <c r="I124" s="499">
        <f t="shared" si="76"/>
        <v>0</v>
      </c>
      <c r="J124" s="499">
        <f t="shared" si="76"/>
        <v>0</v>
      </c>
      <c r="K124" s="499">
        <f t="shared" si="76"/>
        <v>0</v>
      </c>
      <c r="L124" s="499">
        <f t="shared" si="76"/>
        <v>0</v>
      </c>
      <c r="M124" s="499">
        <f t="shared" si="76"/>
        <v>0</v>
      </c>
      <c r="N124" s="499">
        <f t="shared" si="76"/>
        <v>0</v>
      </c>
      <c r="O124" s="499">
        <f t="shared" si="76"/>
        <v>0</v>
      </c>
      <c r="P124" s="499">
        <f t="shared" si="76"/>
        <v>0</v>
      </c>
      <c r="Q124" s="292"/>
      <c r="R124" s="292"/>
      <c r="S124" s="292"/>
      <c r="T124" s="292"/>
    </row>
    <row r="125" spans="1:20">
      <c r="A125" s="292"/>
      <c r="B125" s="387" t="str">
        <f>($B$24)</f>
        <v>VNM</v>
      </c>
      <c r="C125" s="499" t="str">
        <f t="shared" ref="C125:P125" si="77">C25</f>
        <v>Số phế phẩm</v>
      </c>
      <c r="D125" s="499">
        <f t="shared" si="77"/>
        <v>0</v>
      </c>
      <c r="E125" s="499">
        <f t="shared" si="77"/>
        <v>0</v>
      </c>
      <c r="F125" s="499">
        <f t="shared" si="77"/>
        <v>0</v>
      </c>
      <c r="G125" s="499">
        <f t="shared" si="77"/>
        <v>0</v>
      </c>
      <c r="H125" s="499">
        <f t="shared" si="77"/>
        <v>0</v>
      </c>
      <c r="I125" s="499">
        <f t="shared" si="77"/>
        <v>0</v>
      </c>
      <c r="J125" s="499">
        <f t="shared" si="77"/>
        <v>0</v>
      </c>
      <c r="K125" s="499">
        <f t="shared" si="77"/>
        <v>0</v>
      </c>
      <c r="L125" s="499">
        <f t="shared" si="77"/>
        <v>0</v>
      </c>
      <c r="M125" s="499">
        <f t="shared" si="77"/>
        <v>0</v>
      </c>
      <c r="N125" s="499">
        <f t="shared" si="77"/>
        <v>0</v>
      </c>
      <c r="O125" s="499">
        <f t="shared" si="77"/>
        <v>0</v>
      </c>
      <c r="P125" s="499">
        <f t="shared" si="77"/>
        <v>0</v>
      </c>
      <c r="Q125" s="292"/>
      <c r="R125" s="292"/>
      <c r="S125" s="292"/>
      <c r="T125" s="292"/>
    </row>
    <row r="126" spans="1:20">
      <c r="A126" s="292"/>
      <c r="B126" s="387" t="str">
        <f>($B$27)</f>
        <v>PUNCH</v>
      </c>
      <c r="C126" s="499" t="str">
        <f t="shared" ref="C126:P126" si="78">C28</f>
        <v>Số phế phẩm</v>
      </c>
      <c r="D126" s="499">
        <f t="shared" si="78"/>
        <v>0</v>
      </c>
      <c r="E126" s="499">
        <f t="shared" si="78"/>
        <v>0</v>
      </c>
      <c r="F126" s="499">
        <f t="shared" si="78"/>
        <v>0</v>
      </c>
      <c r="G126" s="499">
        <f t="shared" si="78"/>
        <v>0</v>
      </c>
      <c r="H126" s="499">
        <f t="shared" si="78"/>
        <v>0</v>
      </c>
      <c r="I126" s="499">
        <f t="shared" si="78"/>
        <v>0</v>
      </c>
      <c r="J126" s="499">
        <f t="shared" si="78"/>
        <v>0</v>
      </c>
      <c r="K126" s="499">
        <f t="shared" si="78"/>
        <v>0</v>
      </c>
      <c r="L126" s="499">
        <f t="shared" si="78"/>
        <v>0</v>
      </c>
      <c r="M126" s="499">
        <f t="shared" si="78"/>
        <v>0</v>
      </c>
      <c r="N126" s="499">
        <f t="shared" si="78"/>
        <v>0</v>
      </c>
      <c r="O126" s="499">
        <f t="shared" si="78"/>
        <v>0</v>
      </c>
      <c r="P126" s="499">
        <f t="shared" si="78"/>
        <v>0</v>
      </c>
      <c r="Q126" s="292"/>
      <c r="R126" s="292"/>
      <c r="S126" s="292"/>
      <c r="T126" s="292"/>
    </row>
    <row r="127" spans="1:20">
      <c r="A127" s="292"/>
      <c r="B127" s="387" t="str">
        <f>($B$30)</f>
        <v>CAO SU VIET</v>
      </c>
      <c r="C127" s="499" t="str">
        <f t="shared" ref="C127:P127" si="79">C31</f>
        <v>Số phế phẩm</v>
      </c>
      <c r="D127" s="499">
        <f t="shared" si="79"/>
        <v>0</v>
      </c>
      <c r="E127" s="499">
        <f t="shared" si="79"/>
        <v>0</v>
      </c>
      <c r="F127" s="499">
        <f t="shared" si="79"/>
        <v>0</v>
      </c>
      <c r="G127" s="499">
        <f t="shared" si="79"/>
        <v>0</v>
      </c>
      <c r="H127" s="499">
        <f t="shared" si="79"/>
        <v>0</v>
      </c>
      <c r="I127" s="499">
        <f t="shared" si="79"/>
        <v>0</v>
      </c>
      <c r="J127" s="499">
        <f t="shared" si="79"/>
        <v>0</v>
      </c>
      <c r="K127" s="499">
        <f t="shared" si="79"/>
        <v>0</v>
      </c>
      <c r="L127" s="499">
        <f t="shared" si="79"/>
        <v>0</v>
      </c>
      <c r="M127" s="499">
        <f t="shared" si="79"/>
        <v>0</v>
      </c>
      <c r="N127" s="499">
        <f t="shared" si="79"/>
        <v>0</v>
      </c>
      <c r="O127" s="499">
        <f t="shared" si="79"/>
        <v>0</v>
      </c>
      <c r="P127" s="499">
        <f t="shared" si="79"/>
        <v>0</v>
      </c>
      <c r="Q127" s="292"/>
      <c r="R127" s="292"/>
      <c r="S127" s="292"/>
      <c r="T127" s="292"/>
    </row>
    <row r="128" spans="1:20">
      <c r="A128" s="292"/>
      <c r="B128" s="387" t="str">
        <f>($B$33)</f>
        <v>VINATECH</v>
      </c>
      <c r="C128" s="499" t="str">
        <f t="shared" ref="C128:P128" si="80">C34</f>
        <v>Số phế phẩm</v>
      </c>
      <c r="D128" s="499">
        <f t="shared" si="80"/>
        <v>0</v>
      </c>
      <c r="E128" s="499">
        <f t="shared" si="80"/>
        <v>0</v>
      </c>
      <c r="F128" s="499">
        <f t="shared" si="80"/>
        <v>0</v>
      </c>
      <c r="G128" s="499">
        <f t="shared" si="80"/>
        <v>0</v>
      </c>
      <c r="H128" s="499">
        <f t="shared" si="80"/>
        <v>0</v>
      </c>
      <c r="I128" s="499">
        <f t="shared" si="80"/>
        <v>0</v>
      </c>
      <c r="J128" s="499">
        <f t="shared" si="80"/>
        <v>0</v>
      </c>
      <c r="K128" s="499">
        <f t="shared" si="80"/>
        <v>0</v>
      </c>
      <c r="L128" s="499">
        <f t="shared" si="80"/>
        <v>0</v>
      </c>
      <c r="M128" s="499">
        <f t="shared" si="80"/>
        <v>0</v>
      </c>
      <c r="N128" s="499">
        <f t="shared" si="80"/>
        <v>0</v>
      </c>
      <c r="O128" s="499">
        <f t="shared" si="80"/>
        <v>0</v>
      </c>
      <c r="P128" s="499">
        <f t="shared" si="80"/>
        <v>0</v>
      </c>
      <c r="Q128" s="292"/>
      <c r="R128" s="292"/>
      <c r="S128" s="292"/>
      <c r="T128" s="292"/>
    </row>
    <row r="129" spans="1:20">
      <c r="A129" s="292"/>
      <c r="B129" s="387" t="str">
        <f>($B$36)</f>
        <v>KA SHIN</v>
      </c>
      <c r="C129" s="499" t="str">
        <f t="shared" ref="C129:P129" si="81">C37</f>
        <v>Số phế phẩm</v>
      </c>
      <c r="D129" s="499">
        <f t="shared" si="81"/>
        <v>0</v>
      </c>
      <c r="E129" s="499">
        <f t="shared" si="81"/>
        <v>0</v>
      </c>
      <c r="F129" s="499">
        <f t="shared" si="81"/>
        <v>0</v>
      </c>
      <c r="G129" s="499">
        <f t="shared" si="81"/>
        <v>0</v>
      </c>
      <c r="H129" s="499">
        <f>H36</f>
        <v>0</v>
      </c>
      <c r="I129" s="499">
        <f t="shared" si="81"/>
        <v>0</v>
      </c>
      <c r="J129" s="499">
        <f t="shared" si="81"/>
        <v>0</v>
      </c>
      <c r="K129" s="499">
        <f t="shared" si="81"/>
        <v>0</v>
      </c>
      <c r="L129" s="499">
        <f t="shared" si="81"/>
        <v>0</v>
      </c>
      <c r="M129" s="499">
        <f t="shared" si="81"/>
        <v>0</v>
      </c>
      <c r="N129" s="499">
        <f t="shared" si="81"/>
        <v>0</v>
      </c>
      <c r="O129" s="499">
        <f t="shared" si="81"/>
        <v>0</v>
      </c>
      <c r="P129" s="499">
        <f t="shared" si="81"/>
        <v>0</v>
      </c>
      <c r="Q129" s="292"/>
      <c r="R129" s="292"/>
      <c r="S129" s="292"/>
      <c r="T129" s="292"/>
    </row>
    <row r="130" spans="1:20">
      <c r="A130" s="292"/>
      <c r="B130" s="387" t="str">
        <f>($B$39)</f>
        <v>MINH THINH LOI</v>
      </c>
      <c r="C130" s="499" t="str">
        <f t="shared" ref="C130:P130" si="82">C40</f>
        <v>Số phế phẩm</v>
      </c>
      <c r="D130" s="499">
        <f t="shared" si="82"/>
        <v>0</v>
      </c>
      <c r="E130" s="499">
        <f t="shared" si="82"/>
        <v>0</v>
      </c>
      <c r="F130" s="499">
        <f t="shared" si="82"/>
        <v>0</v>
      </c>
      <c r="G130" s="499">
        <f t="shared" si="82"/>
        <v>0</v>
      </c>
      <c r="H130" s="499">
        <f t="shared" si="82"/>
        <v>0</v>
      </c>
      <c r="I130" s="499">
        <f t="shared" si="82"/>
        <v>0</v>
      </c>
      <c r="J130" s="499">
        <f t="shared" si="82"/>
        <v>0</v>
      </c>
      <c r="K130" s="499">
        <f t="shared" si="82"/>
        <v>0</v>
      </c>
      <c r="L130" s="499">
        <f t="shared" si="82"/>
        <v>0</v>
      </c>
      <c r="M130" s="499">
        <f t="shared" si="82"/>
        <v>0</v>
      </c>
      <c r="N130" s="499">
        <f t="shared" si="82"/>
        <v>0</v>
      </c>
      <c r="O130" s="499">
        <f t="shared" si="82"/>
        <v>0</v>
      </c>
      <c r="P130" s="499">
        <f t="shared" si="82"/>
        <v>0</v>
      </c>
      <c r="Q130" s="292"/>
      <c r="R130" s="292"/>
      <c r="S130" s="292"/>
      <c r="T130" s="292"/>
    </row>
    <row r="131" spans="1:20">
      <c r="A131" s="292"/>
      <c r="B131" s="387" t="str">
        <f>($B$42)</f>
        <v>KIWA</v>
      </c>
      <c r="C131" s="499" t="str">
        <f t="shared" ref="C131:P131" si="83">C43</f>
        <v>Số phế phẩm</v>
      </c>
      <c r="D131" s="499">
        <f t="shared" si="83"/>
        <v>0</v>
      </c>
      <c r="E131" s="499">
        <f t="shared" si="83"/>
        <v>1</v>
      </c>
      <c r="F131" s="499">
        <f t="shared" si="83"/>
        <v>4</v>
      </c>
      <c r="G131" s="499">
        <f t="shared" si="83"/>
        <v>0</v>
      </c>
      <c r="H131" s="499">
        <f t="shared" si="83"/>
        <v>0</v>
      </c>
      <c r="I131" s="499">
        <f t="shared" si="83"/>
        <v>0</v>
      </c>
      <c r="J131" s="499">
        <f t="shared" si="83"/>
        <v>0</v>
      </c>
      <c r="K131" s="499">
        <f t="shared" si="83"/>
        <v>0</v>
      </c>
      <c r="L131" s="499">
        <f t="shared" si="83"/>
        <v>0</v>
      </c>
      <c r="M131" s="499">
        <f t="shared" si="83"/>
        <v>0</v>
      </c>
      <c r="N131" s="499">
        <f t="shared" si="83"/>
        <v>0</v>
      </c>
      <c r="O131" s="499">
        <f t="shared" si="83"/>
        <v>0</v>
      </c>
      <c r="P131" s="499">
        <f t="shared" si="83"/>
        <v>5</v>
      </c>
      <c r="Q131" s="292"/>
      <c r="R131" s="292"/>
      <c r="S131" s="292"/>
      <c r="T131" s="292"/>
    </row>
    <row r="132" spans="1:20">
      <c r="A132" s="292"/>
      <c r="B132" s="387" t="str">
        <f>($B$45)</f>
        <v>LE HOANG ANH</v>
      </c>
      <c r="C132" s="499" t="str">
        <f t="shared" ref="C132:P132" si="84">C46</f>
        <v>Số phế phẩm</v>
      </c>
      <c r="D132" s="499">
        <f t="shared" si="84"/>
        <v>0</v>
      </c>
      <c r="E132" s="499">
        <f t="shared" si="84"/>
        <v>0</v>
      </c>
      <c r="F132" s="499">
        <f t="shared" si="84"/>
        <v>0</v>
      </c>
      <c r="G132" s="499">
        <f t="shared" si="84"/>
        <v>0</v>
      </c>
      <c r="H132" s="499">
        <f t="shared" si="84"/>
        <v>0</v>
      </c>
      <c r="I132" s="499">
        <f t="shared" si="84"/>
        <v>0</v>
      </c>
      <c r="J132" s="499">
        <f t="shared" si="84"/>
        <v>0</v>
      </c>
      <c r="K132" s="499">
        <f t="shared" si="84"/>
        <v>0</v>
      </c>
      <c r="L132" s="499">
        <f t="shared" si="84"/>
        <v>0</v>
      </c>
      <c r="M132" s="499">
        <f t="shared" si="84"/>
        <v>0</v>
      </c>
      <c r="N132" s="499">
        <f t="shared" si="84"/>
        <v>0</v>
      </c>
      <c r="O132" s="499">
        <f t="shared" si="84"/>
        <v>0</v>
      </c>
      <c r="P132" s="499">
        <f t="shared" si="84"/>
        <v>0</v>
      </c>
      <c r="Q132" s="292"/>
      <c r="R132" s="292"/>
      <c r="S132" s="292"/>
      <c r="T132" s="292"/>
    </row>
    <row r="133" spans="1:20">
      <c r="A133" s="292"/>
      <c r="B133" s="387" t="str">
        <f>($B$48)</f>
        <v>ISHISEI</v>
      </c>
      <c r="C133" s="499" t="str">
        <f t="shared" ref="C133:P133" si="85">C49</f>
        <v>Số phế phẩm</v>
      </c>
      <c r="D133" s="499">
        <f t="shared" si="85"/>
        <v>0</v>
      </c>
      <c r="E133" s="499">
        <f t="shared" si="85"/>
        <v>0</v>
      </c>
      <c r="F133" s="499">
        <f t="shared" si="85"/>
        <v>0</v>
      </c>
      <c r="G133" s="499">
        <f>G49</f>
        <v>0</v>
      </c>
      <c r="H133" s="499">
        <f t="shared" si="85"/>
        <v>0</v>
      </c>
      <c r="I133" s="499">
        <f t="shared" si="85"/>
        <v>0</v>
      </c>
      <c r="J133" s="499">
        <f t="shared" si="85"/>
        <v>0</v>
      </c>
      <c r="K133" s="499">
        <f t="shared" si="85"/>
        <v>0</v>
      </c>
      <c r="L133" s="499">
        <f t="shared" si="85"/>
        <v>0</v>
      </c>
      <c r="M133" s="499">
        <f t="shared" si="85"/>
        <v>0</v>
      </c>
      <c r="N133" s="499">
        <f t="shared" si="85"/>
        <v>0</v>
      </c>
      <c r="O133" s="499">
        <f t="shared" si="85"/>
        <v>0</v>
      </c>
      <c r="P133" s="499">
        <f t="shared" si="85"/>
        <v>0</v>
      </c>
      <c r="Q133" s="292"/>
      <c r="R133" s="292"/>
      <c r="S133" s="292"/>
      <c r="T133" s="292"/>
    </row>
    <row r="134" spans="1:20">
      <c r="A134" s="292"/>
      <c r="B134" s="387" t="str">
        <f>($B$51)</f>
        <v>TRUNG PHAT</v>
      </c>
      <c r="C134" s="499" t="str">
        <f t="shared" ref="C134:P134" si="86">C52</f>
        <v>Số phế phẩm</v>
      </c>
      <c r="D134" s="499">
        <f t="shared" si="86"/>
        <v>0</v>
      </c>
      <c r="E134" s="499">
        <f t="shared" si="86"/>
        <v>0</v>
      </c>
      <c r="F134" s="499">
        <f t="shared" si="86"/>
        <v>0</v>
      </c>
      <c r="G134" s="499">
        <f t="shared" si="86"/>
        <v>0</v>
      </c>
      <c r="H134" s="499">
        <f t="shared" si="86"/>
        <v>0</v>
      </c>
      <c r="I134" s="499">
        <f t="shared" si="86"/>
        <v>0</v>
      </c>
      <c r="J134" s="499">
        <f t="shared" si="86"/>
        <v>0</v>
      </c>
      <c r="K134" s="499">
        <f t="shared" si="86"/>
        <v>0</v>
      </c>
      <c r="L134" s="499">
        <f t="shared" si="86"/>
        <v>0</v>
      </c>
      <c r="M134" s="499">
        <f t="shared" si="86"/>
        <v>0</v>
      </c>
      <c r="N134" s="499">
        <f t="shared" si="86"/>
        <v>0</v>
      </c>
      <c r="O134" s="499">
        <f t="shared" si="86"/>
        <v>0</v>
      </c>
      <c r="P134" s="499">
        <f t="shared" si="86"/>
        <v>0</v>
      </c>
      <c r="Q134" s="292"/>
      <c r="R134" s="292"/>
      <c r="S134" s="292"/>
      <c r="T134" s="292"/>
    </row>
    <row r="135" spans="1:20">
      <c r="A135" s="292"/>
      <c r="B135" s="387" t="str">
        <f>($B$54)</f>
        <v>AN MI</v>
      </c>
      <c r="C135" s="499" t="str">
        <f t="shared" ref="C135:P135" si="87">C55</f>
        <v>Số phế phẩm</v>
      </c>
      <c r="D135" s="499">
        <f t="shared" si="87"/>
        <v>0</v>
      </c>
      <c r="E135" s="499">
        <f t="shared" si="87"/>
        <v>0</v>
      </c>
      <c r="F135" s="499">
        <f t="shared" si="87"/>
        <v>0</v>
      </c>
      <c r="G135" s="499">
        <f t="shared" si="87"/>
        <v>0</v>
      </c>
      <c r="H135" s="499">
        <f t="shared" si="87"/>
        <v>0</v>
      </c>
      <c r="I135" s="499">
        <f t="shared" si="87"/>
        <v>0</v>
      </c>
      <c r="J135" s="499">
        <f t="shared" si="87"/>
        <v>0</v>
      </c>
      <c r="K135" s="499">
        <f t="shared" si="87"/>
        <v>0</v>
      </c>
      <c r="L135" s="499">
        <f t="shared" si="87"/>
        <v>0</v>
      </c>
      <c r="M135" s="499">
        <f t="shared" si="87"/>
        <v>0</v>
      </c>
      <c r="N135" s="499">
        <f t="shared" si="87"/>
        <v>0</v>
      </c>
      <c r="O135" s="499">
        <f t="shared" si="87"/>
        <v>0</v>
      </c>
      <c r="P135" s="499">
        <f t="shared" si="87"/>
        <v>0</v>
      </c>
      <c r="Q135" s="292"/>
      <c r="R135" s="292"/>
      <c r="S135" s="292"/>
      <c r="T135" s="292"/>
    </row>
    <row r="136" spans="1:20">
      <c r="A136" s="292"/>
      <c r="B136" s="387" t="str">
        <f>($B$57)</f>
        <v>OSG</v>
      </c>
      <c r="C136" s="499" t="str">
        <f t="shared" ref="C136:P136" si="88">C58</f>
        <v>Số phế phẩm</v>
      </c>
      <c r="D136" s="499">
        <f t="shared" si="88"/>
        <v>0</v>
      </c>
      <c r="E136" s="499">
        <f t="shared" si="88"/>
        <v>0</v>
      </c>
      <c r="F136" s="499">
        <f t="shared" si="88"/>
        <v>0</v>
      </c>
      <c r="G136" s="499">
        <f t="shared" si="88"/>
        <v>0</v>
      </c>
      <c r="H136" s="499">
        <f t="shared" si="88"/>
        <v>0</v>
      </c>
      <c r="I136" s="499">
        <f t="shared" si="88"/>
        <v>0</v>
      </c>
      <c r="J136" s="499">
        <f t="shared" si="88"/>
        <v>0</v>
      </c>
      <c r="K136" s="499">
        <f t="shared" si="88"/>
        <v>0</v>
      </c>
      <c r="L136" s="499">
        <f t="shared" si="88"/>
        <v>0</v>
      </c>
      <c r="M136" s="499">
        <f t="shared" si="88"/>
        <v>0</v>
      </c>
      <c r="N136" s="499">
        <f t="shared" si="88"/>
        <v>0</v>
      </c>
      <c r="O136" s="499">
        <f t="shared" si="88"/>
        <v>0</v>
      </c>
      <c r="P136" s="499">
        <f t="shared" si="88"/>
        <v>0</v>
      </c>
      <c r="Q136" s="292"/>
      <c r="R136" s="292"/>
      <c r="S136" s="292"/>
      <c r="T136" s="292"/>
    </row>
    <row r="137" spans="1:20">
      <c r="A137" s="292"/>
      <c r="B137" s="387" t="str">
        <f>($B$60)</f>
        <v>UWC</v>
      </c>
      <c r="C137" s="499" t="str">
        <f t="shared" ref="C137:P137" si="89">C61</f>
        <v>Số phế phẩm</v>
      </c>
      <c r="D137" s="499">
        <f t="shared" si="89"/>
        <v>0</v>
      </c>
      <c r="E137" s="499">
        <f t="shared" si="89"/>
        <v>0</v>
      </c>
      <c r="F137" s="499">
        <f t="shared" si="89"/>
        <v>0</v>
      </c>
      <c r="G137" s="499">
        <f t="shared" si="89"/>
        <v>0</v>
      </c>
      <c r="H137" s="499">
        <f t="shared" si="89"/>
        <v>0</v>
      </c>
      <c r="I137" s="499">
        <f t="shared" si="89"/>
        <v>0</v>
      </c>
      <c r="J137" s="499">
        <f t="shared" si="89"/>
        <v>0</v>
      </c>
      <c r="K137" s="499">
        <f t="shared" si="89"/>
        <v>0</v>
      </c>
      <c r="L137" s="499">
        <f t="shared" si="89"/>
        <v>0</v>
      </c>
      <c r="M137" s="499">
        <f t="shared" si="89"/>
        <v>0</v>
      </c>
      <c r="N137" s="499">
        <f t="shared" si="89"/>
        <v>0</v>
      </c>
      <c r="O137" s="499">
        <f t="shared" si="89"/>
        <v>0</v>
      </c>
      <c r="P137" s="499">
        <f t="shared" si="89"/>
        <v>0</v>
      </c>
      <c r="Q137" s="292"/>
      <c r="R137" s="292"/>
      <c r="S137" s="292"/>
      <c r="T137" s="292"/>
    </row>
    <row r="138" spans="1:20">
      <c r="A138" s="292"/>
      <c r="B138" s="387" t="str">
        <f>($B$63)</f>
        <v>A&amp;D</v>
      </c>
      <c r="C138" s="499" t="str">
        <f t="shared" ref="C138:P138" si="90">C64</f>
        <v>Số phế phẩm</v>
      </c>
      <c r="D138" s="499">
        <f t="shared" si="90"/>
        <v>0</v>
      </c>
      <c r="E138" s="499">
        <f t="shared" si="90"/>
        <v>0</v>
      </c>
      <c r="F138" s="499">
        <f t="shared" si="90"/>
        <v>0</v>
      </c>
      <c r="G138" s="499">
        <f t="shared" si="90"/>
        <v>0</v>
      </c>
      <c r="H138" s="499">
        <f t="shared" si="90"/>
        <v>0</v>
      </c>
      <c r="I138" s="499">
        <f t="shared" si="90"/>
        <v>0</v>
      </c>
      <c r="J138" s="499">
        <f t="shared" si="90"/>
        <v>0</v>
      </c>
      <c r="K138" s="499">
        <f t="shared" si="90"/>
        <v>0</v>
      </c>
      <c r="L138" s="499">
        <f t="shared" si="90"/>
        <v>0</v>
      </c>
      <c r="M138" s="499">
        <f t="shared" si="90"/>
        <v>0</v>
      </c>
      <c r="N138" s="499">
        <f t="shared" si="90"/>
        <v>0</v>
      </c>
      <c r="O138" s="499">
        <f t="shared" si="90"/>
        <v>0</v>
      </c>
      <c r="P138" s="499">
        <f t="shared" si="90"/>
        <v>0</v>
      </c>
      <c r="Q138" s="292"/>
      <c r="R138" s="292"/>
      <c r="S138" s="292"/>
      <c r="T138" s="292"/>
    </row>
    <row r="139" spans="1:20">
      <c r="A139" s="292"/>
      <c r="B139" s="387" t="str">
        <f>($B$66)</f>
        <v>SAKURA</v>
      </c>
      <c r="C139" s="499" t="str">
        <f t="shared" ref="C139:P139" si="91">C67</f>
        <v>Số phế phẩm</v>
      </c>
      <c r="D139" s="499">
        <f t="shared" si="91"/>
        <v>0</v>
      </c>
      <c r="E139" s="499">
        <f t="shared" si="91"/>
        <v>0</v>
      </c>
      <c r="F139" s="499">
        <f t="shared" si="91"/>
        <v>0</v>
      </c>
      <c r="G139" s="499">
        <f t="shared" si="91"/>
        <v>0</v>
      </c>
      <c r="H139" s="499">
        <f t="shared" si="91"/>
        <v>0</v>
      </c>
      <c r="I139" s="499">
        <f t="shared" si="91"/>
        <v>0</v>
      </c>
      <c r="J139" s="499">
        <f t="shared" si="91"/>
        <v>0</v>
      </c>
      <c r="K139" s="499">
        <f t="shared" si="91"/>
        <v>0</v>
      </c>
      <c r="L139" s="499">
        <f t="shared" si="91"/>
        <v>0</v>
      </c>
      <c r="M139" s="499">
        <f t="shared" si="91"/>
        <v>0</v>
      </c>
      <c r="N139" s="499">
        <f t="shared" si="91"/>
        <v>0</v>
      </c>
      <c r="O139" s="499">
        <f t="shared" si="91"/>
        <v>0</v>
      </c>
      <c r="P139" s="499">
        <f t="shared" si="91"/>
        <v>0</v>
      </c>
      <c r="Q139" s="292"/>
      <c r="R139" s="292"/>
      <c r="S139" s="292"/>
      <c r="T139" s="292"/>
    </row>
    <row r="140" spans="1:20">
      <c r="A140" s="292"/>
      <c r="B140" s="387" t="str">
        <f>($B$69)</f>
        <v xml:space="preserve">PRECEDE ML </v>
      </c>
      <c r="C140" s="499" t="str">
        <f t="shared" ref="C140:P140" si="92">C70</f>
        <v>Số phế phẩm</v>
      </c>
      <c r="D140" s="499">
        <f t="shared" si="92"/>
        <v>0</v>
      </c>
      <c r="E140" s="499">
        <f t="shared" si="92"/>
        <v>0</v>
      </c>
      <c r="F140" s="499">
        <f t="shared" si="92"/>
        <v>0</v>
      </c>
      <c r="G140" s="499">
        <f t="shared" si="92"/>
        <v>0</v>
      </c>
      <c r="H140" s="499">
        <f t="shared" si="92"/>
        <v>0</v>
      </c>
      <c r="I140" s="499">
        <f t="shared" si="92"/>
        <v>0</v>
      </c>
      <c r="J140" s="499">
        <f t="shared" si="92"/>
        <v>0</v>
      </c>
      <c r="K140" s="499">
        <f t="shared" si="92"/>
        <v>0</v>
      </c>
      <c r="L140" s="499">
        <f t="shared" si="92"/>
        <v>0</v>
      </c>
      <c r="M140" s="499">
        <f t="shared" si="92"/>
        <v>0</v>
      </c>
      <c r="N140" s="499">
        <f t="shared" si="92"/>
        <v>0</v>
      </c>
      <c r="O140" s="499">
        <f t="shared" si="92"/>
        <v>0</v>
      </c>
      <c r="P140" s="499">
        <f t="shared" si="92"/>
        <v>0</v>
      </c>
      <c r="Q140" s="292"/>
      <c r="R140" s="292"/>
      <c r="S140" s="292"/>
      <c r="T140" s="292"/>
    </row>
    <row r="141" spans="1:20">
      <c r="A141" s="292"/>
      <c r="B141" s="387" t="str">
        <f>($B$72)</f>
        <v>VIET NHAT TAN</v>
      </c>
      <c r="C141" s="499" t="str">
        <f t="shared" ref="C141:P141" si="93">C73</f>
        <v>Số phế phẩm</v>
      </c>
      <c r="D141" s="499">
        <f t="shared" si="93"/>
        <v>0</v>
      </c>
      <c r="E141" s="499">
        <f t="shared" si="93"/>
        <v>0</v>
      </c>
      <c r="F141" s="499">
        <f t="shared" si="93"/>
        <v>0</v>
      </c>
      <c r="G141" s="499">
        <f t="shared" si="93"/>
        <v>0</v>
      </c>
      <c r="H141" s="499">
        <f t="shared" si="93"/>
        <v>0</v>
      </c>
      <c r="I141" s="499">
        <f t="shared" si="93"/>
        <v>0</v>
      </c>
      <c r="J141" s="499">
        <f t="shared" si="93"/>
        <v>0</v>
      </c>
      <c r="K141" s="499">
        <f t="shared" si="93"/>
        <v>0</v>
      </c>
      <c r="L141" s="499">
        <f t="shared" si="93"/>
        <v>0</v>
      </c>
      <c r="M141" s="499">
        <f>N73</f>
        <v>0</v>
      </c>
      <c r="N141" s="499" t="e">
        <f>#REF!</f>
        <v>#REF!</v>
      </c>
      <c r="O141" s="499">
        <f t="shared" si="93"/>
        <v>0</v>
      </c>
      <c r="P141" s="499">
        <f t="shared" si="93"/>
        <v>0</v>
      </c>
      <c r="Q141" s="292"/>
      <c r="R141" s="292"/>
      <c r="S141" s="292"/>
      <c r="T141" s="292"/>
    </row>
    <row r="142" spans="1:20">
      <c r="A142" s="292"/>
      <c r="B142" s="387" t="str">
        <f>($B$75)</f>
        <v>YES SAI GON</v>
      </c>
      <c r="C142" s="499" t="str">
        <f t="shared" ref="C142:P142" si="94">C76</f>
        <v>Số phế phẩm</v>
      </c>
      <c r="D142" s="499">
        <f t="shared" si="94"/>
        <v>0</v>
      </c>
      <c r="E142" s="499">
        <f t="shared" si="94"/>
        <v>0</v>
      </c>
      <c r="F142" s="499">
        <f t="shared" si="94"/>
        <v>0</v>
      </c>
      <c r="G142" s="499">
        <f t="shared" si="94"/>
        <v>0</v>
      </c>
      <c r="H142" s="499">
        <f t="shared" si="94"/>
        <v>0</v>
      </c>
      <c r="I142" s="499">
        <f t="shared" si="94"/>
        <v>0</v>
      </c>
      <c r="J142" s="499">
        <f t="shared" si="94"/>
        <v>0</v>
      </c>
      <c r="K142" s="499">
        <f t="shared" si="94"/>
        <v>0</v>
      </c>
      <c r="L142" s="499">
        <f t="shared" si="94"/>
        <v>0</v>
      </c>
      <c r="M142" s="499">
        <f t="shared" si="94"/>
        <v>0</v>
      </c>
      <c r="N142" s="499">
        <f t="shared" si="94"/>
        <v>0</v>
      </c>
      <c r="O142" s="499">
        <f t="shared" si="94"/>
        <v>0</v>
      </c>
      <c r="P142" s="499">
        <f t="shared" si="94"/>
        <v>0</v>
      </c>
      <c r="Q142" s="292"/>
      <c r="R142" s="292"/>
      <c r="S142" s="292"/>
      <c r="T142" s="292"/>
    </row>
    <row r="143" spans="1:20">
      <c r="A143" s="292"/>
      <c r="B143" s="387" t="str">
        <f>($B$78)</f>
        <v>FINECS</v>
      </c>
      <c r="C143" s="499" t="str">
        <f t="shared" ref="C143:P143" si="95">C79</f>
        <v>Số phế phẩm</v>
      </c>
      <c r="D143" s="499">
        <f t="shared" si="95"/>
        <v>0</v>
      </c>
      <c r="E143" s="499">
        <f t="shared" si="95"/>
        <v>0</v>
      </c>
      <c r="F143" s="499">
        <f t="shared" si="95"/>
        <v>0</v>
      </c>
      <c r="G143" s="499">
        <f t="shared" si="95"/>
        <v>0</v>
      </c>
      <c r="H143" s="499">
        <f t="shared" si="95"/>
        <v>0</v>
      </c>
      <c r="I143" s="499">
        <f t="shared" si="95"/>
        <v>0</v>
      </c>
      <c r="J143" s="499">
        <f t="shared" si="95"/>
        <v>0</v>
      </c>
      <c r="K143" s="499">
        <f t="shared" si="95"/>
        <v>0</v>
      </c>
      <c r="L143" s="499">
        <f t="shared" si="95"/>
        <v>0</v>
      </c>
      <c r="M143" s="499">
        <f t="shared" si="95"/>
        <v>0</v>
      </c>
      <c r="N143" s="499">
        <f t="shared" si="95"/>
        <v>0</v>
      </c>
      <c r="O143" s="499">
        <f t="shared" si="95"/>
        <v>0</v>
      </c>
      <c r="P143" s="499">
        <f t="shared" si="95"/>
        <v>0</v>
      </c>
      <c r="Q143" s="292"/>
      <c r="R143" s="292"/>
      <c r="S143" s="292"/>
      <c r="T143" s="292"/>
    </row>
    <row r="144" spans="1:20">
      <c r="A144" s="292"/>
      <c r="B144" s="387" t="str">
        <f>($B$81)</f>
        <v>HUYNH DUC</v>
      </c>
      <c r="C144" s="499" t="str">
        <f t="shared" ref="C144:P144" si="96">C82</f>
        <v>Số phế phẩm</v>
      </c>
      <c r="D144" s="499">
        <f t="shared" si="96"/>
        <v>0</v>
      </c>
      <c r="E144" s="499">
        <f t="shared" si="96"/>
        <v>0</v>
      </c>
      <c r="F144" s="499">
        <f t="shared" si="96"/>
        <v>0</v>
      </c>
      <c r="G144" s="499">
        <f t="shared" si="96"/>
        <v>0</v>
      </c>
      <c r="H144" s="499">
        <f t="shared" si="96"/>
        <v>0</v>
      </c>
      <c r="I144" s="499">
        <f t="shared" si="96"/>
        <v>0</v>
      </c>
      <c r="J144" s="499">
        <f t="shared" si="96"/>
        <v>0</v>
      </c>
      <c r="K144" s="499">
        <f t="shared" si="96"/>
        <v>0</v>
      </c>
      <c r="L144" s="499">
        <f t="shared" si="96"/>
        <v>0</v>
      </c>
      <c r="M144" s="499">
        <f t="shared" si="96"/>
        <v>0</v>
      </c>
      <c r="N144" s="499">
        <f t="shared" si="96"/>
        <v>0</v>
      </c>
      <c r="O144" s="499">
        <f t="shared" si="96"/>
        <v>0</v>
      </c>
      <c r="P144" s="499">
        <f t="shared" si="96"/>
        <v>0</v>
      </c>
      <c r="Q144" s="292"/>
      <c r="R144" s="292"/>
      <c r="S144" s="292"/>
      <c r="T144" s="292"/>
    </row>
    <row r="145" spans="1:20">
      <c r="A145" s="292"/>
      <c r="B145" s="387" t="str">
        <f>($B$84)</f>
        <v>AMERIX</v>
      </c>
      <c r="C145" s="499" t="str">
        <f>C85</f>
        <v>Số phế phẩm</v>
      </c>
      <c r="D145" s="499">
        <f>D85</f>
        <v>0</v>
      </c>
      <c r="E145" s="499">
        <f t="shared" ref="E145:P145" si="97">E85</f>
        <v>0</v>
      </c>
      <c r="F145" s="499">
        <f t="shared" si="97"/>
        <v>0</v>
      </c>
      <c r="G145" s="499">
        <f t="shared" si="97"/>
        <v>0</v>
      </c>
      <c r="H145" s="499">
        <f t="shared" si="97"/>
        <v>0</v>
      </c>
      <c r="I145" s="499">
        <f t="shared" si="97"/>
        <v>0</v>
      </c>
      <c r="J145" s="499">
        <f t="shared" si="97"/>
        <v>0</v>
      </c>
      <c r="K145" s="499">
        <f t="shared" si="97"/>
        <v>0</v>
      </c>
      <c r="L145" s="499">
        <f t="shared" si="97"/>
        <v>0</v>
      </c>
      <c r="M145" s="499">
        <f t="shared" si="97"/>
        <v>0</v>
      </c>
      <c r="N145" s="499">
        <f t="shared" si="97"/>
        <v>0</v>
      </c>
      <c r="O145" s="499">
        <f t="shared" si="97"/>
        <v>0</v>
      </c>
      <c r="P145" s="499">
        <f t="shared" si="97"/>
        <v>0</v>
      </c>
      <c r="Q145" s="292"/>
      <c r="R145" s="292"/>
      <c r="S145" s="292"/>
      <c r="T145" s="292"/>
    </row>
    <row r="146" spans="1:20">
      <c r="A146" s="292"/>
      <c r="B146" s="387" t="str">
        <f>($B$87)</f>
        <v>CHAU DA</v>
      </c>
      <c r="C146" s="499" t="str">
        <f>C88</f>
        <v>Số phế phẩm</v>
      </c>
      <c r="D146" s="499">
        <f>D88</f>
        <v>0</v>
      </c>
      <c r="E146" s="499">
        <f t="shared" ref="E146:P146" si="98">E88</f>
        <v>0</v>
      </c>
      <c r="F146" s="499">
        <f t="shared" si="98"/>
        <v>0</v>
      </c>
      <c r="G146" s="499">
        <f t="shared" si="98"/>
        <v>0</v>
      </c>
      <c r="H146" s="499">
        <f t="shared" si="98"/>
        <v>0</v>
      </c>
      <c r="I146" s="499">
        <f t="shared" si="98"/>
        <v>0</v>
      </c>
      <c r="J146" s="499">
        <f t="shared" si="98"/>
        <v>0</v>
      </c>
      <c r="K146" s="499">
        <f t="shared" si="98"/>
        <v>0</v>
      </c>
      <c r="L146" s="499">
        <f t="shared" si="98"/>
        <v>0</v>
      </c>
      <c r="M146" s="499">
        <f t="shared" si="98"/>
        <v>0</v>
      </c>
      <c r="N146" s="499">
        <f t="shared" si="98"/>
        <v>0</v>
      </c>
      <c r="O146" s="499">
        <f t="shared" si="98"/>
        <v>0</v>
      </c>
      <c r="P146" s="499">
        <f t="shared" si="98"/>
        <v>0</v>
      </c>
      <c r="Q146" s="292"/>
      <c r="R146" s="292"/>
      <c r="S146" s="292"/>
      <c r="T146" s="292"/>
    </row>
    <row r="147" spans="1:20">
      <c r="A147" s="292"/>
      <c r="B147" s="387" t="str">
        <f>($B$90)</f>
        <v>HITECH</v>
      </c>
      <c r="C147" s="499" t="str">
        <f>C91</f>
        <v>Số phế phẩm</v>
      </c>
      <c r="D147" s="499">
        <f>D91</f>
        <v>0</v>
      </c>
      <c r="E147" s="499">
        <f t="shared" ref="E147:P147" si="99">E91</f>
        <v>0</v>
      </c>
      <c r="F147" s="499">
        <f t="shared" si="99"/>
        <v>0</v>
      </c>
      <c r="G147" s="499">
        <f t="shared" si="99"/>
        <v>0</v>
      </c>
      <c r="H147" s="499">
        <f t="shared" si="99"/>
        <v>0</v>
      </c>
      <c r="I147" s="499">
        <f t="shared" si="99"/>
        <v>0</v>
      </c>
      <c r="J147" s="499">
        <f t="shared" si="99"/>
        <v>0</v>
      </c>
      <c r="K147" s="499">
        <f t="shared" si="99"/>
        <v>0</v>
      </c>
      <c r="L147" s="499">
        <f t="shared" si="99"/>
        <v>0</v>
      </c>
      <c r="M147" s="499">
        <f t="shared" si="99"/>
        <v>0</v>
      </c>
      <c r="N147" s="499">
        <f t="shared" si="99"/>
        <v>0</v>
      </c>
      <c r="O147" s="499">
        <f t="shared" si="99"/>
        <v>0</v>
      </c>
      <c r="P147" s="499">
        <f t="shared" si="99"/>
        <v>0</v>
      </c>
      <c r="Q147" s="292"/>
      <c r="R147" s="292"/>
      <c r="S147" s="292"/>
      <c r="T147" s="292"/>
    </row>
    <row r="148" spans="1:20">
      <c r="A148" s="292"/>
      <c r="B148" s="387" t="str">
        <f>($B$93)</f>
        <v>CAM</v>
      </c>
      <c r="C148" s="499" t="str">
        <f>C94</f>
        <v>Số phế phẩm</v>
      </c>
      <c r="D148" s="499">
        <f>D94</f>
        <v>0</v>
      </c>
      <c r="E148" s="499">
        <f t="shared" ref="E148:P148" si="100">E94</f>
        <v>1</v>
      </c>
      <c r="F148" s="499">
        <f t="shared" si="100"/>
        <v>0</v>
      </c>
      <c r="G148" s="499">
        <f t="shared" si="100"/>
        <v>0</v>
      </c>
      <c r="H148" s="499">
        <f t="shared" si="100"/>
        <v>0</v>
      </c>
      <c r="I148" s="499">
        <f t="shared" si="100"/>
        <v>0</v>
      </c>
      <c r="J148" s="499">
        <f t="shared" si="100"/>
        <v>0</v>
      </c>
      <c r="K148" s="499">
        <f t="shared" si="100"/>
        <v>0</v>
      </c>
      <c r="L148" s="499">
        <f t="shared" si="100"/>
        <v>0</v>
      </c>
      <c r="M148" s="499">
        <f t="shared" si="100"/>
        <v>0</v>
      </c>
      <c r="N148" s="499">
        <f t="shared" si="100"/>
        <v>0</v>
      </c>
      <c r="O148" s="499">
        <f t="shared" si="100"/>
        <v>0</v>
      </c>
      <c r="P148" s="499">
        <f t="shared" si="100"/>
        <v>1</v>
      </c>
      <c r="Q148" s="292"/>
      <c r="R148" s="292"/>
      <c r="S148" s="292"/>
      <c r="T148" s="292"/>
    </row>
    <row r="149" spans="1:20">
      <c r="A149" s="292"/>
      <c r="B149" s="387" t="str">
        <f>($B$96)</f>
        <v xml:space="preserve">CENTRAL TECH </v>
      </c>
      <c r="C149" s="499" t="str">
        <f>C97</f>
        <v>Số phế phẩm</v>
      </c>
      <c r="D149" s="499">
        <f>D97</f>
        <v>0</v>
      </c>
      <c r="E149" s="499">
        <f t="shared" ref="E149:P149" si="101">E97</f>
        <v>0</v>
      </c>
      <c r="F149" s="499">
        <f t="shared" si="101"/>
        <v>0</v>
      </c>
      <c r="G149" s="499">
        <f t="shared" si="101"/>
        <v>0</v>
      </c>
      <c r="H149" s="499">
        <f t="shared" si="101"/>
        <v>0</v>
      </c>
      <c r="I149" s="499">
        <f t="shared" si="101"/>
        <v>0</v>
      </c>
      <c r="J149" s="499">
        <f t="shared" si="101"/>
        <v>0</v>
      </c>
      <c r="K149" s="499">
        <f t="shared" si="101"/>
        <v>0</v>
      </c>
      <c r="L149" s="499">
        <f t="shared" si="101"/>
        <v>0</v>
      </c>
      <c r="M149" s="499">
        <f t="shared" si="101"/>
        <v>0</v>
      </c>
      <c r="N149" s="499">
        <f t="shared" si="101"/>
        <v>0</v>
      </c>
      <c r="O149" s="499">
        <f t="shared" si="101"/>
        <v>0</v>
      </c>
      <c r="P149" s="499">
        <f t="shared" si="101"/>
        <v>0</v>
      </c>
      <c r="Q149" s="292"/>
      <c r="R149" s="292"/>
      <c r="S149" s="292"/>
      <c r="T149" s="292"/>
    </row>
    <row r="150" spans="1:20">
      <c r="A150" s="292"/>
      <c r="B150" s="387" t="str">
        <f>($B$99)</f>
        <v>TINH NGUYEN HAO</v>
      </c>
      <c r="C150" s="499" t="str">
        <f>C100</f>
        <v>Số phế phẩm</v>
      </c>
      <c r="D150" s="499">
        <f>D100</f>
        <v>0</v>
      </c>
      <c r="E150" s="499">
        <f t="shared" ref="E150:P150" si="102">E100</f>
        <v>2</v>
      </c>
      <c r="F150" s="499">
        <f t="shared" si="102"/>
        <v>0</v>
      </c>
      <c r="G150" s="499">
        <f t="shared" si="102"/>
        <v>0</v>
      </c>
      <c r="H150" s="499">
        <f t="shared" si="102"/>
        <v>0</v>
      </c>
      <c r="I150" s="499">
        <f t="shared" si="102"/>
        <v>0</v>
      </c>
      <c r="J150" s="499">
        <f t="shared" si="102"/>
        <v>0</v>
      </c>
      <c r="K150" s="499">
        <f t="shared" si="102"/>
        <v>0</v>
      </c>
      <c r="L150" s="499">
        <f t="shared" si="102"/>
        <v>0</v>
      </c>
      <c r="M150" s="499">
        <f t="shared" si="102"/>
        <v>0</v>
      </c>
      <c r="N150" s="499">
        <f t="shared" si="102"/>
        <v>0</v>
      </c>
      <c r="O150" s="499">
        <f t="shared" si="102"/>
        <v>0</v>
      </c>
      <c r="P150" s="499">
        <f t="shared" si="102"/>
        <v>2</v>
      </c>
      <c r="Q150" s="292"/>
      <c r="R150" s="292"/>
      <c r="S150" s="292"/>
      <c r="T150" s="292"/>
    </row>
    <row r="151" spans="1:20">
      <c r="A151" s="292"/>
      <c r="B151" s="387" t="str">
        <f>($B$102)</f>
        <v>CNCLASER</v>
      </c>
      <c r="C151" s="499" t="str">
        <f>C103</f>
        <v>Số phế phẩm</v>
      </c>
      <c r="D151" s="499">
        <f>D103</f>
        <v>0</v>
      </c>
      <c r="E151" s="499">
        <f t="shared" ref="E151:P151" si="103">E103</f>
        <v>0</v>
      </c>
      <c r="F151" s="499">
        <f t="shared" si="103"/>
        <v>0</v>
      </c>
      <c r="G151" s="499">
        <f t="shared" si="103"/>
        <v>0</v>
      </c>
      <c r="H151" s="499">
        <f t="shared" si="103"/>
        <v>0</v>
      </c>
      <c r="I151" s="499">
        <f t="shared" si="103"/>
        <v>0</v>
      </c>
      <c r="J151" s="499">
        <f t="shared" si="103"/>
        <v>0</v>
      </c>
      <c r="K151" s="499">
        <f t="shared" si="103"/>
        <v>0</v>
      </c>
      <c r="L151" s="499">
        <f t="shared" si="103"/>
        <v>0</v>
      </c>
      <c r="M151" s="499">
        <f t="shared" si="103"/>
        <v>0</v>
      </c>
      <c r="N151" s="499">
        <f t="shared" si="103"/>
        <v>0</v>
      </c>
      <c r="O151" s="499">
        <f t="shared" si="103"/>
        <v>0</v>
      </c>
      <c r="P151" s="499">
        <f t="shared" si="103"/>
        <v>0</v>
      </c>
      <c r="Q151" s="292"/>
      <c r="R151" s="292"/>
      <c r="S151" s="292"/>
      <c r="T151" s="292"/>
    </row>
    <row r="152" spans="1:20">
      <c r="A152" s="292"/>
      <c r="B152" s="387">
        <f>($B$105)</f>
        <v>0</v>
      </c>
      <c r="C152" s="499" t="str">
        <f t="shared" ref="C152" si="104">C104</f>
        <v>Tỷ lệ phế phẩm</v>
      </c>
      <c r="D152" s="499">
        <f>D106</f>
        <v>0</v>
      </c>
      <c r="E152" s="499">
        <f t="shared" ref="E152:P152" si="105">E106</f>
        <v>0</v>
      </c>
      <c r="F152" s="499">
        <f t="shared" si="105"/>
        <v>0</v>
      </c>
      <c r="G152" s="499">
        <f t="shared" si="105"/>
        <v>0</v>
      </c>
      <c r="H152" s="499">
        <f t="shared" si="105"/>
        <v>0</v>
      </c>
      <c r="I152" s="499">
        <f t="shared" si="105"/>
        <v>0</v>
      </c>
      <c r="J152" s="499">
        <f t="shared" si="105"/>
        <v>0</v>
      </c>
      <c r="K152" s="499">
        <f t="shared" si="105"/>
        <v>0</v>
      </c>
      <c r="L152" s="499">
        <f t="shared" si="105"/>
        <v>0</v>
      </c>
      <c r="M152" s="499">
        <f t="shared" si="105"/>
        <v>0</v>
      </c>
      <c r="N152" s="499">
        <f t="shared" si="105"/>
        <v>0</v>
      </c>
      <c r="O152" s="499">
        <f t="shared" si="105"/>
        <v>0</v>
      </c>
      <c r="P152" s="499">
        <f t="shared" si="105"/>
        <v>0</v>
      </c>
      <c r="Q152" s="292"/>
      <c r="R152" s="292"/>
      <c r="S152" s="292"/>
      <c r="T152" s="292"/>
    </row>
    <row r="153" spans="1:20">
      <c r="A153" s="292"/>
      <c r="B153" s="387">
        <f>($B$108)</f>
        <v>0</v>
      </c>
      <c r="C153" s="499" t="str">
        <f t="shared" ref="C153" si="106">C105</f>
        <v>Số bản vẽ</v>
      </c>
      <c r="D153" s="499">
        <f>D109</f>
        <v>0</v>
      </c>
      <c r="E153" s="499">
        <f t="shared" ref="E153:P153" si="107">E109</f>
        <v>0</v>
      </c>
      <c r="F153" s="499">
        <f t="shared" si="107"/>
        <v>0</v>
      </c>
      <c r="G153" s="499">
        <f t="shared" si="107"/>
        <v>0</v>
      </c>
      <c r="H153" s="499">
        <f t="shared" si="107"/>
        <v>0</v>
      </c>
      <c r="I153" s="499">
        <f t="shared" si="107"/>
        <v>0</v>
      </c>
      <c r="J153" s="499">
        <f t="shared" si="107"/>
        <v>0</v>
      </c>
      <c r="K153" s="499">
        <f t="shared" si="107"/>
        <v>0</v>
      </c>
      <c r="L153" s="499">
        <f t="shared" si="107"/>
        <v>0</v>
      </c>
      <c r="M153" s="499">
        <f t="shared" si="107"/>
        <v>0</v>
      </c>
      <c r="N153" s="499">
        <f t="shared" si="107"/>
        <v>0</v>
      </c>
      <c r="O153" s="499">
        <f t="shared" si="107"/>
        <v>0</v>
      </c>
      <c r="P153" s="499">
        <f t="shared" si="107"/>
        <v>0</v>
      </c>
      <c r="Q153" s="292"/>
      <c r="R153" s="292"/>
      <c r="S153" s="292"/>
      <c r="T153" s="292"/>
    </row>
    <row r="154" spans="1:20">
      <c r="A154" s="292"/>
      <c r="B154" s="387">
        <f>($B$111)</f>
        <v>0</v>
      </c>
      <c r="C154" s="499" t="str">
        <f t="shared" ref="C154" si="108">C106</f>
        <v>Số phế phẩm</v>
      </c>
      <c r="D154" s="499">
        <f>D112</f>
        <v>0</v>
      </c>
      <c r="E154" s="499">
        <f t="shared" ref="E154:P154" si="109">E112</f>
        <v>0</v>
      </c>
      <c r="F154" s="499">
        <f t="shared" si="109"/>
        <v>0</v>
      </c>
      <c r="G154" s="499">
        <f t="shared" si="109"/>
        <v>0</v>
      </c>
      <c r="H154" s="499">
        <f t="shared" si="109"/>
        <v>0</v>
      </c>
      <c r="I154" s="499">
        <f t="shared" si="109"/>
        <v>0</v>
      </c>
      <c r="J154" s="499">
        <f t="shared" si="109"/>
        <v>0</v>
      </c>
      <c r="K154" s="499">
        <f t="shared" si="109"/>
        <v>0</v>
      </c>
      <c r="L154" s="499">
        <f t="shared" si="109"/>
        <v>0</v>
      </c>
      <c r="M154" s="499">
        <f t="shared" si="109"/>
        <v>0</v>
      </c>
      <c r="N154" s="499">
        <f t="shared" si="109"/>
        <v>0</v>
      </c>
      <c r="O154" s="499">
        <f t="shared" si="109"/>
        <v>0</v>
      </c>
      <c r="P154" s="499">
        <f t="shared" si="109"/>
        <v>0</v>
      </c>
      <c r="Q154" s="292"/>
      <c r="R154" s="292"/>
      <c r="S154" s="292"/>
      <c r="T154" s="292"/>
    </row>
    <row r="155" spans="1:20">
      <c r="A155" s="292"/>
      <c r="B155" s="292"/>
      <c r="C155" s="292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2"/>
      <c r="R155" s="292"/>
      <c r="S155" s="292"/>
      <c r="T155" s="292"/>
    </row>
    <row r="156" spans="1:20">
      <c r="A156" s="292"/>
      <c r="B156" s="292"/>
      <c r="C156" s="292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2"/>
      <c r="R156" s="292"/>
      <c r="S156" s="292"/>
      <c r="T156" s="292"/>
    </row>
    <row r="157" spans="1:20">
      <c r="A157" s="292"/>
      <c r="B157" s="292"/>
      <c r="C157" s="292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292"/>
      <c r="R157" s="292"/>
      <c r="S157" s="292"/>
      <c r="T157" s="292"/>
    </row>
    <row r="158" spans="1:20">
      <c r="A158" s="292"/>
      <c r="B158" s="292"/>
      <c r="C158" s="292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2"/>
      <c r="R158" s="292"/>
      <c r="S158" s="292"/>
      <c r="T158" s="292"/>
    </row>
    <row r="159" spans="1:20">
      <c r="A159" s="292"/>
      <c r="B159" s="292"/>
      <c r="C159" s="292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2"/>
      <c r="R159" s="292"/>
      <c r="S159" s="292"/>
      <c r="T159" s="292"/>
    </row>
    <row r="160" spans="1:20">
      <c r="A160" s="292"/>
      <c r="B160" s="292"/>
      <c r="C160" s="292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2"/>
      <c r="R160" s="292"/>
      <c r="S160" s="292"/>
      <c r="T160" s="292"/>
    </row>
    <row r="161" spans="1:20">
      <c r="A161" s="292"/>
      <c r="B161" s="292"/>
      <c r="C161" s="292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2"/>
      <c r="R161" s="292"/>
      <c r="S161" s="292"/>
      <c r="T161" s="292"/>
    </row>
    <row r="162" spans="1:20">
      <c r="A162" s="292"/>
      <c r="B162" s="292"/>
      <c r="C162" s="292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3"/>
      <c r="P162" s="293"/>
      <c r="Q162" s="292"/>
      <c r="R162" s="292"/>
      <c r="S162" s="292"/>
      <c r="T162" s="292"/>
    </row>
    <row r="163" spans="1:20">
      <c r="A163" s="292"/>
      <c r="B163" s="292"/>
      <c r="C163" s="292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2"/>
      <c r="R163" s="292"/>
      <c r="S163" s="292"/>
      <c r="T163" s="292"/>
    </row>
    <row r="164" spans="1:20">
      <c r="A164" s="292"/>
      <c r="B164" s="292"/>
      <c r="C164" s="292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2"/>
      <c r="R164" s="292"/>
      <c r="S164" s="292"/>
      <c r="T164" s="292"/>
    </row>
    <row r="165" spans="1:20">
      <c r="A165" s="292"/>
      <c r="B165" s="292"/>
      <c r="C165" s="292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2"/>
      <c r="R165" s="292"/>
      <c r="S165" s="292"/>
      <c r="T165" s="292"/>
    </row>
    <row r="166" spans="1:20">
      <c r="A166" s="292"/>
      <c r="B166" s="292"/>
      <c r="C166" s="292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2"/>
      <c r="R166" s="292"/>
      <c r="S166" s="292"/>
      <c r="T166" s="292"/>
    </row>
    <row r="167" spans="1:20">
      <c r="A167" s="292"/>
      <c r="B167" s="292"/>
      <c r="C167" s="292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3"/>
      <c r="P167" s="293"/>
      <c r="Q167" s="292"/>
      <c r="R167" s="292"/>
      <c r="S167" s="292"/>
      <c r="T167" s="292"/>
    </row>
    <row r="168" spans="1:20">
      <c r="A168" s="292"/>
      <c r="B168" s="292"/>
      <c r="C168" s="292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3"/>
      <c r="P168" s="293"/>
      <c r="Q168" s="292"/>
      <c r="R168" s="292"/>
      <c r="S168" s="292"/>
      <c r="T168" s="292"/>
    </row>
    <row r="169" spans="1:20">
      <c r="A169" s="292"/>
      <c r="B169" s="292"/>
      <c r="C169" s="292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2"/>
      <c r="R169" s="292"/>
      <c r="S169" s="292"/>
      <c r="T169" s="292"/>
    </row>
    <row r="170" spans="1:20">
      <c r="A170" s="292"/>
      <c r="B170" s="292"/>
      <c r="C170" s="292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2"/>
      <c r="R170" s="292"/>
      <c r="S170" s="292"/>
      <c r="T170" s="292"/>
    </row>
    <row r="171" spans="1:20">
      <c r="A171" s="292"/>
      <c r="B171" s="292"/>
      <c r="C171" s="292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2"/>
      <c r="R171" s="292"/>
      <c r="S171" s="292"/>
      <c r="T171" s="292"/>
    </row>
    <row r="172" spans="1:20">
      <c r="A172" s="292"/>
      <c r="B172" s="292"/>
      <c r="C172" s="292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2"/>
      <c r="R172" s="292"/>
      <c r="S172" s="292"/>
      <c r="T172" s="292"/>
    </row>
    <row r="173" spans="1:20">
      <c r="A173" s="292"/>
      <c r="B173" s="292"/>
      <c r="C173" s="193" t="s">
        <v>195</v>
      </c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3"/>
      <c r="P173" s="293"/>
      <c r="Q173" s="292"/>
      <c r="R173" s="292"/>
      <c r="S173" s="292"/>
      <c r="T173" s="292"/>
    </row>
    <row r="174" spans="1:20" ht="15.75" thickBot="1">
      <c r="A174" s="292"/>
      <c r="B174" s="292"/>
      <c r="C174" s="292"/>
      <c r="D174" s="329" t="s">
        <v>137</v>
      </c>
      <c r="E174" s="330" t="s">
        <v>2</v>
      </c>
      <c r="F174" s="329" t="s">
        <v>3</v>
      </c>
      <c r="G174" s="329" t="s">
        <v>4</v>
      </c>
      <c r="H174" s="329" t="s">
        <v>5</v>
      </c>
      <c r="I174" s="329" t="s">
        <v>6</v>
      </c>
      <c r="J174" s="329" t="s">
        <v>7</v>
      </c>
      <c r="K174" s="329" t="s">
        <v>8</v>
      </c>
      <c r="L174" s="329" t="s">
        <v>9</v>
      </c>
      <c r="M174" s="329" t="s">
        <v>10</v>
      </c>
      <c r="N174" s="329" t="s">
        <v>11</v>
      </c>
      <c r="O174" s="329" t="s">
        <v>12</v>
      </c>
      <c r="P174" s="329" t="s">
        <v>570</v>
      </c>
      <c r="Q174" s="292"/>
      <c r="R174" s="292"/>
      <c r="S174" s="292"/>
      <c r="T174" s="292"/>
    </row>
    <row r="175" spans="1:20" ht="15.75" thickTop="1">
      <c r="A175" s="292"/>
      <c r="B175" s="331" t="str">
        <f>($B$12)</f>
        <v>MMK</v>
      </c>
      <c r="C175" s="333" t="str">
        <f t="shared" ref="C175:P175" si="110">C14</f>
        <v>Tỷ lệ phế phẩm</v>
      </c>
      <c r="D175" s="332">
        <f t="shared" si="110"/>
        <v>0</v>
      </c>
      <c r="E175" s="332" t="e">
        <f t="shared" si="110"/>
        <v>#DIV/0!</v>
      </c>
      <c r="F175" s="332" t="e">
        <f t="shared" si="110"/>
        <v>#DIV/0!</v>
      </c>
      <c r="G175" s="332" t="e">
        <f t="shared" si="110"/>
        <v>#DIV/0!</v>
      </c>
      <c r="H175" s="332" t="e">
        <f t="shared" si="110"/>
        <v>#DIV/0!</v>
      </c>
      <c r="I175" s="332" t="e">
        <f t="shared" si="110"/>
        <v>#DIV/0!</v>
      </c>
      <c r="J175" s="332" t="e">
        <f t="shared" si="110"/>
        <v>#DIV/0!</v>
      </c>
      <c r="K175" s="332" t="e">
        <f t="shared" si="110"/>
        <v>#DIV/0!</v>
      </c>
      <c r="L175" s="332" t="e">
        <f t="shared" si="110"/>
        <v>#DIV/0!</v>
      </c>
      <c r="M175" s="332" t="e">
        <f t="shared" si="110"/>
        <v>#DIV/0!</v>
      </c>
      <c r="N175" s="332" t="e">
        <f t="shared" si="110"/>
        <v>#DIV/0!</v>
      </c>
      <c r="O175" s="332" t="e">
        <f t="shared" si="110"/>
        <v>#DIV/0!</v>
      </c>
      <c r="P175" s="332">
        <f t="shared" si="110"/>
        <v>0</v>
      </c>
      <c r="Q175" s="292"/>
      <c r="R175" s="292"/>
      <c r="S175" s="292"/>
      <c r="T175" s="292"/>
    </row>
    <row r="176" spans="1:20">
      <c r="A176" s="292"/>
      <c r="B176" s="387" t="str">
        <f>($B$15)</f>
        <v>TWM</v>
      </c>
      <c r="C176" s="332" t="str">
        <f t="shared" ref="C176:P176" si="111">C17</f>
        <v>Tỷ lệ phế phẩm</v>
      </c>
      <c r="D176" s="332">
        <f t="shared" si="111"/>
        <v>0</v>
      </c>
      <c r="E176" s="332">
        <f t="shared" si="111"/>
        <v>0</v>
      </c>
      <c r="F176" s="332">
        <f t="shared" si="111"/>
        <v>0</v>
      </c>
      <c r="G176" s="332" t="e">
        <f t="shared" si="111"/>
        <v>#DIV/0!</v>
      </c>
      <c r="H176" s="332" t="e">
        <f t="shared" si="111"/>
        <v>#DIV/0!</v>
      </c>
      <c r="I176" s="332" t="e">
        <f t="shared" si="111"/>
        <v>#DIV/0!</v>
      </c>
      <c r="J176" s="332" t="e">
        <f t="shared" si="111"/>
        <v>#DIV/0!</v>
      </c>
      <c r="K176" s="332" t="e">
        <f t="shared" si="111"/>
        <v>#DIV/0!</v>
      </c>
      <c r="L176" s="332" t="e">
        <f t="shared" si="111"/>
        <v>#DIV/0!</v>
      </c>
      <c r="M176" s="332" t="e">
        <f t="shared" si="111"/>
        <v>#DIV/0!</v>
      </c>
      <c r="N176" s="332" t="e">
        <f t="shared" si="111"/>
        <v>#DIV/0!</v>
      </c>
      <c r="O176" s="332" t="e">
        <f t="shared" si="111"/>
        <v>#DIV/0!</v>
      </c>
      <c r="P176" s="332">
        <f t="shared" si="111"/>
        <v>0</v>
      </c>
      <c r="Q176" s="292"/>
      <c r="R176" s="292"/>
      <c r="S176" s="292"/>
      <c r="T176" s="292"/>
    </row>
    <row r="177" spans="1:20">
      <c r="A177" s="292"/>
      <c r="B177" s="387" t="str">
        <f>($B$18)</f>
        <v>ＤＧＭ</v>
      </c>
      <c r="C177" s="332" t="str">
        <f t="shared" ref="C177:P177" si="112">C20</f>
        <v>Tỷ lệ phế phẩm</v>
      </c>
      <c r="D177" s="332">
        <f t="shared" si="112"/>
        <v>0</v>
      </c>
      <c r="E177" s="332">
        <f t="shared" si="112"/>
        <v>0</v>
      </c>
      <c r="F177" s="332">
        <f t="shared" si="112"/>
        <v>0</v>
      </c>
      <c r="G177" s="332" t="e">
        <f t="shared" si="112"/>
        <v>#DIV/0!</v>
      </c>
      <c r="H177" s="332" t="e">
        <f t="shared" si="112"/>
        <v>#DIV/0!</v>
      </c>
      <c r="I177" s="332" t="e">
        <f t="shared" si="112"/>
        <v>#DIV/0!</v>
      </c>
      <c r="J177" s="332" t="e">
        <f t="shared" si="112"/>
        <v>#DIV/0!</v>
      </c>
      <c r="K177" s="332" t="e">
        <f t="shared" si="112"/>
        <v>#DIV/0!</v>
      </c>
      <c r="L177" s="332" t="e">
        <f t="shared" si="112"/>
        <v>#DIV/0!</v>
      </c>
      <c r="M177" s="332" t="e">
        <f t="shared" si="112"/>
        <v>#DIV/0!</v>
      </c>
      <c r="N177" s="332" t="e">
        <f t="shared" si="112"/>
        <v>#DIV/0!</v>
      </c>
      <c r="O177" s="332" t="e">
        <f t="shared" si="112"/>
        <v>#DIV/0!</v>
      </c>
      <c r="P177" s="332">
        <f t="shared" si="112"/>
        <v>0</v>
      </c>
      <c r="Q177" s="292"/>
      <c r="R177" s="292"/>
      <c r="S177" s="292"/>
      <c r="T177" s="292"/>
    </row>
    <row r="178" spans="1:20">
      <c r="A178" s="292"/>
      <c r="B178" s="387" t="str">
        <f>($B$21)</f>
        <v>TKM</v>
      </c>
      <c r="C178" s="332" t="str">
        <f t="shared" ref="C178:P178" si="113">C23</f>
        <v>Tỷ lệ phế phẩm</v>
      </c>
      <c r="D178" s="332">
        <f t="shared" si="113"/>
        <v>0</v>
      </c>
      <c r="E178" s="332" t="e">
        <f t="shared" si="113"/>
        <v>#DIV/0!</v>
      </c>
      <c r="F178" s="332">
        <f t="shared" si="113"/>
        <v>0</v>
      </c>
      <c r="G178" s="332" t="e">
        <f t="shared" si="113"/>
        <v>#DIV/0!</v>
      </c>
      <c r="H178" s="332" t="e">
        <f t="shared" si="113"/>
        <v>#DIV/0!</v>
      </c>
      <c r="I178" s="332" t="e">
        <f t="shared" si="113"/>
        <v>#DIV/0!</v>
      </c>
      <c r="J178" s="332" t="e">
        <f t="shared" si="113"/>
        <v>#DIV/0!</v>
      </c>
      <c r="K178" s="332" t="e">
        <f t="shared" si="113"/>
        <v>#DIV/0!</v>
      </c>
      <c r="L178" s="332" t="e">
        <f t="shared" si="113"/>
        <v>#DIV/0!</v>
      </c>
      <c r="M178" s="332" t="e">
        <f t="shared" si="113"/>
        <v>#DIV/0!</v>
      </c>
      <c r="N178" s="332" t="e">
        <f t="shared" si="113"/>
        <v>#DIV/0!</v>
      </c>
      <c r="O178" s="332" t="e">
        <f t="shared" si="113"/>
        <v>#DIV/0!</v>
      </c>
      <c r="P178" s="332">
        <f t="shared" si="113"/>
        <v>0</v>
      </c>
      <c r="Q178" s="292"/>
      <c r="R178" s="292"/>
      <c r="S178" s="292"/>
      <c r="T178" s="292"/>
    </row>
    <row r="179" spans="1:20">
      <c r="A179" s="292"/>
      <c r="B179" s="387" t="str">
        <f>($B$24)</f>
        <v>VNM</v>
      </c>
      <c r="C179" s="332" t="str">
        <f t="shared" ref="C179:P179" si="114">C26</f>
        <v>Tỷ lệ phế phẩm</v>
      </c>
      <c r="D179" s="332">
        <f t="shared" si="114"/>
        <v>0</v>
      </c>
      <c r="E179" s="332">
        <f t="shared" si="114"/>
        <v>0</v>
      </c>
      <c r="F179" s="332">
        <f t="shared" si="114"/>
        <v>0</v>
      </c>
      <c r="G179" s="332" t="e">
        <f t="shared" si="114"/>
        <v>#DIV/0!</v>
      </c>
      <c r="H179" s="332" t="e">
        <f t="shared" si="114"/>
        <v>#DIV/0!</v>
      </c>
      <c r="I179" s="332" t="e">
        <f t="shared" si="114"/>
        <v>#DIV/0!</v>
      </c>
      <c r="J179" s="332" t="e">
        <f t="shared" si="114"/>
        <v>#DIV/0!</v>
      </c>
      <c r="K179" s="332" t="e">
        <f t="shared" si="114"/>
        <v>#DIV/0!</v>
      </c>
      <c r="L179" s="332" t="e">
        <f t="shared" si="114"/>
        <v>#DIV/0!</v>
      </c>
      <c r="M179" s="332" t="e">
        <f t="shared" si="114"/>
        <v>#DIV/0!</v>
      </c>
      <c r="N179" s="332" t="e">
        <f t="shared" si="114"/>
        <v>#DIV/0!</v>
      </c>
      <c r="O179" s="332" t="e">
        <f t="shared" si="114"/>
        <v>#DIV/0!</v>
      </c>
      <c r="P179" s="332">
        <f t="shared" si="114"/>
        <v>0</v>
      </c>
      <c r="Q179" s="292"/>
      <c r="R179" s="292"/>
      <c r="S179" s="292"/>
      <c r="T179" s="292"/>
    </row>
    <row r="180" spans="1:20">
      <c r="A180" s="292"/>
      <c r="B180" s="387" t="str">
        <f>($B$27)</f>
        <v>PUNCH</v>
      </c>
      <c r="C180" s="332" t="str">
        <f t="shared" ref="C180:P180" si="115">C29</f>
        <v>Tỷ lệ phế phẩm</v>
      </c>
      <c r="D180" s="332">
        <f t="shared" si="115"/>
        <v>0</v>
      </c>
      <c r="E180" s="332">
        <f t="shared" si="115"/>
        <v>0</v>
      </c>
      <c r="F180" s="332">
        <f t="shared" si="115"/>
        <v>0</v>
      </c>
      <c r="G180" s="332" t="e">
        <f t="shared" si="115"/>
        <v>#DIV/0!</v>
      </c>
      <c r="H180" s="332" t="e">
        <f t="shared" si="115"/>
        <v>#DIV/0!</v>
      </c>
      <c r="I180" s="332" t="e">
        <f t="shared" si="115"/>
        <v>#DIV/0!</v>
      </c>
      <c r="J180" s="332" t="e">
        <f t="shared" si="115"/>
        <v>#DIV/0!</v>
      </c>
      <c r="K180" s="332" t="e">
        <f t="shared" si="115"/>
        <v>#DIV/0!</v>
      </c>
      <c r="L180" s="332" t="e">
        <f t="shared" si="115"/>
        <v>#DIV/0!</v>
      </c>
      <c r="M180" s="332" t="e">
        <f t="shared" si="115"/>
        <v>#DIV/0!</v>
      </c>
      <c r="N180" s="332" t="e">
        <f t="shared" si="115"/>
        <v>#DIV/0!</v>
      </c>
      <c r="O180" s="332" t="e">
        <f t="shared" si="115"/>
        <v>#DIV/0!</v>
      </c>
      <c r="P180" s="332">
        <f t="shared" si="115"/>
        <v>0</v>
      </c>
      <c r="Q180" s="292"/>
      <c r="R180" s="292"/>
      <c r="S180" s="292"/>
      <c r="T180" s="292"/>
    </row>
    <row r="181" spans="1:20">
      <c r="A181" s="292"/>
      <c r="B181" s="387" t="str">
        <f>($B$30)</f>
        <v>CAO SU VIET</v>
      </c>
      <c r="C181" s="332" t="str">
        <f t="shared" ref="C181:P181" si="116">C32</f>
        <v>Tỷ lệ phế phẩm</v>
      </c>
      <c r="D181" s="332" t="e">
        <f t="shared" si="116"/>
        <v>#DIV/0!</v>
      </c>
      <c r="E181" s="332" t="e">
        <f t="shared" si="116"/>
        <v>#DIV/0!</v>
      </c>
      <c r="F181" s="332" t="e">
        <f t="shared" si="116"/>
        <v>#DIV/0!</v>
      </c>
      <c r="G181" s="332" t="e">
        <f t="shared" si="116"/>
        <v>#DIV/0!</v>
      </c>
      <c r="H181" s="332" t="e">
        <f t="shared" si="116"/>
        <v>#DIV/0!</v>
      </c>
      <c r="I181" s="332" t="e">
        <f t="shared" si="116"/>
        <v>#DIV/0!</v>
      </c>
      <c r="J181" s="332" t="e">
        <f t="shared" si="116"/>
        <v>#DIV/0!</v>
      </c>
      <c r="K181" s="332" t="e">
        <f t="shared" si="116"/>
        <v>#DIV/0!</v>
      </c>
      <c r="L181" s="332" t="e">
        <f t="shared" si="116"/>
        <v>#DIV/0!</v>
      </c>
      <c r="M181" s="332" t="e">
        <f t="shared" si="116"/>
        <v>#DIV/0!</v>
      </c>
      <c r="N181" s="332" t="e">
        <f t="shared" si="116"/>
        <v>#DIV/0!</v>
      </c>
      <c r="O181" s="332" t="e">
        <f t="shared" si="116"/>
        <v>#DIV/0!</v>
      </c>
      <c r="P181" s="332" t="e">
        <f t="shared" si="116"/>
        <v>#DIV/0!</v>
      </c>
      <c r="Q181" s="292"/>
      <c r="R181" s="292"/>
      <c r="S181" s="292"/>
      <c r="T181" s="292"/>
    </row>
    <row r="182" spans="1:20">
      <c r="A182" s="292"/>
      <c r="B182" s="387" t="str">
        <f>($B$33)</f>
        <v>VINATECH</v>
      </c>
      <c r="C182" s="332" t="str">
        <f t="shared" ref="C182:P182" si="117">C35</f>
        <v>Tỷ lệ phế phẩm</v>
      </c>
      <c r="D182" s="332" t="e">
        <f t="shared" si="117"/>
        <v>#DIV/0!</v>
      </c>
      <c r="E182" s="332" t="e">
        <f t="shared" si="117"/>
        <v>#DIV/0!</v>
      </c>
      <c r="F182" s="332" t="e">
        <f t="shared" si="117"/>
        <v>#DIV/0!</v>
      </c>
      <c r="G182" s="332" t="e">
        <f t="shared" si="117"/>
        <v>#DIV/0!</v>
      </c>
      <c r="H182" s="332" t="e">
        <f t="shared" si="117"/>
        <v>#DIV/0!</v>
      </c>
      <c r="I182" s="332" t="e">
        <f t="shared" si="117"/>
        <v>#DIV/0!</v>
      </c>
      <c r="J182" s="332" t="e">
        <f t="shared" si="117"/>
        <v>#DIV/0!</v>
      </c>
      <c r="K182" s="332" t="e">
        <f t="shared" si="117"/>
        <v>#DIV/0!</v>
      </c>
      <c r="L182" s="332" t="e">
        <f t="shared" si="117"/>
        <v>#DIV/0!</v>
      </c>
      <c r="M182" s="332" t="e">
        <f t="shared" si="117"/>
        <v>#DIV/0!</v>
      </c>
      <c r="N182" s="332" t="e">
        <f t="shared" si="117"/>
        <v>#DIV/0!</v>
      </c>
      <c r="O182" s="332" t="e">
        <f t="shared" si="117"/>
        <v>#DIV/0!</v>
      </c>
      <c r="P182" s="332" t="e">
        <f t="shared" si="117"/>
        <v>#DIV/0!</v>
      </c>
      <c r="Q182" s="292"/>
      <c r="R182" s="292"/>
      <c r="S182" s="292"/>
      <c r="T182" s="292"/>
    </row>
    <row r="183" spans="1:20">
      <c r="A183" s="292"/>
      <c r="B183" s="387" t="str">
        <f>($B$36)</f>
        <v>KA SHIN</v>
      </c>
      <c r="C183" s="332" t="str">
        <f t="shared" ref="C183:P183" si="118">C38</f>
        <v>Tỷ lệ phế phẩm</v>
      </c>
      <c r="D183" s="332">
        <f t="shared" si="118"/>
        <v>0</v>
      </c>
      <c r="E183" s="332" t="e">
        <f t="shared" si="118"/>
        <v>#DIV/0!</v>
      </c>
      <c r="F183" s="332">
        <f t="shared" si="118"/>
        <v>0</v>
      </c>
      <c r="G183" s="332" t="e">
        <f t="shared" si="118"/>
        <v>#DIV/0!</v>
      </c>
      <c r="H183" s="332" t="e">
        <f t="shared" si="118"/>
        <v>#DIV/0!</v>
      </c>
      <c r="I183" s="332" t="e">
        <f t="shared" si="118"/>
        <v>#DIV/0!</v>
      </c>
      <c r="J183" s="332" t="e">
        <f t="shared" si="118"/>
        <v>#DIV/0!</v>
      </c>
      <c r="K183" s="332" t="e">
        <f t="shared" si="118"/>
        <v>#DIV/0!</v>
      </c>
      <c r="L183" s="332" t="e">
        <f t="shared" si="118"/>
        <v>#DIV/0!</v>
      </c>
      <c r="M183" s="332" t="e">
        <f t="shared" si="118"/>
        <v>#DIV/0!</v>
      </c>
      <c r="N183" s="332" t="e">
        <f t="shared" si="118"/>
        <v>#DIV/0!</v>
      </c>
      <c r="O183" s="332" t="e">
        <f t="shared" si="118"/>
        <v>#DIV/0!</v>
      </c>
      <c r="P183" s="332">
        <f t="shared" si="118"/>
        <v>0</v>
      </c>
      <c r="Q183" s="292"/>
      <c r="R183" s="292"/>
      <c r="S183" s="292"/>
      <c r="T183" s="292"/>
    </row>
    <row r="184" spans="1:20">
      <c r="A184" s="292"/>
      <c r="B184" s="387" t="str">
        <f>($B$39)</f>
        <v>MINH THINH LOI</v>
      </c>
      <c r="C184" s="332" t="str">
        <f t="shared" ref="C184:P184" si="119">C41</f>
        <v>Tỷ lệ phế phẩm</v>
      </c>
      <c r="D184" s="332">
        <f t="shared" si="119"/>
        <v>0</v>
      </c>
      <c r="E184" s="332">
        <f t="shared" si="119"/>
        <v>0</v>
      </c>
      <c r="F184" s="332">
        <f t="shared" si="119"/>
        <v>0</v>
      </c>
      <c r="G184" s="332" t="e">
        <f t="shared" si="119"/>
        <v>#DIV/0!</v>
      </c>
      <c r="H184" s="332" t="e">
        <f t="shared" si="119"/>
        <v>#DIV/0!</v>
      </c>
      <c r="I184" s="332" t="e">
        <f t="shared" si="119"/>
        <v>#DIV/0!</v>
      </c>
      <c r="J184" s="332" t="e">
        <f t="shared" si="119"/>
        <v>#DIV/0!</v>
      </c>
      <c r="K184" s="332" t="e">
        <f t="shared" si="119"/>
        <v>#DIV/0!</v>
      </c>
      <c r="L184" s="332" t="e">
        <f t="shared" si="119"/>
        <v>#DIV/0!</v>
      </c>
      <c r="M184" s="332" t="e">
        <f t="shared" si="119"/>
        <v>#DIV/0!</v>
      </c>
      <c r="N184" s="332" t="e">
        <f t="shared" si="119"/>
        <v>#DIV/0!</v>
      </c>
      <c r="O184" s="332" t="e">
        <f t="shared" si="119"/>
        <v>#DIV/0!</v>
      </c>
      <c r="P184" s="332">
        <f t="shared" si="119"/>
        <v>0</v>
      </c>
      <c r="Q184" s="292"/>
      <c r="R184" s="292"/>
      <c r="S184" s="292"/>
      <c r="T184" s="292"/>
    </row>
    <row r="185" spans="1:20">
      <c r="A185" s="292"/>
      <c r="B185" s="387" t="str">
        <f>($B$42)</f>
        <v>KIWA</v>
      </c>
      <c r="C185" s="332" t="str">
        <f t="shared" ref="C185:P185" si="120">C44</f>
        <v>Tỷ lệ phế phẩm</v>
      </c>
      <c r="D185" s="332">
        <f t="shared" si="120"/>
        <v>0</v>
      </c>
      <c r="E185" s="332">
        <f t="shared" si="120"/>
        <v>1.6949152542372881E-2</v>
      </c>
      <c r="F185" s="332">
        <f t="shared" si="120"/>
        <v>6.25E-2</v>
      </c>
      <c r="G185" s="332" t="e">
        <f t="shared" si="120"/>
        <v>#DIV/0!</v>
      </c>
      <c r="H185" s="332" t="e">
        <f t="shared" si="120"/>
        <v>#DIV/0!</v>
      </c>
      <c r="I185" s="332" t="e">
        <f t="shared" si="120"/>
        <v>#DIV/0!</v>
      </c>
      <c r="J185" s="332" t="e">
        <f t="shared" si="120"/>
        <v>#DIV/0!</v>
      </c>
      <c r="K185" s="332" t="e">
        <f t="shared" si="120"/>
        <v>#DIV/0!</v>
      </c>
      <c r="L185" s="332" t="e">
        <f t="shared" si="120"/>
        <v>#DIV/0!</v>
      </c>
      <c r="M185" s="332" t="e">
        <f t="shared" si="120"/>
        <v>#DIV/0!</v>
      </c>
      <c r="N185" s="332" t="e">
        <f t="shared" si="120"/>
        <v>#DIV/0!</v>
      </c>
      <c r="O185" s="332" t="e">
        <f t="shared" si="120"/>
        <v>#DIV/0!</v>
      </c>
      <c r="P185" s="332">
        <f t="shared" si="120"/>
        <v>2.2123893805309734E-2</v>
      </c>
      <c r="Q185" s="292"/>
      <c r="R185" s="292"/>
      <c r="S185" s="292"/>
      <c r="T185" s="292"/>
    </row>
    <row r="186" spans="1:20">
      <c r="A186" s="292"/>
      <c r="B186" s="387" t="str">
        <f>($B$45)</f>
        <v>LE HOANG ANH</v>
      </c>
      <c r="C186" s="332" t="str">
        <f t="shared" ref="C186:P186" si="121">C47</f>
        <v>Tỷ lệ phế phẩm</v>
      </c>
      <c r="D186" s="332">
        <f t="shared" si="121"/>
        <v>0</v>
      </c>
      <c r="E186" s="332">
        <f t="shared" si="121"/>
        <v>0</v>
      </c>
      <c r="F186" s="332">
        <f t="shared" si="121"/>
        <v>0</v>
      </c>
      <c r="G186" s="332" t="e">
        <f t="shared" si="121"/>
        <v>#DIV/0!</v>
      </c>
      <c r="H186" s="332" t="e">
        <f t="shared" si="121"/>
        <v>#DIV/0!</v>
      </c>
      <c r="I186" s="332" t="e">
        <f t="shared" si="121"/>
        <v>#DIV/0!</v>
      </c>
      <c r="J186" s="332" t="e">
        <f t="shared" si="121"/>
        <v>#DIV/0!</v>
      </c>
      <c r="K186" s="332" t="e">
        <f t="shared" si="121"/>
        <v>#DIV/0!</v>
      </c>
      <c r="L186" s="332" t="e">
        <f t="shared" si="121"/>
        <v>#DIV/0!</v>
      </c>
      <c r="M186" s="332" t="e">
        <f t="shared" si="121"/>
        <v>#DIV/0!</v>
      </c>
      <c r="N186" s="332" t="e">
        <f t="shared" si="121"/>
        <v>#DIV/0!</v>
      </c>
      <c r="O186" s="332" t="e">
        <f t="shared" si="121"/>
        <v>#DIV/0!</v>
      </c>
      <c r="P186" s="332">
        <f t="shared" si="121"/>
        <v>0</v>
      </c>
      <c r="Q186" s="292"/>
      <c r="R186" s="292"/>
      <c r="S186" s="292"/>
      <c r="T186" s="292"/>
    </row>
    <row r="187" spans="1:20">
      <c r="A187" s="292"/>
      <c r="B187" s="387" t="str">
        <f>($B$48)</f>
        <v>ISHISEI</v>
      </c>
      <c r="C187" s="332" t="str">
        <f t="shared" ref="C187:P187" si="122">C50</f>
        <v>Tỷ lệ phế phẩm</v>
      </c>
      <c r="D187" s="332">
        <f t="shared" si="122"/>
        <v>0</v>
      </c>
      <c r="E187" s="332">
        <f t="shared" si="122"/>
        <v>0</v>
      </c>
      <c r="F187" s="332">
        <f t="shared" si="122"/>
        <v>0</v>
      </c>
      <c r="G187" s="332" t="e">
        <f t="shared" si="122"/>
        <v>#DIV/0!</v>
      </c>
      <c r="H187" s="332" t="e">
        <f t="shared" si="122"/>
        <v>#DIV/0!</v>
      </c>
      <c r="I187" s="332" t="e">
        <f t="shared" si="122"/>
        <v>#DIV/0!</v>
      </c>
      <c r="J187" s="332" t="e">
        <f t="shared" si="122"/>
        <v>#DIV/0!</v>
      </c>
      <c r="K187" s="332" t="e">
        <f t="shared" si="122"/>
        <v>#DIV/0!</v>
      </c>
      <c r="L187" s="332" t="e">
        <f t="shared" si="122"/>
        <v>#DIV/0!</v>
      </c>
      <c r="M187" s="332" t="e">
        <f t="shared" si="122"/>
        <v>#DIV/0!</v>
      </c>
      <c r="N187" s="332" t="e">
        <f t="shared" si="122"/>
        <v>#DIV/0!</v>
      </c>
      <c r="O187" s="332" t="e">
        <f t="shared" si="122"/>
        <v>#DIV/0!</v>
      </c>
      <c r="P187" s="332">
        <f t="shared" si="122"/>
        <v>0</v>
      </c>
      <c r="Q187" s="292"/>
      <c r="R187" s="292"/>
      <c r="S187" s="292"/>
      <c r="T187" s="292"/>
    </row>
    <row r="188" spans="1:20">
      <c r="A188" s="292"/>
      <c r="B188" s="387" t="str">
        <f>($B$51)</f>
        <v>TRUNG PHAT</v>
      </c>
      <c r="C188" s="332" t="str">
        <f t="shared" ref="C188:P188" si="123">C53</f>
        <v>Tỷ lệ phế phẩm</v>
      </c>
      <c r="D188" s="332">
        <f t="shared" si="123"/>
        <v>0</v>
      </c>
      <c r="E188" s="332">
        <f t="shared" si="123"/>
        <v>0</v>
      </c>
      <c r="F188" s="332">
        <f t="shared" si="123"/>
        <v>0</v>
      </c>
      <c r="G188" s="332" t="e">
        <f t="shared" si="123"/>
        <v>#DIV/0!</v>
      </c>
      <c r="H188" s="332" t="e">
        <f t="shared" si="123"/>
        <v>#DIV/0!</v>
      </c>
      <c r="I188" s="332" t="e">
        <f t="shared" si="123"/>
        <v>#DIV/0!</v>
      </c>
      <c r="J188" s="332" t="e">
        <f t="shared" si="123"/>
        <v>#DIV/0!</v>
      </c>
      <c r="K188" s="332" t="e">
        <f t="shared" si="123"/>
        <v>#DIV/0!</v>
      </c>
      <c r="L188" s="332" t="e">
        <f t="shared" si="123"/>
        <v>#DIV/0!</v>
      </c>
      <c r="M188" s="332" t="e">
        <f t="shared" si="123"/>
        <v>#DIV/0!</v>
      </c>
      <c r="N188" s="332" t="e">
        <f t="shared" si="123"/>
        <v>#DIV/0!</v>
      </c>
      <c r="O188" s="332" t="e">
        <f t="shared" si="123"/>
        <v>#DIV/0!</v>
      </c>
      <c r="P188" s="332">
        <f t="shared" si="123"/>
        <v>0</v>
      </c>
      <c r="Q188" s="292"/>
      <c r="R188" s="292"/>
      <c r="S188" s="292"/>
      <c r="T188" s="292"/>
    </row>
    <row r="189" spans="1:20">
      <c r="A189" s="292"/>
      <c r="B189" s="387" t="str">
        <f>($B$54)</f>
        <v>AN MI</v>
      </c>
      <c r="C189" s="332" t="str">
        <f t="shared" ref="C189:P189" si="124">C56</f>
        <v>Tỷ lệ phế phẩm</v>
      </c>
      <c r="D189" s="332" t="e">
        <f t="shared" si="124"/>
        <v>#DIV/0!</v>
      </c>
      <c r="E189" s="332" t="e">
        <f t="shared" si="124"/>
        <v>#DIV/0!</v>
      </c>
      <c r="F189" s="332">
        <f t="shared" si="124"/>
        <v>0</v>
      </c>
      <c r="G189" s="332" t="e">
        <f t="shared" si="124"/>
        <v>#DIV/0!</v>
      </c>
      <c r="H189" s="332" t="e">
        <f t="shared" si="124"/>
        <v>#DIV/0!</v>
      </c>
      <c r="I189" s="332" t="e">
        <f t="shared" si="124"/>
        <v>#DIV/0!</v>
      </c>
      <c r="J189" s="332" t="e">
        <f t="shared" si="124"/>
        <v>#DIV/0!</v>
      </c>
      <c r="K189" s="332" t="e">
        <f t="shared" si="124"/>
        <v>#DIV/0!</v>
      </c>
      <c r="L189" s="332" t="e">
        <f t="shared" si="124"/>
        <v>#DIV/0!</v>
      </c>
      <c r="M189" s="332" t="e">
        <f t="shared" si="124"/>
        <v>#DIV/0!</v>
      </c>
      <c r="N189" s="332" t="e">
        <f t="shared" si="124"/>
        <v>#DIV/0!</v>
      </c>
      <c r="O189" s="332" t="e">
        <f t="shared" si="124"/>
        <v>#DIV/0!</v>
      </c>
      <c r="P189" s="332">
        <f t="shared" si="124"/>
        <v>0</v>
      </c>
      <c r="Q189" s="292"/>
      <c r="R189" s="292"/>
      <c r="S189" s="292"/>
      <c r="T189" s="292"/>
    </row>
    <row r="190" spans="1:20">
      <c r="A190" s="292"/>
      <c r="B190" s="387" t="str">
        <f>($B$57)</f>
        <v>OSG</v>
      </c>
      <c r="C190" s="332" t="str">
        <f t="shared" ref="C190:P190" si="125">C59</f>
        <v>Tỷ lệ phế phẩm</v>
      </c>
      <c r="D190" s="332" t="e">
        <f t="shared" si="125"/>
        <v>#DIV/0!</v>
      </c>
      <c r="E190" s="332">
        <f t="shared" si="125"/>
        <v>0</v>
      </c>
      <c r="F190" s="332" t="e">
        <f t="shared" si="125"/>
        <v>#DIV/0!</v>
      </c>
      <c r="G190" s="332" t="e">
        <f t="shared" si="125"/>
        <v>#DIV/0!</v>
      </c>
      <c r="H190" s="332" t="e">
        <f t="shared" si="125"/>
        <v>#DIV/0!</v>
      </c>
      <c r="I190" s="332" t="e">
        <f t="shared" si="125"/>
        <v>#DIV/0!</v>
      </c>
      <c r="J190" s="332" t="e">
        <f t="shared" si="125"/>
        <v>#DIV/0!</v>
      </c>
      <c r="K190" s="332" t="e">
        <f t="shared" si="125"/>
        <v>#DIV/0!</v>
      </c>
      <c r="L190" s="332" t="e">
        <f t="shared" si="125"/>
        <v>#DIV/0!</v>
      </c>
      <c r="M190" s="332" t="e">
        <f t="shared" si="125"/>
        <v>#DIV/0!</v>
      </c>
      <c r="N190" s="332" t="e">
        <f t="shared" si="125"/>
        <v>#DIV/0!</v>
      </c>
      <c r="O190" s="332" t="e">
        <f t="shared" si="125"/>
        <v>#DIV/0!</v>
      </c>
      <c r="P190" s="332">
        <f t="shared" si="125"/>
        <v>0</v>
      </c>
      <c r="Q190" s="292"/>
      <c r="R190" s="292"/>
      <c r="S190" s="292"/>
      <c r="T190" s="292"/>
    </row>
    <row r="191" spans="1:20">
      <c r="A191" s="292"/>
      <c r="B191" s="387" t="str">
        <f>($B$60)</f>
        <v>UWC</v>
      </c>
      <c r="C191" s="332" t="str">
        <f t="shared" ref="C191:P191" si="126">C62</f>
        <v>Tỷ lệ phế phẩm</v>
      </c>
      <c r="D191" s="332">
        <f t="shared" si="126"/>
        <v>0</v>
      </c>
      <c r="E191" s="332">
        <f t="shared" si="126"/>
        <v>0</v>
      </c>
      <c r="F191" s="332">
        <f t="shared" si="126"/>
        <v>0</v>
      </c>
      <c r="G191" s="332" t="e">
        <f t="shared" si="126"/>
        <v>#DIV/0!</v>
      </c>
      <c r="H191" s="332" t="e">
        <f t="shared" si="126"/>
        <v>#DIV/0!</v>
      </c>
      <c r="I191" s="332" t="e">
        <f t="shared" si="126"/>
        <v>#DIV/0!</v>
      </c>
      <c r="J191" s="332" t="e">
        <f t="shared" si="126"/>
        <v>#DIV/0!</v>
      </c>
      <c r="K191" s="332" t="e">
        <f t="shared" si="126"/>
        <v>#DIV/0!</v>
      </c>
      <c r="L191" s="332" t="e">
        <f t="shared" si="126"/>
        <v>#DIV/0!</v>
      </c>
      <c r="M191" s="332" t="e">
        <f t="shared" si="126"/>
        <v>#DIV/0!</v>
      </c>
      <c r="N191" s="332" t="e">
        <f t="shared" si="126"/>
        <v>#DIV/0!</v>
      </c>
      <c r="O191" s="332" t="e">
        <f t="shared" si="126"/>
        <v>#DIV/0!</v>
      </c>
      <c r="P191" s="332">
        <f t="shared" si="126"/>
        <v>0</v>
      </c>
      <c r="Q191" s="292"/>
      <c r="R191" s="292"/>
      <c r="S191" s="292"/>
      <c r="T191" s="292"/>
    </row>
    <row r="192" spans="1:20">
      <c r="A192" s="292"/>
      <c r="B192" s="387" t="str">
        <f>($B$63)</f>
        <v>A&amp;D</v>
      </c>
      <c r="C192" s="332" t="str">
        <f t="shared" ref="C192:P192" si="127">C65</f>
        <v>Tỷ lệ phế phẩm</v>
      </c>
      <c r="D192" s="332">
        <f t="shared" si="127"/>
        <v>0</v>
      </c>
      <c r="E192" s="332">
        <f t="shared" si="127"/>
        <v>0</v>
      </c>
      <c r="F192" s="332">
        <f t="shared" si="127"/>
        <v>0</v>
      </c>
      <c r="G192" s="332" t="e">
        <f t="shared" si="127"/>
        <v>#DIV/0!</v>
      </c>
      <c r="H192" s="332" t="e">
        <f t="shared" si="127"/>
        <v>#DIV/0!</v>
      </c>
      <c r="I192" s="332" t="e">
        <f t="shared" si="127"/>
        <v>#DIV/0!</v>
      </c>
      <c r="J192" s="332" t="e">
        <f t="shared" si="127"/>
        <v>#DIV/0!</v>
      </c>
      <c r="K192" s="332" t="e">
        <f t="shared" si="127"/>
        <v>#DIV/0!</v>
      </c>
      <c r="L192" s="332" t="e">
        <f t="shared" si="127"/>
        <v>#DIV/0!</v>
      </c>
      <c r="M192" s="332" t="e">
        <f t="shared" si="127"/>
        <v>#DIV/0!</v>
      </c>
      <c r="N192" s="332" t="e">
        <f t="shared" si="127"/>
        <v>#DIV/0!</v>
      </c>
      <c r="O192" s="332" t="e">
        <f t="shared" si="127"/>
        <v>#DIV/0!</v>
      </c>
      <c r="P192" s="332">
        <f t="shared" si="127"/>
        <v>0</v>
      </c>
      <c r="Q192" s="292"/>
      <c r="R192" s="292"/>
      <c r="S192" s="292"/>
      <c r="T192" s="292"/>
    </row>
    <row r="193" spans="1:20">
      <c r="A193" s="292"/>
      <c r="B193" s="387" t="str">
        <f>($B$66)</f>
        <v>SAKURA</v>
      </c>
      <c r="C193" s="332" t="str">
        <f t="shared" ref="C193:P193" si="128">C68</f>
        <v>Tỷ lệ phế phẩm</v>
      </c>
      <c r="D193" s="332" t="e">
        <f t="shared" si="128"/>
        <v>#DIV/0!</v>
      </c>
      <c r="E193" s="332" t="e">
        <f t="shared" si="128"/>
        <v>#DIV/0!</v>
      </c>
      <c r="F193" s="332" t="e">
        <f t="shared" si="128"/>
        <v>#DIV/0!</v>
      </c>
      <c r="G193" s="332" t="e">
        <f t="shared" si="128"/>
        <v>#DIV/0!</v>
      </c>
      <c r="H193" s="332" t="e">
        <f t="shared" si="128"/>
        <v>#DIV/0!</v>
      </c>
      <c r="I193" s="332" t="e">
        <f t="shared" si="128"/>
        <v>#DIV/0!</v>
      </c>
      <c r="J193" s="332" t="e">
        <f t="shared" si="128"/>
        <v>#DIV/0!</v>
      </c>
      <c r="K193" s="332" t="e">
        <f t="shared" si="128"/>
        <v>#DIV/0!</v>
      </c>
      <c r="L193" s="332" t="e">
        <f t="shared" si="128"/>
        <v>#DIV/0!</v>
      </c>
      <c r="M193" s="332" t="e">
        <f t="shared" si="128"/>
        <v>#DIV/0!</v>
      </c>
      <c r="N193" s="332" t="e">
        <f t="shared" si="128"/>
        <v>#DIV/0!</v>
      </c>
      <c r="O193" s="332" t="e">
        <f t="shared" si="128"/>
        <v>#DIV/0!</v>
      </c>
      <c r="P193" s="332" t="e">
        <f t="shared" si="128"/>
        <v>#DIV/0!</v>
      </c>
      <c r="Q193" s="292"/>
      <c r="R193" s="292"/>
      <c r="S193" s="292"/>
      <c r="T193" s="292"/>
    </row>
    <row r="194" spans="1:20">
      <c r="A194" s="292"/>
      <c r="B194" s="387" t="str">
        <f>($B$69)</f>
        <v xml:space="preserve">PRECEDE ML </v>
      </c>
      <c r="C194" s="332" t="str">
        <f t="shared" ref="C194:P194" si="129">C71</f>
        <v>Tỷ lệ phế phẩm</v>
      </c>
      <c r="D194" s="332" t="e">
        <f t="shared" si="129"/>
        <v>#DIV/0!</v>
      </c>
      <c r="E194" s="332" t="e">
        <f t="shared" si="129"/>
        <v>#DIV/0!</v>
      </c>
      <c r="F194" s="332" t="e">
        <f t="shared" si="129"/>
        <v>#DIV/0!</v>
      </c>
      <c r="G194" s="332" t="e">
        <f t="shared" si="129"/>
        <v>#DIV/0!</v>
      </c>
      <c r="H194" s="332" t="e">
        <f t="shared" si="129"/>
        <v>#DIV/0!</v>
      </c>
      <c r="I194" s="332" t="e">
        <f t="shared" si="129"/>
        <v>#DIV/0!</v>
      </c>
      <c r="J194" s="332" t="e">
        <f t="shared" si="129"/>
        <v>#DIV/0!</v>
      </c>
      <c r="K194" s="332" t="e">
        <f t="shared" si="129"/>
        <v>#DIV/0!</v>
      </c>
      <c r="L194" s="332" t="e">
        <f t="shared" si="129"/>
        <v>#DIV/0!</v>
      </c>
      <c r="M194" s="332" t="e">
        <f t="shared" si="129"/>
        <v>#DIV/0!</v>
      </c>
      <c r="N194" s="332" t="e">
        <f t="shared" si="129"/>
        <v>#DIV/0!</v>
      </c>
      <c r="O194" s="332" t="e">
        <f t="shared" si="129"/>
        <v>#DIV/0!</v>
      </c>
      <c r="P194" s="332" t="e">
        <f t="shared" si="129"/>
        <v>#DIV/0!</v>
      </c>
      <c r="Q194" s="292"/>
      <c r="R194" s="292"/>
      <c r="S194" s="292"/>
      <c r="T194" s="292"/>
    </row>
    <row r="195" spans="1:20">
      <c r="A195" s="292"/>
      <c r="B195" s="387" t="str">
        <f>($B$72)</f>
        <v>VIET NHAT TAN</v>
      </c>
      <c r="C195" s="332" t="str">
        <f t="shared" ref="C195:P195" si="130">C74</f>
        <v>Tỷ lệ phế phẩm</v>
      </c>
      <c r="D195" s="332">
        <f t="shared" si="130"/>
        <v>0</v>
      </c>
      <c r="E195" s="332" t="e">
        <f t="shared" si="130"/>
        <v>#DIV/0!</v>
      </c>
      <c r="F195" s="332">
        <f t="shared" si="130"/>
        <v>0</v>
      </c>
      <c r="G195" s="332" t="e">
        <f t="shared" si="130"/>
        <v>#DIV/0!</v>
      </c>
      <c r="H195" s="332" t="e">
        <f t="shared" si="130"/>
        <v>#DIV/0!</v>
      </c>
      <c r="I195" s="332" t="e">
        <f t="shared" si="130"/>
        <v>#DIV/0!</v>
      </c>
      <c r="J195" s="332" t="e">
        <f t="shared" si="130"/>
        <v>#DIV/0!</v>
      </c>
      <c r="K195" s="332" t="e">
        <f t="shared" si="130"/>
        <v>#DIV/0!</v>
      </c>
      <c r="L195" s="332" t="e">
        <f t="shared" si="130"/>
        <v>#DIV/0!</v>
      </c>
      <c r="M195" s="332" t="e">
        <f t="shared" si="130"/>
        <v>#DIV/0!</v>
      </c>
      <c r="N195" s="332" t="e">
        <f t="shared" si="130"/>
        <v>#DIV/0!</v>
      </c>
      <c r="O195" s="332" t="e">
        <f t="shared" si="130"/>
        <v>#DIV/0!</v>
      </c>
      <c r="P195" s="332">
        <f t="shared" si="130"/>
        <v>0</v>
      </c>
      <c r="Q195" s="292"/>
      <c r="R195" s="292"/>
      <c r="S195" s="292"/>
      <c r="T195" s="292"/>
    </row>
    <row r="196" spans="1:20">
      <c r="A196" s="292"/>
      <c r="B196" s="387" t="str">
        <f>($B$75)</f>
        <v>YES SAI GON</v>
      </c>
      <c r="C196" s="332" t="str">
        <f t="shared" ref="C196:P196" si="131">C77</f>
        <v>Tỷ lệ phế phẩm</v>
      </c>
      <c r="D196" s="332">
        <f t="shared" si="131"/>
        <v>0</v>
      </c>
      <c r="E196" s="332">
        <f t="shared" si="131"/>
        <v>0</v>
      </c>
      <c r="F196" s="332">
        <f t="shared" si="131"/>
        <v>0</v>
      </c>
      <c r="G196" s="332" t="e">
        <f t="shared" si="131"/>
        <v>#DIV/0!</v>
      </c>
      <c r="H196" s="332" t="e">
        <f t="shared" si="131"/>
        <v>#DIV/0!</v>
      </c>
      <c r="I196" s="332" t="e">
        <f t="shared" si="131"/>
        <v>#DIV/0!</v>
      </c>
      <c r="J196" s="332" t="e">
        <f t="shared" si="131"/>
        <v>#DIV/0!</v>
      </c>
      <c r="K196" s="332" t="e">
        <f t="shared" si="131"/>
        <v>#DIV/0!</v>
      </c>
      <c r="L196" s="332" t="e">
        <f t="shared" si="131"/>
        <v>#DIV/0!</v>
      </c>
      <c r="M196" s="332" t="e">
        <f t="shared" si="131"/>
        <v>#DIV/0!</v>
      </c>
      <c r="N196" s="332" t="e">
        <f t="shared" si="131"/>
        <v>#DIV/0!</v>
      </c>
      <c r="O196" s="332" t="e">
        <f t="shared" si="131"/>
        <v>#DIV/0!</v>
      </c>
      <c r="P196" s="332">
        <f t="shared" si="131"/>
        <v>0</v>
      </c>
      <c r="Q196" s="292"/>
      <c r="R196" s="292"/>
      <c r="S196" s="292"/>
      <c r="T196" s="292"/>
    </row>
    <row r="197" spans="1:20">
      <c r="A197" s="292"/>
      <c r="B197" s="387" t="str">
        <f>($B$78)</f>
        <v>FINECS</v>
      </c>
      <c r="C197" s="332" t="str">
        <f t="shared" ref="C197:P197" si="132">C80</f>
        <v>Tỷ lệ phế phẩm</v>
      </c>
      <c r="D197" s="332" t="e">
        <f t="shared" si="132"/>
        <v>#DIV/0!</v>
      </c>
      <c r="E197" s="332">
        <f t="shared" si="132"/>
        <v>0</v>
      </c>
      <c r="F197" s="332">
        <f t="shared" si="132"/>
        <v>0</v>
      </c>
      <c r="G197" s="332" t="e">
        <f t="shared" si="132"/>
        <v>#DIV/0!</v>
      </c>
      <c r="H197" s="332" t="e">
        <f t="shared" si="132"/>
        <v>#DIV/0!</v>
      </c>
      <c r="I197" s="332" t="e">
        <f t="shared" si="132"/>
        <v>#DIV/0!</v>
      </c>
      <c r="J197" s="332" t="e">
        <f t="shared" si="132"/>
        <v>#DIV/0!</v>
      </c>
      <c r="K197" s="332" t="e">
        <f t="shared" si="132"/>
        <v>#DIV/0!</v>
      </c>
      <c r="L197" s="332" t="e">
        <f t="shared" si="132"/>
        <v>#DIV/0!</v>
      </c>
      <c r="M197" s="332" t="e">
        <f t="shared" si="132"/>
        <v>#DIV/0!</v>
      </c>
      <c r="N197" s="332" t="e">
        <f t="shared" si="132"/>
        <v>#DIV/0!</v>
      </c>
      <c r="O197" s="332" t="e">
        <f t="shared" si="132"/>
        <v>#DIV/0!</v>
      </c>
      <c r="P197" s="332">
        <f t="shared" si="132"/>
        <v>0</v>
      </c>
      <c r="Q197" s="292"/>
      <c r="R197" s="292"/>
      <c r="S197" s="292"/>
      <c r="T197" s="292"/>
    </row>
    <row r="198" spans="1:20">
      <c r="A198" s="292"/>
      <c r="B198" s="387" t="str">
        <f>($B$81)</f>
        <v>HUYNH DUC</v>
      </c>
      <c r="C198" s="332" t="str">
        <f t="shared" ref="C198:P198" si="133">C83</f>
        <v>Tỷ lệ phế phẩm</v>
      </c>
      <c r="D198" s="332">
        <f t="shared" si="133"/>
        <v>0</v>
      </c>
      <c r="E198" s="332">
        <f t="shared" si="133"/>
        <v>0</v>
      </c>
      <c r="F198" s="332">
        <f t="shared" si="133"/>
        <v>0</v>
      </c>
      <c r="G198" s="332" t="e">
        <f t="shared" si="133"/>
        <v>#DIV/0!</v>
      </c>
      <c r="H198" s="332" t="e">
        <f t="shared" si="133"/>
        <v>#DIV/0!</v>
      </c>
      <c r="I198" s="332" t="e">
        <f t="shared" si="133"/>
        <v>#DIV/0!</v>
      </c>
      <c r="J198" s="332" t="e">
        <f t="shared" si="133"/>
        <v>#DIV/0!</v>
      </c>
      <c r="K198" s="332" t="e">
        <f t="shared" si="133"/>
        <v>#DIV/0!</v>
      </c>
      <c r="L198" s="332" t="e">
        <f t="shared" si="133"/>
        <v>#DIV/0!</v>
      </c>
      <c r="M198" s="332" t="e">
        <f t="shared" si="133"/>
        <v>#DIV/0!</v>
      </c>
      <c r="N198" s="332" t="e">
        <f t="shared" si="133"/>
        <v>#DIV/0!</v>
      </c>
      <c r="O198" s="332" t="e">
        <f t="shared" si="133"/>
        <v>#DIV/0!</v>
      </c>
      <c r="P198" s="332">
        <f t="shared" si="133"/>
        <v>0</v>
      </c>
      <c r="Q198" s="292"/>
      <c r="R198" s="292"/>
      <c r="S198" s="292"/>
      <c r="T198" s="292"/>
    </row>
    <row r="199" spans="1:20">
      <c r="A199" s="292"/>
      <c r="B199" s="387" t="str">
        <f>($B$84)</f>
        <v>AMERIX</v>
      </c>
      <c r="C199" s="332" t="str">
        <f>C86</f>
        <v>Tỷ lệ phế phẩm</v>
      </c>
      <c r="D199" s="332">
        <f>D86</f>
        <v>0</v>
      </c>
      <c r="E199" s="332">
        <f t="shared" ref="E199:P199" si="134">E86</f>
        <v>0</v>
      </c>
      <c r="F199" s="332">
        <f t="shared" si="134"/>
        <v>0</v>
      </c>
      <c r="G199" s="332" t="e">
        <f t="shared" si="134"/>
        <v>#DIV/0!</v>
      </c>
      <c r="H199" s="332" t="e">
        <f t="shared" si="134"/>
        <v>#DIV/0!</v>
      </c>
      <c r="I199" s="332" t="e">
        <f t="shared" si="134"/>
        <v>#DIV/0!</v>
      </c>
      <c r="J199" s="332" t="e">
        <f t="shared" si="134"/>
        <v>#DIV/0!</v>
      </c>
      <c r="K199" s="332" t="e">
        <f t="shared" si="134"/>
        <v>#DIV/0!</v>
      </c>
      <c r="L199" s="332" t="e">
        <f t="shared" si="134"/>
        <v>#DIV/0!</v>
      </c>
      <c r="M199" s="332" t="e">
        <f t="shared" si="134"/>
        <v>#DIV/0!</v>
      </c>
      <c r="N199" s="332" t="e">
        <f t="shared" si="134"/>
        <v>#DIV/0!</v>
      </c>
      <c r="O199" s="332" t="e">
        <f t="shared" si="134"/>
        <v>#DIV/0!</v>
      </c>
      <c r="P199" s="332">
        <f t="shared" si="134"/>
        <v>0</v>
      </c>
      <c r="Q199" s="292"/>
      <c r="R199" s="292"/>
      <c r="S199" s="292"/>
      <c r="T199" s="292"/>
    </row>
    <row r="200" spans="1:20">
      <c r="A200" s="292"/>
      <c r="B200" s="387" t="str">
        <f>($B$87)</f>
        <v>CHAU DA</v>
      </c>
      <c r="C200" s="332" t="str">
        <f>C89</f>
        <v>Tỷ lệ phế phẩm</v>
      </c>
      <c r="D200" s="332" t="e">
        <f>D89</f>
        <v>#DIV/0!</v>
      </c>
      <c r="E200" s="332" t="e">
        <f t="shared" ref="E200:P200" si="135">E89</f>
        <v>#DIV/0!</v>
      </c>
      <c r="F200" s="332" t="e">
        <f t="shared" si="135"/>
        <v>#DIV/0!</v>
      </c>
      <c r="G200" s="332" t="e">
        <f t="shared" si="135"/>
        <v>#DIV/0!</v>
      </c>
      <c r="H200" s="332" t="e">
        <f t="shared" si="135"/>
        <v>#DIV/0!</v>
      </c>
      <c r="I200" s="332" t="e">
        <f t="shared" si="135"/>
        <v>#DIV/0!</v>
      </c>
      <c r="J200" s="332" t="e">
        <f t="shared" si="135"/>
        <v>#DIV/0!</v>
      </c>
      <c r="K200" s="332" t="e">
        <f t="shared" si="135"/>
        <v>#DIV/0!</v>
      </c>
      <c r="L200" s="332" t="e">
        <f t="shared" si="135"/>
        <v>#DIV/0!</v>
      </c>
      <c r="M200" s="332" t="e">
        <f t="shared" si="135"/>
        <v>#DIV/0!</v>
      </c>
      <c r="N200" s="332" t="e">
        <f t="shared" si="135"/>
        <v>#DIV/0!</v>
      </c>
      <c r="O200" s="332" t="e">
        <f t="shared" si="135"/>
        <v>#DIV/0!</v>
      </c>
      <c r="P200" s="332" t="e">
        <f t="shared" si="135"/>
        <v>#DIV/0!</v>
      </c>
      <c r="Q200" s="292"/>
      <c r="R200" s="292"/>
      <c r="S200" s="292"/>
      <c r="T200" s="292"/>
    </row>
    <row r="201" spans="1:20">
      <c r="A201" s="292"/>
      <c r="B201" s="387" t="str">
        <f>($B$90)</f>
        <v>HITECH</v>
      </c>
      <c r="C201" s="332" t="str">
        <f>C92</f>
        <v>Tỷ lệ phế phẩm</v>
      </c>
      <c r="D201" s="332">
        <f>D92</f>
        <v>0</v>
      </c>
      <c r="E201" s="332" t="e">
        <f t="shared" ref="E201:P201" si="136">E92</f>
        <v>#DIV/0!</v>
      </c>
      <c r="F201" s="332">
        <f t="shared" si="136"/>
        <v>0</v>
      </c>
      <c r="G201" s="332" t="e">
        <f t="shared" si="136"/>
        <v>#DIV/0!</v>
      </c>
      <c r="H201" s="332" t="e">
        <f t="shared" si="136"/>
        <v>#DIV/0!</v>
      </c>
      <c r="I201" s="332" t="e">
        <f t="shared" si="136"/>
        <v>#DIV/0!</v>
      </c>
      <c r="J201" s="332" t="e">
        <f t="shared" si="136"/>
        <v>#DIV/0!</v>
      </c>
      <c r="K201" s="332" t="e">
        <f t="shared" si="136"/>
        <v>#DIV/0!</v>
      </c>
      <c r="L201" s="332" t="e">
        <f t="shared" si="136"/>
        <v>#DIV/0!</v>
      </c>
      <c r="M201" s="332" t="e">
        <f t="shared" si="136"/>
        <v>#DIV/0!</v>
      </c>
      <c r="N201" s="332" t="e">
        <f t="shared" si="136"/>
        <v>#DIV/0!</v>
      </c>
      <c r="O201" s="332" t="e">
        <f t="shared" si="136"/>
        <v>#DIV/0!</v>
      </c>
      <c r="P201" s="332">
        <f t="shared" si="136"/>
        <v>0</v>
      </c>
      <c r="Q201" s="292"/>
      <c r="R201" s="292"/>
      <c r="S201" s="292"/>
      <c r="T201" s="292"/>
    </row>
    <row r="202" spans="1:20">
      <c r="A202" s="292"/>
      <c r="B202" s="387" t="str">
        <f>($B$93)</f>
        <v>CAM</v>
      </c>
      <c r="C202" s="332" t="str">
        <f>C95</f>
        <v>Tỷ lệ phế phẩm</v>
      </c>
      <c r="D202" s="332">
        <f>D95</f>
        <v>0</v>
      </c>
      <c r="E202" s="332">
        <f t="shared" ref="E202:P202" si="137">E95</f>
        <v>4.1666666666666664E-2</v>
      </c>
      <c r="F202" s="332">
        <f t="shared" si="137"/>
        <v>0</v>
      </c>
      <c r="G202" s="332" t="e">
        <f t="shared" si="137"/>
        <v>#DIV/0!</v>
      </c>
      <c r="H202" s="332" t="e">
        <f t="shared" si="137"/>
        <v>#DIV/0!</v>
      </c>
      <c r="I202" s="332" t="e">
        <f t="shared" si="137"/>
        <v>#DIV/0!</v>
      </c>
      <c r="J202" s="332" t="e">
        <f t="shared" si="137"/>
        <v>#DIV/0!</v>
      </c>
      <c r="K202" s="332" t="e">
        <f t="shared" si="137"/>
        <v>#DIV/0!</v>
      </c>
      <c r="L202" s="332" t="e">
        <f t="shared" si="137"/>
        <v>#DIV/0!</v>
      </c>
      <c r="M202" s="332" t="e">
        <f t="shared" si="137"/>
        <v>#DIV/0!</v>
      </c>
      <c r="N202" s="332" t="e">
        <f t="shared" si="137"/>
        <v>#DIV/0!</v>
      </c>
      <c r="O202" s="332" t="e">
        <f t="shared" si="137"/>
        <v>#DIV/0!</v>
      </c>
      <c r="P202" s="332">
        <f t="shared" si="137"/>
        <v>1.6129032258064516E-2</v>
      </c>
      <c r="Q202" s="292"/>
      <c r="R202" s="292"/>
      <c r="S202" s="292"/>
      <c r="T202" s="292"/>
    </row>
    <row r="203" spans="1:20">
      <c r="A203" s="292"/>
      <c r="B203" s="387" t="str">
        <f>($B$96)</f>
        <v xml:space="preserve">CENTRAL TECH </v>
      </c>
      <c r="C203" s="332" t="str">
        <f>C98</f>
        <v>Tỷ lệ phế phẩm</v>
      </c>
      <c r="D203" s="332" t="e">
        <f>D98</f>
        <v>#DIV/0!</v>
      </c>
      <c r="E203" s="332" t="e">
        <f t="shared" ref="E203:P203" si="138">E98</f>
        <v>#DIV/0!</v>
      </c>
      <c r="F203" s="332" t="e">
        <f t="shared" si="138"/>
        <v>#DIV/0!</v>
      </c>
      <c r="G203" s="332" t="e">
        <f t="shared" si="138"/>
        <v>#DIV/0!</v>
      </c>
      <c r="H203" s="332" t="e">
        <f t="shared" si="138"/>
        <v>#DIV/0!</v>
      </c>
      <c r="I203" s="332" t="e">
        <f t="shared" si="138"/>
        <v>#DIV/0!</v>
      </c>
      <c r="J203" s="332" t="e">
        <f t="shared" si="138"/>
        <v>#DIV/0!</v>
      </c>
      <c r="K203" s="332" t="e">
        <f t="shared" si="138"/>
        <v>#DIV/0!</v>
      </c>
      <c r="L203" s="332" t="e">
        <f t="shared" si="138"/>
        <v>#DIV/0!</v>
      </c>
      <c r="M203" s="332" t="e">
        <f t="shared" si="138"/>
        <v>#DIV/0!</v>
      </c>
      <c r="N203" s="332" t="e">
        <f t="shared" si="138"/>
        <v>#DIV/0!</v>
      </c>
      <c r="O203" s="332" t="e">
        <f t="shared" si="138"/>
        <v>#DIV/0!</v>
      </c>
      <c r="P203" s="332" t="e">
        <f t="shared" si="138"/>
        <v>#DIV/0!</v>
      </c>
      <c r="Q203" s="292"/>
      <c r="R203" s="292"/>
      <c r="S203" s="292"/>
      <c r="T203" s="292"/>
    </row>
    <row r="204" spans="1:20">
      <c r="A204" s="292"/>
      <c r="B204" s="387" t="str">
        <f>($B$99)</f>
        <v>TINH NGUYEN HAO</v>
      </c>
      <c r="C204" s="332" t="str">
        <f>C101</f>
        <v>Tỷ lệ phế phẩm</v>
      </c>
      <c r="D204" s="332">
        <f>D101</f>
        <v>0</v>
      </c>
      <c r="E204" s="332">
        <f t="shared" ref="E204:P204" si="139">E101</f>
        <v>3.125E-2</v>
      </c>
      <c r="F204" s="332">
        <f t="shared" si="139"/>
        <v>0</v>
      </c>
      <c r="G204" s="332" t="e">
        <f t="shared" si="139"/>
        <v>#DIV/0!</v>
      </c>
      <c r="H204" s="332" t="e">
        <f t="shared" si="139"/>
        <v>#DIV/0!</v>
      </c>
      <c r="I204" s="332" t="e">
        <f t="shared" si="139"/>
        <v>#DIV/0!</v>
      </c>
      <c r="J204" s="332" t="e">
        <f t="shared" si="139"/>
        <v>#DIV/0!</v>
      </c>
      <c r="K204" s="332" t="e">
        <f t="shared" si="139"/>
        <v>#DIV/0!</v>
      </c>
      <c r="L204" s="332" t="e">
        <f t="shared" si="139"/>
        <v>#DIV/0!</v>
      </c>
      <c r="M204" s="332" t="e">
        <f t="shared" si="139"/>
        <v>#DIV/0!</v>
      </c>
      <c r="N204" s="332" t="e">
        <f t="shared" si="139"/>
        <v>#DIV/0!</v>
      </c>
      <c r="O204" s="332" t="e">
        <f t="shared" si="139"/>
        <v>#DIV/0!</v>
      </c>
      <c r="P204" s="332">
        <f t="shared" si="139"/>
        <v>1.282051282051282E-2</v>
      </c>
      <c r="Q204" s="292"/>
      <c r="R204" s="292"/>
      <c r="S204" s="292"/>
      <c r="T204" s="292"/>
    </row>
    <row r="205" spans="1:20">
      <c r="A205" s="292"/>
      <c r="B205" s="387" t="str">
        <f>($B$102)</f>
        <v>CNCLASER</v>
      </c>
      <c r="C205" s="332" t="str">
        <f>C104</f>
        <v>Tỷ lệ phế phẩm</v>
      </c>
      <c r="D205" s="332" t="e">
        <f>D104</f>
        <v>#DIV/0!</v>
      </c>
      <c r="E205" s="332" t="e">
        <f t="shared" ref="E205:P205" si="140">E104</f>
        <v>#DIV/0!</v>
      </c>
      <c r="F205" s="332">
        <f t="shared" si="140"/>
        <v>0</v>
      </c>
      <c r="G205" s="332" t="e">
        <f t="shared" si="140"/>
        <v>#DIV/0!</v>
      </c>
      <c r="H205" s="332" t="e">
        <f t="shared" si="140"/>
        <v>#DIV/0!</v>
      </c>
      <c r="I205" s="332" t="e">
        <f t="shared" si="140"/>
        <v>#DIV/0!</v>
      </c>
      <c r="J205" s="332" t="e">
        <f t="shared" si="140"/>
        <v>#DIV/0!</v>
      </c>
      <c r="K205" s="332" t="e">
        <f t="shared" si="140"/>
        <v>#DIV/0!</v>
      </c>
      <c r="L205" s="332" t="e">
        <f t="shared" si="140"/>
        <v>#DIV/0!</v>
      </c>
      <c r="M205" s="332" t="e">
        <f t="shared" si="140"/>
        <v>#DIV/0!</v>
      </c>
      <c r="N205" s="332" t="e">
        <f t="shared" si="140"/>
        <v>#DIV/0!</v>
      </c>
      <c r="O205" s="332" t="e">
        <f t="shared" si="140"/>
        <v>#DIV/0!</v>
      </c>
      <c r="P205" s="332">
        <f t="shared" si="140"/>
        <v>0</v>
      </c>
      <c r="Q205" s="292"/>
      <c r="R205" s="292"/>
      <c r="S205" s="292"/>
      <c r="T205" s="292"/>
    </row>
    <row r="206" spans="1:20">
      <c r="A206" s="292"/>
      <c r="B206" s="387">
        <f>($B$105)</f>
        <v>0</v>
      </c>
      <c r="C206" s="332" t="str">
        <f t="shared" ref="C206" si="141">C105</f>
        <v>Số bản vẽ</v>
      </c>
      <c r="D206" s="332" t="e">
        <f>D107</f>
        <v>#DIV/0!</v>
      </c>
      <c r="E206" s="332" t="e">
        <f t="shared" ref="E206:P206" si="142">E107</f>
        <v>#DIV/0!</v>
      </c>
      <c r="F206" s="332" t="e">
        <f t="shared" si="142"/>
        <v>#DIV/0!</v>
      </c>
      <c r="G206" s="332" t="e">
        <f t="shared" si="142"/>
        <v>#DIV/0!</v>
      </c>
      <c r="H206" s="332" t="e">
        <f t="shared" si="142"/>
        <v>#DIV/0!</v>
      </c>
      <c r="I206" s="332" t="e">
        <f t="shared" si="142"/>
        <v>#DIV/0!</v>
      </c>
      <c r="J206" s="332" t="e">
        <f t="shared" si="142"/>
        <v>#DIV/0!</v>
      </c>
      <c r="K206" s="332" t="e">
        <f t="shared" si="142"/>
        <v>#DIV/0!</v>
      </c>
      <c r="L206" s="332" t="e">
        <f t="shared" si="142"/>
        <v>#DIV/0!</v>
      </c>
      <c r="M206" s="332" t="e">
        <f t="shared" si="142"/>
        <v>#DIV/0!</v>
      </c>
      <c r="N206" s="332" t="e">
        <f t="shared" si="142"/>
        <v>#DIV/0!</v>
      </c>
      <c r="O206" s="332" t="e">
        <f t="shared" si="142"/>
        <v>#DIV/0!</v>
      </c>
      <c r="P206" s="332" t="e">
        <f t="shared" si="142"/>
        <v>#DIV/0!</v>
      </c>
      <c r="Q206" s="292"/>
      <c r="R206" s="292"/>
      <c r="S206" s="292"/>
      <c r="T206" s="292"/>
    </row>
    <row r="207" spans="1:20">
      <c r="A207" s="292"/>
      <c r="B207" s="387">
        <f>($B$108)</f>
        <v>0</v>
      </c>
      <c r="C207" s="332" t="str">
        <f t="shared" ref="C207" si="143">C106</f>
        <v>Số phế phẩm</v>
      </c>
      <c r="D207" s="332" t="e">
        <f>D110</f>
        <v>#DIV/0!</v>
      </c>
      <c r="E207" s="332" t="e">
        <f t="shared" ref="E207:P207" si="144">E110</f>
        <v>#DIV/0!</v>
      </c>
      <c r="F207" s="332" t="e">
        <f t="shared" si="144"/>
        <v>#DIV/0!</v>
      </c>
      <c r="G207" s="332" t="e">
        <f t="shared" si="144"/>
        <v>#DIV/0!</v>
      </c>
      <c r="H207" s="332" t="e">
        <f t="shared" si="144"/>
        <v>#DIV/0!</v>
      </c>
      <c r="I207" s="332" t="e">
        <f t="shared" si="144"/>
        <v>#DIV/0!</v>
      </c>
      <c r="J207" s="332" t="e">
        <f t="shared" si="144"/>
        <v>#DIV/0!</v>
      </c>
      <c r="K207" s="332" t="e">
        <f t="shared" si="144"/>
        <v>#DIV/0!</v>
      </c>
      <c r="L207" s="332" t="e">
        <f t="shared" si="144"/>
        <v>#DIV/0!</v>
      </c>
      <c r="M207" s="332" t="e">
        <f t="shared" si="144"/>
        <v>#DIV/0!</v>
      </c>
      <c r="N207" s="332" t="e">
        <f t="shared" si="144"/>
        <v>#DIV/0!</v>
      </c>
      <c r="O207" s="332" t="e">
        <f t="shared" si="144"/>
        <v>#DIV/0!</v>
      </c>
      <c r="P207" s="332" t="e">
        <f t="shared" si="144"/>
        <v>#DIV/0!</v>
      </c>
      <c r="Q207" s="292"/>
      <c r="R207" s="292"/>
      <c r="S207" s="292"/>
      <c r="T207" s="292"/>
    </row>
    <row r="208" spans="1:20">
      <c r="A208" s="292"/>
      <c r="B208" s="387">
        <f>($B$1111)</f>
        <v>0</v>
      </c>
      <c r="C208" s="332" t="str">
        <f t="shared" ref="C208" si="145">C107</f>
        <v>Tỷ lệ phế phẩm</v>
      </c>
      <c r="D208" s="332" t="e">
        <f>D113</f>
        <v>#DIV/0!</v>
      </c>
      <c r="E208" s="332" t="e">
        <f t="shared" ref="E208:P208" si="146">E113</f>
        <v>#DIV/0!</v>
      </c>
      <c r="F208" s="332" t="e">
        <f t="shared" si="146"/>
        <v>#DIV/0!</v>
      </c>
      <c r="G208" s="332" t="e">
        <f t="shared" si="146"/>
        <v>#DIV/0!</v>
      </c>
      <c r="H208" s="332" t="e">
        <f t="shared" si="146"/>
        <v>#DIV/0!</v>
      </c>
      <c r="I208" s="332" t="e">
        <f t="shared" si="146"/>
        <v>#DIV/0!</v>
      </c>
      <c r="J208" s="332" t="e">
        <f t="shared" si="146"/>
        <v>#DIV/0!</v>
      </c>
      <c r="K208" s="332" t="e">
        <f t="shared" si="146"/>
        <v>#DIV/0!</v>
      </c>
      <c r="L208" s="332" t="e">
        <f t="shared" si="146"/>
        <v>#DIV/0!</v>
      </c>
      <c r="M208" s="332" t="e">
        <f t="shared" si="146"/>
        <v>#DIV/0!</v>
      </c>
      <c r="N208" s="332" t="e">
        <f t="shared" si="146"/>
        <v>#DIV/0!</v>
      </c>
      <c r="O208" s="332" t="e">
        <f t="shared" si="146"/>
        <v>#DIV/0!</v>
      </c>
      <c r="P208" s="332" t="e">
        <f t="shared" si="146"/>
        <v>#DIV/0!</v>
      </c>
      <c r="Q208" s="292"/>
      <c r="R208" s="292"/>
      <c r="S208" s="292"/>
      <c r="T208" s="292"/>
    </row>
    <row r="209" spans="1:20">
      <c r="A209" s="292"/>
      <c r="B209" s="385"/>
      <c r="C209" s="386"/>
      <c r="D209" s="388"/>
      <c r="E209" s="388"/>
      <c r="F209" s="388"/>
      <c r="G209" s="388"/>
      <c r="H209" s="388"/>
      <c r="I209" s="388"/>
      <c r="J209" s="388"/>
      <c r="K209" s="388"/>
      <c r="L209" s="388"/>
      <c r="M209" s="388"/>
      <c r="N209" s="388"/>
      <c r="O209" s="388"/>
      <c r="P209" s="388"/>
      <c r="Q209" s="292"/>
      <c r="R209" s="292"/>
      <c r="S209" s="292"/>
      <c r="T209" s="292"/>
    </row>
    <row r="210" spans="1:20">
      <c r="A210" s="292"/>
      <c r="B210" s="292"/>
      <c r="C210" s="292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2"/>
      <c r="R210" s="292"/>
      <c r="S210" s="292"/>
      <c r="T210" s="292"/>
    </row>
    <row r="211" spans="1:20">
      <c r="A211" s="292"/>
      <c r="B211" s="292"/>
      <c r="C211" s="292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2"/>
      <c r="R211" s="292"/>
      <c r="S211" s="292"/>
      <c r="T211" s="292"/>
    </row>
    <row r="212" spans="1:20">
      <c r="A212" s="292"/>
      <c r="B212" s="292"/>
      <c r="C212" s="292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2"/>
      <c r="R212" s="292"/>
      <c r="S212" s="292"/>
      <c r="T212" s="292"/>
    </row>
    <row r="213" spans="1:20">
      <c r="A213" s="292"/>
      <c r="B213" s="292"/>
      <c r="C213" s="292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2"/>
      <c r="R213" s="292"/>
      <c r="S213" s="292"/>
      <c r="T213" s="292"/>
    </row>
    <row r="214" spans="1:20">
      <c r="A214" s="292"/>
      <c r="B214" s="292"/>
      <c r="C214" s="292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2"/>
      <c r="R214" s="292"/>
      <c r="S214" s="292"/>
      <c r="T214" s="292"/>
    </row>
    <row r="215" spans="1:20">
      <c r="A215" s="292"/>
      <c r="B215" s="292"/>
      <c r="C215" s="292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2"/>
      <c r="R215" s="292"/>
      <c r="S215" s="292"/>
      <c r="T215" s="292"/>
    </row>
    <row r="216" spans="1:20">
      <c r="A216" s="292"/>
      <c r="B216" s="292"/>
      <c r="C216" s="292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2"/>
      <c r="R216" s="292"/>
      <c r="S216" s="292"/>
      <c r="T216" s="292"/>
    </row>
    <row r="217" spans="1:20">
      <c r="A217" s="292"/>
      <c r="B217" s="292"/>
      <c r="C217" s="292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2"/>
      <c r="R217" s="292"/>
      <c r="S217" s="292"/>
      <c r="T217" s="292"/>
    </row>
    <row r="218" spans="1:20">
      <c r="A218" s="292"/>
      <c r="B218" s="292"/>
      <c r="C218" s="292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2"/>
      <c r="R218" s="292"/>
      <c r="S218" s="292"/>
      <c r="T218" s="292"/>
    </row>
    <row r="219" spans="1:20">
      <c r="A219" s="292"/>
      <c r="B219" s="292"/>
      <c r="C219" s="292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2"/>
      <c r="R219" s="292"/>
      <c r="S219" s="292"/>
      <c r="T219" s="292"/>
    </row>
    <row r="220" spans="1:20">
      <c r="A220" s="292"/>
      <c r="B220" s="292"/>
      <c r="C220" s="292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2"/>
      <c r="R220" s="292"/>
      <c r="S220" s="292"/>
      <c r="T220" s="292"/>
    </row>
    <row r="221" spans="1:20">
      <c r="A221" s="292"/>
      <c r="B221" s="292"/>
      <c r="C221" s="292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2"/>
      <c r="R221" s="292"/>
      <c r="S221" s="292"/>
      <c r="T221" s="292"/>
    </row>
    <row r="222" spans="1:20">
      <c r="A222" s="292"/>
      <c r="B222" s="292"/>
      <c r="C222" s="292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2"/>
      <c r="R222" s="292"/>
      <c r="S222" s="292"/>
      <c r="T222" s="292"/>
    </row>
    <row r="223" spans="1:20">
      <c r="A223" s="292"/>
      <c r="B223" s="292"/>
      <c r="C223" s="292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2"/>
      <c r="R223" s="292"/>
      <c r="S223" s="292"/>
      <c r="T223" s="292"/>
    </row>
    <row r="224" spans="1:20">
      <c r="A224" s="292"/>
      <c r="B224" s="292"/>
      <c r="C224" s="292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2"/>
      <c r="R224" s="292"/>
      <c r="S224" s="292"/>
      <c r="T224" s="292"/>
    </row>
    <row r="225" spans="1:20">
      <c r="A225" s="292"/>
      <c r="B225" s="292"/>
      <c r="C225" s="292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2"/>
      <c r="R225" s="292"/>
      <c r="S225" s="292"/>
      <c r="T225" s="292"/>
    </row>
    <row r="226" spans="1:20">
      <c r="A226" s="292"/>
      <c r="B226" s="292"/>
      <c r="C226" s="292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2"/>
      <c r="R226" s="292"/>
      <c r="S226" s="292"/>
      <c r="T226" s="292"/>
    </row>
    <row r="227" spans="1:20">
      <c r="A227" s="292"/>
      <c r="B227" s="292"/>
      <c r="C227" s="292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2"/>
      <c r="R227" s="292"/>
      <c r="S227" s="292"/>
      <c r="T227" s="292"/>
    </row>
    <row r="228" spans="1:20">
      <c r="A228" s="292"/>
      <c r="B228" s="292"/>
      <c r="C228" s="292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2"/>
      <c r="R228" s="292"/>
      <c r="S228" s="292"/>
      <c r="T228" s="292"/>
    </row>
    <row r="229" spans="1:20">
      <c r="A229" s="292"/>
      <c r="B229" s="292"/>
      <c r="C229" s="292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2"/>
      <c r="R229" s="292"/>
      <c r="S229" s="292"/>
      <c r="T229" s="292"/>
    </row>
    <row r="230" spans="1:20">
      <c r="A230" s="292"/>
      <c r="B230" s="292"/>
      <c r="C230" s="292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2"/>
      <c r="R230" s="292"/>
      <c r="S230" s="292"/>
      <c r="T230" s="292"/>
    </row>
    <row r="231" spans="1:20">
      <c r="A231" s="292"/>
      <c r="B231" s="292"/>
      <c r="C231" s="292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2"/>
      <c r="R231" s="292"/>
      <c r="S231" s="292"/>
      <c r="T231" s="292"/>
    </row>
    <row r="232" spans="1:20">
      <c r="A232" s="292"/>
      <c r="B232" s="292"/>
      <c r="C232" s="292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2"/>
      <c r="R232" s="292"/>
      <c r="S232" s="292"/>
      <c r="T232" s="292"/>
    </row>
  </sheetData>
  <mergeCells count="70">
    <mergeCell ref="A105:A107"/>
    <mergeCell ref="B105:B107"/>
    <mergeCell ref="A108:A110"/>
    <mergeCell ref="B108:B110"/>
    <mergeCell ref="A111:A113"/>
    <mergeCell ref="B111:B113"/>
    <mergeCell ref="A99:A101"/>
    <mergeCell ref="B99:B101"/>
    <mergeCell ref="A102:A104"/>
    <mergeCell ref="B102:B104"/>
    <mergeCell ref="A90:A92"/>
    <mergeCell ref="B90:B92"/>
    <mergeCell ref="A93:A95"/>
    <mergeCell ref="B93:B95"/>
    <mergeCell ref="A96:A98"/>
    <mergeCell ref="B96:B98"/>
    <mergeCell ref="A84:A86"/>
    <mergeCell ref="B84:B86"/>
    <mergeCell ref="A87:A89"/>
    <mergeCell ref="B87:B89"/>
    <mergeCell ref="A72:A74"/>
    <mergeCell ref="B72:B74"/>
    <mergeCell ref="A75:A77"/>
    <mergeCell ref="B75:B77"/>
    <mergeCell ref="A81:A83"/>
    <mergeCell ref="B81:B83"/>
    <mergeCell ref="A78:A80"/>
    <mergeCell ref="B78:B80"/>
    <mergeCell ref="A69:A71"/>
    <mergeCell ref="B69:B71"/>
    <mergeCell ref="A63:A65"/>
    <mergeCell ref="B63:B65"/>
    <mergeCell ref="A66:A68"/>
    <mergeCell ref="B66:B68"/>
    <mergeCell ref="A54:A56"/>
    <mergeCell ref="B54:B56"/>
    <mergeCell ref="A57:A59"/>
    <mergeCell ref="B57:B59"/>
    <mergeCell ref="A60:A62"/>
    <mergeCell ref="B60:B62"/>
    <mergeCell ref="A45:A47"/>
    <mergeCell ref="B45:B47"/>
    <mergeCell ref="A48:A50"/>
    <mergeCell ref="B48:B50"/>
    <mergeCell ref="A51:A53"/>
    <mergeCell ref="B51:B53"/>
    <mergeCell ref="A36:A38"/>
    <mergeCell ref="B36:B38"/>
    <mergeCell ref="A39:A41"/>
    <mergeCell ref="B39:B41"/>
    <mergeCell ref="A42:A44"/>
    <mergeCell ref="B42:B44"/>
    <mergeCell ref="A27:A29"/>
    <mergeCell ref="B27:B29"/>
    <mergeCell ref="A30:A32"/>
    <mergeCell ref="B30:B32"/>
    <mergeCell ref="A33:A35"/>
    <mergeCell ref="B33:B35"/>
    <mergeCell ref="A18:A20"/>
    <mergeCell ref="B18:B20"/>
    <mergeCell ref="A21:A23"/>
    <mergeCell ref="B21:B23"/>
    <mergeCell ref="A24:A26"/>
    <mergeCell ref="B24:B26"/>
    <mergeCell ref="A9:A11"/>
    <mergeCell ref="B9:B11"/>
    <mergeCell ref="A12:A14"/>
    <mergeCell ref="B12:B14"/>
    <mergeCell ref="A15:A17"/>
    <mergeCell ref="B15:B17"/>
  </mergeCells>
  <phoneticPr fontId="36"/>
  <conditionalFormatting sqref="D13:O13 D16:O16 D19:O19 D22:O22 D25:O25 D28:O28 D31:O31 D34:O34 D37:G37 D40:O40 D43:O43 D46:O46 D49:O49 D52:O52 D55:O55 D73:O73">
    <cfRule type="cellIs" dxfId="14" priority="12" operator="greaterThan">
      <formula>0</formula>
    </cfRule>
  </conditionalFormatting>
  <conditionalFormatting sqref="D58:O58">
    <cfRule type="cellIs" dxfId="13" priority="11" operator="greaterThan">
      <formula>0</formula>
    </cfRule>
  </conditionalFormatting>
  <conditionalFormatting sqref="D61:O61">
    <cfRule type="cellIs" dxfId="12" priority="10" operator="greaterThan">
      <formula>0</formula>
    </cfRule>
  </conditionalFormatting>
  <conditionalFormatting sqref="D64:O64">
    <cfRule type="cellIs" dxfId="11" priority="9" operator="greaterThan">
      <formula>0</formula>
    </cfRule>
  </conditionalFormatting>
  <conditionalFormatting sqref="D67:O67">
    <cfRule type="cellIs" dxfId="10" priority="8" operator="greaterThan">
      <formula>0</formula>
    </cfRule>
  </conditionalFormatting>
  <conditionalFormatting sqref="D70:O70">
    <cfRule type="cellIs" dxfId="9" priority="7" operator="greaterThan">
      <formula>0</formula>
    </cfRule>
  </conditionalFormatting>
  <conditionalFormatting sqref="D76:O76">
    <cfRule type="cellIs" dxfId="8" priority="5" operator="greaterThan">
      <formula>0</formula>
    </cfRule>
  </conditionalFormatting>
  <conditionalFormatting sqref="D79:O79">
    <cfRule type="cellIs" dxfId="7" priority="4" operator="greaterThan">
      <formula>0</formula>
    </cfRule>
  </conditionalFormatting>
  <conditionalFormatting sqref="D82:O82">
    <cfRule type="cellIs" dxfId="6" priority="3" operator="greaterThan">
      <formula>0</formula>
    </cfRule>
  </conditionalFormatting>
  <conditionalFormatting sqref="D85:O85">
    <cfRule type="cellIs" dxfId="5" priority="2" operator="greaterThan">
      <formula>0</formula>
    </cfRule>
  </conditionalFormatting>
  <conditionalFormatting sqref="D88:O88 D91:O91 D94:O94 D97:O97 D100:O100">
    <cfRule type="cellIs" dxfId="4" priority="1" operator="greaterThan">
      <formula>0</formula>
    </cfRule>
  </conditionalFormatting>
  <conditionalFormatting sqref="D103:O103 D106:O106 D109:O109 D112:O112">
    <cfRule type="cellIs" dxfId="3" priority="13" operator="greaterThan">
      <formula>0</formula>
    </cfRule>
  </conditionalFormatting>
  <conditionalFormatting sqref="D121:P154">
    <cfRule type="cellIs" dxfId="2" priority="25" operator="greaterThan">
      <formula>0</formula>
    </cfRule>
  </conditionalFormatting>
  <conditionalFormatting sqref="D175:P209">
    <cfRule type="cellIs" dxfId="1" priority="24" operator="greaterThan">
      <formula>0</formula>
    </cfRule>
  </conditionalFormatting>
  <conditionalFormatting sqref="H36:H37 I37:O37">
    <cfRule type="cellIs" dxfId="0" priority="26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V177"/>
  <sheetViews>
    <sheetView zoomScaleNormal="100" workbookViewId="0">
      <pane ySplit="6" topLeftCell="A7" activePane="bottomLeft" state="frozen"/>
      <selection pane="bottomLeft" activeCell="V37" sqref="V37"/>
    </sheetView>
  </sheetViews>
  <sheetFormatPr defaultColWidth="9" defaultRowHeight="13.5"/>
  <cols>
    <col min="1" max="1" width="8.42578125" style="2" customWidth="1"/>
    <col min="2" max="2" width="3.42578125" style="2" customWidth="1"/>
    <col min="3" max="5" width="9.140625" style="3"/>
    <col min="6" max="6" width="9.28515625" style="4" customWidth="1"/>
    <col min="7" max="7" width="10.28515625" style="2" customWidth="1"/>
    <col min="8" max="8" width="10" style="4" customWidth="1"/>
    <col min="9" max="9" width="9" style="4" customWidth="1"/>
    <col min="10" max="10" width="9.5703125" style="2" customWidth="1"/>
    <col min="11" max="11" width="9.5703125" style="4" customWidth="1"/>
    <col min="12" max="12" width="9.7109375" style="4" customWidth="1"/>
    <col min="13" max="13" width="9.140625" style="2" customWidth="1"/>
    <col min="14" max="14" width="9.5703125" style="2" customWidth="1"/>
    <col min="15" max="15" width="9.28515625" style="4" customWidth="1"/>
    <col min="16" max="16" width="9.28515625" style="2" customWidth="1"/>
    <col min="17" max="17" width="9.28515625" style="4" customWidth="1"/>
    <col min="18" max="20" width="9.140625" style="2"/>
    <col min="21" max="21" width="9.5703125" style="2" customWidth="1"/>
    <col min="22" max="259" width="9.140625" style="2"/>
    <col min="260" max="260" width="13.7109375" style="2" customWidth="1"/>
    <col min="261" max="270" width="9.140625" style="2"/>
    <col min="271" max="271" width="9.28515625" style="2" customWidth="1"/>
    <col min="272" max="515" width="9.140625" style="2"/>
    <col min="516" max="516" width="13.7109375" style="2" customWidth="1"/>
    <col min="517" max="526" width="9.140625" style="2"/>
    <col min="527" max="527" width="9.28515625" style="2" customWidth="1"/>
    <col min="528" max="771" width="9.140625" style="2"/>
    <col min="772" max="772" width="13.7109375" style="2" customWidth="1"/>
    <col min="773" max="782" width="9.140625" style="2"/>
    <col min="783" max="783" width="9.28515625" style="2" customWidth="1"/>
    <col min="784" max="1027" width="9.140625" style="2"/>
    <col min="1028" max="1028" width="13.7109375" style="2" customWidth="1"/>
    <col min="1029" max="1038" width="9.140625" style="2"/>
    <col min="1039" max="1039" width="9.28515625" style="2" customWidth="1"/>
    <col min="1040" max="1283" width="9.140625" style="2"/>
    <col min="1284" max="1284" width="13.7109375" style="2" customWidth="1"/>
    <col min="1285" max="1294" width="9.140625" style="2"/>
    <col min="1295" max="1295" width="9.28515625" style="2" customWidth="1"/>
    <col min="1296" max="1539" width="9.140625" style="2"/>
    <col min="1540" max="1540" width="13.7109375" style="2" customWidth="1"/>
    <col min="1541" max="1550" width="9.140625" style="2"/>
    <col min="1551" max="1551" width="9.28515625" style="2" customWidth="1"/>
    <col min="1552" max="1795" width="9.140625" style="2"/>
    <col min="1796" max="1796" width="13.7109375" style="2" customWidth="1"/>
    <col min="1797" max="1806" width="9.140625" style="2"/>
    <col min="1807" max="1807" width="9.28515625" style="2" customWidth="1"/>
    <col min="1808" max="2051" width="9.140625" style="2"/>
    <col min="2052" max="2052" width="13.7109375" style="2" customWidth="1"/>
    <col min="2053" max="2062" width="9.140625" style="2"/>
    <col min="2063" max="2063" width="9.28515625" style="2" customWidth="1"/>
    <col min="2064" max="2307" width="9.140625" style="2"/>
    <col min="2308" max="2308" width="13.7109375" style="2" customWidth="1"/>
    <col min="2309" max="2318" width="9.140625" style="2"/>
    <col min="2319" max="2319" width="9.28515625" style="2" customWidth="1"/>
    <col min="2320" max="2563" width="9.140625" style="2"/>
    <col min="2564" max="2564" width="13.7109375" style="2" customWidth="1"/>
    <col min="2565" max="2574" width="9.140625" style="2"/>
    <col min="2575" max="2575" width="9.28515625" style="2" customWidth="1"/>
    <col min="2576" max="2819" width="9.140625" style="2"/>
    <col min="2820" max="2820" width="13.7109375" style="2" customWidth="1"/>
    <col min="2821" max="2830" width="9.140625" style="2"/>
    <col min="2831" max="2831" width="9.28515625" style="2" customWidth="1"/>
    <col min="2832" max="3075" width="9.140625" style="2"/>
    <col min="3076" max="3076" width="13.7109375" style="2" customWidth="1"/>
    <col min="3077" max="3086" width="9.140625" style="2"/>
    <col min="3087" max="3087" width="9.28515625" style="2" customWidth="1"/>
    <col min="3088" max="3331" width="9.140625" style="2"/>
    <col min="3332" max="3332" width="13.7109375" style="2" customWidth="1"/>
    <col min="3333" max="3342" width="9.140625" style="2"/>
    <col min="3343" max="3343" width="9.28515625" style="2" customWidth="1"/>
    <col min="3344" max="3587" width="9.140625" style="2"/>
    <col min="3588" max="3588" width="13.7109375" style="2" customWidth="1"/>
    <col min="3589" max="3598" width="9.140625" style="2"/>
    <col min="3599" max="3599" width="9.28515625" style="2" customWidth="1"/>
    <col min="3600" max="3843" width="9.140625" style="2"/>
    <col min="3844" max="3844" width="13.7109375" style="2" customWidth="1"/>
    <col min="3845" max="3854" width="9.140625" style="2"/>
    <col min="3855" max="3855" width="9.28515625" style="2" customWidth="1"/>
    <col min="3856" max="4099" width="9.140625" style="2"/>
    <col min="4100" max="4100" width="13.7109375" style="2" customWidth="1"/>
    <col min="4101" max="4110" width="9.140625" style="2"/>
    <col min="4111" max="4111" width="9.28515625" style="2" customWidth="1"/>
    <col min="4112" max="4355" width="9.140625" style="2"/>
    <col min="4356" max="4356" width="13.7109375" style="2" customWidth="1"/>
    <col min="4357" max="4366" width="9.140625" style="2"/>
    <col min="4367" max="4367" width="9.28515625" style="2" customWidth="1"/>
    <col min="4368" max="4611" width="9.140625" style="2"/>
    <col min="4612" max="4612" width="13.7109375" style="2" customWidth="1"/>
    <col min="4613" max="4622" width="9.140625" style="2"/>
    <col min="4623" max="4623" width="9.28515625" style="2" customWidth="1"/>
    <col min="4624" max="4867" width="9.140625" style="2"/>
    <col min="4868" max="4868" width="13.7109375" style="2" customWidth="1"/>
    <col min="4869" max="4878" width="9.140625" style="2"/>
    <col min="4879" max="4879" width="9.28515625" style="2" customWidth="1"/>
    <col min="4880" max="5123" width="9.140625" style="2"/>
    <col min="5124" max="5124" width="13.7109375" style="2" customWidth="1"/>
    <col min="5125" max="5134" width="9.140625" style="2"/>
    <col min="5135" max="5135" width="9.28515625" style="2" customWidth="1"/>
    <col min="5136" max="5379" width="9.140625" style="2"/>
    <col min="5380" max="5380" width="13.7109375" style="2" customWidth="1"/>
    <col min="5381" max="5390" width="9.140625" style="2"/>
    <col min="5391" max="5391" width="9.28515625" style="2" customWidth="1"/>
    <col min="5392" max="5635" width="9.140625" style="2"/>
    <col min="5636" max="5636" width="13.7109375" style="2" customWidth="1"/>
    <col min="5637" max="5646" width="9.140625" style="2"/>
    <col min="5647" max="5647" width="9.28515625" style="2" customWidth="1"/>
    <col min="5648" max="5891" width="9.140625" style="2"/>
    <col min="5892" max="5892" width="13.7109375" style="2" customWidth="1"/>
    <col min="5893" max="5902" width="9.140625" style="2"/>
    <col min="5903" max="5903" width="9.28515625" style="2" customWidth="1"/>
    <col min="5904" max="6147" width="9.140625" style="2"/>
    <col min="6148" max="6148" width="13.7109375" style="2" customWidth="1"/>
    <col min="6149" max="6158" width="9.140625" style="2"/>
    <col min="6159" max="6159" width="9.28515625" style="2" customWidth="1"/>
    <col min="6160" max="6403" width="9.140625" style="2"/>
    <col min="6404" max="6404" width="13.7109375" style="2" customWidth="1"/>
    <col min="6405" max="6414" width="9.140625" style="2"/>
    <col min="6415" max="6415" width="9.28515625" style="2" customWidth="1"/>
    <col min="6416" max="6659" width="9.140625" style="2"/>
    <col min="6660" max="6660" width="13.7109375" style="2" customWidth="1"/>
    <col min="6661" max="6670" width="9.140625" style="2"/>
    <col min="6671" max="6671" width="9.28515625" style="2" customWidth="1"/>
    <col min="6672" max="6915" width="9.140625" style="2"/>
    <col min="6916" max="6916" width="13.7109375" style="2" customWidth="1"/>
    <col min="6917" max="6926" width="9.140625" style="2"/>
    <col min="6927" max="6927" width="9.28515625" style="2" customWidth="1"/>
    <col min="6928" max="7171" width="9.140625" style="2"/>
    <col min="7172" max="7172" width="13.7109375" style="2" customWidth="1"/>
    <col min="7173" max="7182" width="9.140625" style="2"/>
    <col min="7183" max="7183" width="9.28515625" style="2" customWidth="1"/>
    <col min="7184" max="7427" width="9.140625" style="2"/>
    <col min="7428" max="7428" width="13.7109375" style="2" customWidth="1"/>
    <col min="7429" max="7438" width="9.140625" style="2"/>
    <col min="7439" max="7439" width="9.28515625" style="2" customWidth="1"/>
    <col min="7440" max="7683" width="9.140625" style="2"/>
    <col min="7684" max="7684" width="13.7109375" style="2" customWidth="1"/>
    <col min="7685" max="7694" width="9.140625" style="2"/>
    <col min="7695" max="7695" width="9.28515625" style="2" customWidth="1"/>
    <col min="7696" max="7939" width="9.140625" style="2"/>
    <col min="7940" max="7940" width="13.7109375" style="2" customWidth="1"/>
    <col min="7941" max="7950" width="9.140625" style="2"/>
    <col min="7951" max="7951" width="9.28515625" style="2" customWidth="1"/>
    <col min="7952" max="8195" width="9.140625" style="2"/>
    <col min="8196" max="8196" width="13.7109375" style="2" customWidth="1"/>
    <col min="8197" max="8206" width="9.140625" style="2"/>
    <col min="8207" max="8207" width="9.28515625" style="2" customWidth="1"/>
    <col min="8208" max="8451" width="9.140625" style="2"/>
    <col min="8452" max="8452" width="13.7109375" style="2" customWidth="1"/>
    <col min="8453" max="8462" width="9.140625" style="2"/>
    <col min="8463" max="8463" width="9.28515625" style="2" customWidth="1"/>
    <col min="8464" max="8707" width="9.140625" style="2"/>
    <col min="8708" max="8708" width="13.7109375" style="2" customWidth="1"/>
    <col min="8709" max="8718" width="9.140625" style="2"/>
    <col min="8719" max="8719" width="9.28515625" style="2" customWidth="1"/>
    <col min="8720" max="8963" width="9.140625" style="2"/>
    <col min="8964" max="8964" width="13.7109375" style="2" customWidth="1"/>
    <col min="8965" max="8974" width="9.140625" style="2"/>
    <col min="8975" max="8975" width="9.28515625" style="2" customWidth="1"/>
    <col min="8976" max="9219" width="9.140625" style="2"/>
    <col min="9220" max="9220" width="13.7109375" style="2" customWidth="1"/>
    <col min="9221" max="9230" width="9.140625" style="2"/>
    <col min="9231" max="9231" width="9.28515625" style="2" customWidth="1"/>
    <col min="9232" max="9475" width="9.140625" style="2"/>
    <col min="9476" max="9476" width="13.7109375" style="2" customWidth="1"/>
    <col min="9477" max="9486" width="9.140625" style="2"/>
    <col min="9487" max="9487" width="9.28515625" style="2" customWidth="1"/>
    <col min="9488" max="9731" width="9.140625" style="2"/>
    <col min="9732" max="9732" width="13.7109375" style="2" customWidth="1"/>
    <col min="9733" max="9742" width="9.140625" style="2"/>
    <col min="9743" max="9743" width="9.28515625" style="2" customWidth="1"/>
    <col min="9744" max="9987" width="9.140625" style="2"/>
    <col min="9988" max="9988" width="13.7109375" style="2" customWidth="1"/>
    <col min="9989" max="9998" width="9.140625" style="2"/>
    <col min="9999" max="9999" width="9.28515625" style="2" customWidth="1"/>
    <col min="10000" max="10243" width="9.140625" style="2"/>
    <col min="10244" max="10244" width="13.7109375" style="2" customWidth="1"/>
    <col min="10245" max="10254" width="9.140625" style="2"/>
    <col min="10255" max="10255" width="9.28515625" style="2" customWidth="1"/>
    <col min="10256" max="10499" width="9.140625" style="2"/>
    <col min="10500" max="10500" width="13.7109375" style="2" customWidth="1"/>
    <col min="10501" max="10510" width="9.140625" style="2"/>
    <col min="10511" max="10511" width="9.28515625" style="2" customWidth="1"/>
    <col min="10512" max="10755" width="9.140625" style="2"/>
    <col min="10756" max="10756" width="13.7109375" style="2" customWidth="1"/>
    <col min="10757" max="10766" width="9.140625" style="2"/>
    <col min="10767" max="10767" width="9.28515625" style="2" customWidth="1"/>
    <col min="10768" max="11011" width="9.140625" style="2"/>
    <col min="11012" max="11012" width="13.7109375" style="2" customWidth="1"/>
    <col min="11013" max="11022" width="9.140625" style="2"/>
    <col min="11023" max="11023" width="9.28515625" style="2" customWidth="1"/>
    <col min="11024" max="11267" width="9.140625" style="2"/>
    <col min="11268" max="11268" width="13.7109375" style="2" customWidth="1"/>
    <col min="11269" max="11278" width="9.140625" style="2"/>
    <col min="11279" max="11279" width="9.28515625" style="2" customWidth="1"/>
    <col min="11280" max="11523" width="9.140625" style="2"/>
    <col min="11524" max="11524" width="13.7109375" style="2" customWidth="1"/>
    <col min="11525" max="11534" width="9.140625" style="2"/>
    <col min="11535" max="11535" width="9.28515625" style="2" customWidth="1"/>
    <col min="11536" max="11779" width="9.140625" style="2"/>
    <col min="11780" max="11780" width="13.7109375" style="2" customWidth="1"/>
    <col min="11781" max="11790" width="9.140625" style="2"/>
    <col min="11791" max="11791" width="9.28515625" style="2" customWidth="1"/>
    <col min="11792" max="12035" width="9.140625" style="2"/>
    <col min="12036" max="12036" width="13.7109375" style="2" customWidth="1"/>
    <col min="12037" max="12046" width="9.140625" style="2"/>
    <col min="12047" max="12047" width="9.28515625" style="2" customWidth="1"/>
    <col min="12048" max="12291" width="9.140625" style="2"/>
    <col min="12292" max="12292" width="13.7109375" style="2" customWidth="1"/>
    <col min="12293" max="12302" width="9.140625" style="2"/>
    <col min="12303" max="12303" width="9.28515625" style="2" customWidth="1"/>
    <col min="12304" max="12547" width="9.140625" style="2"/>
    <col min="12548" max="12548" width="13.7109375" style="2" customWidth="1"/>
    <col min="12549" max="12558" width="9.140625" style="2"/>
    <col min="12559" max="12559" width="9.28515625" style="2" customWidth="1"/>
    <col min="12560" max="12803" width="9.140625" style="2"/>
    <col min="12804" max="12804" width="13.7109375" style="2" customWidth="1"/>
    <col min="12805" max="12814" width="9.140625" style="2"/>
    <col min="12815" max="12815" width="9.28515625" style="2" customWidth="1"/>
    <col min="12816" max="13059" width="9.140625" style="2"/>
    <col min="13060" max="13060" width="13.7109375" style="2" customWidth="1"/>
    <col min="13061" max="13070" width="9.140625" style="2"/>
    <col min="13071" max="13071" width="9.28515625" style="2" customWidth="1"/>
    <col min="13072" max="13315" width="9.140625" style="2"/>
    <col min="13316" max="13316" width="13.7109375" style="2" customWidth="1"/>
    <col min="13317" max="13326" width="9.140625" style="2"/>
    <col min="13327" max="13327" width="9.28515625" style="2" customWidth="1"/>
    <col min="13328" max="13571" width="9.140625" style="2"/>
    <col min="13572" max="13572" width="13.7109375" style="2" customWidth="1"/>
    <col min="13573" max="13582" width="9.140625" style="2"/>
    <col min="13583" max="13583" width="9.28515625" style="2" customWidth="1"/>
    <col min="13584" max="13827" width="9.140625" style="2"/>
    <col min="13828" max="13828" width="13.7109375" style="2" customWidth="1"/>
    <col min="13829" max="13838" width="9.140625" style="2"/>
    <col min="13839" max="13839" width="9.28515625" style="2" customWidth="1"/>
    <col min="13840" max="14083" width="9.140625" style="2"/>
    <col min="14084" max="14084" width="13.7109375" style="2" customWidth="1"/>
    <col min="14085" max="14094" width="9.140625" style="2"/>
    <col min="14095" max="14095" width="9.28515625" style="2" customWidth="1"/>
    <col min="14096" max="14339" width="9.140625" style="2"/>
    <col min="14340" max="14340" width="13.7109375" style="2" customWidth="1"/>
    <col min="14341" max="14350" width="9.140625" style="2"/>
    <col min="14351" max="14351" width="9.28515625" style="2" customWidth="1"/>
    <col min="14352" max="14595" width="9.140625" style="2"/>
    <col min="14596" max="14596" width="13.7109375" style="2" customWidth="1"/>
    <col min="14597" max="14606" width="9.140625" style="2"/>
    <col min="14607" max="14607" width="9.28515625" style="2" customWidth="1"/>
    <col min="14608" max="14851" width="9.140625" style="2"/>
    <col min="14852" max="14852" width="13.7109375" style="2" customWidth="1"/>
    <col min="14853" max="14862" width="9.140625" style="2"/>
    <col min="14863" max="14863" width="9.28515625" style="2" customWidth="1"/>
    <col min="14864" max="15107" width="9.140625" style="2"/>
    <col min="15108" max="15108" width="13.7109375" style="2" customWidth="1"/>
    <col min="15109" max="15118" width="9.140625" style="2"/>
    <col min="15119" max="15119" width="9.28515625" style="2" customWidth="1"/>
    <col min="15120" max="15363" width="9.140625" style="2"/>
    <col min="15364" max="15364" width="13.7109375" style="2" customWidth="1"/>
    <col min="15365" max="15374" width="9.140625" style="2"/>
    <col min="15375" max="15375" width="9.28515625" style="2" customWidth="1"/>
    <col min="15376" max="15618" width="9.140625" style="2"/>
    <col min="15619" max="15619" width="13.7109375" style="2" customWidth="1"/>
    <col min="15620" max="15629" width="9.140625" style="2"/>
    <col min="15630" max="15630" width="9.28515625" style="2" customWidth="1"/>
    <col min="15631" max="15874" width="9.140625" style="2"/>
    <col min="15875" max="15875" width="13.7109375" style="2" customWidth="1"/>
    <col min="15876" max="15885" width="9.140625" style="2"/>
    <col min="15886" max="15886" width="9.28515625" style="2" customWidth="1"/>
    <col min="15887" max="16130" width="9.140625" style="2"/>
    <col min="16131" max="16131" width="13.7109375" style="2" customWidth="1"/>
    <col min="16132" max="16141" width="9.140625" style="2"/>
    <col min="16142" max="16142" width="9.28515625" style="2" customWidth="1"/>
    <col min="16143" max="16380" width="9.140625" style="2"/>
    <col min="16381" max="16384" width="9.140625" style="2" customWidth="1"/>
  </cols>
  <sheetData>
    <row r="1" spans="2:22" ht="14.25">
      <c r="E1" s="5" t="s">
        <v>70</v>
      </c>
    </row>
    <row r="2" spans="2:22" ht="18.75">
      <c r="E2" s="6" t="s">
        <v>71</v>
      </c>
      <c r="F2" s="7"/>
      <c r="G2" s="8"/>
      <c r="O2" s="42"/>
      <c r="P2" s="4"/>
      <c r="Q2" s="2"/>
    </row>
    <row r="3" spans="2:22" ht="18.75">
      <c r="E3" s="9"/>
      <c r="F3" s="10" t="s">
        <v>72</v>
      </c>
      <c r="G3" s="8"/>
      <c r="O3" s="42"/>
      <c r="P3" s="24"/>
      <c r="Q3" s="2"/>
    </row>
    <row r="4" spans="2:22" ht="18.75">
      <c r="E4" s="6" t="s">
        <v>73</v>
      </c>
      <c r="F4" s="7"/>
      <c r="G4" s="8"/>
      <c r="O4" s="42"/>
      <c r="P4" s="24"/>
      <c r="Q4" s="2"/>
    </row>
    <row r="5" spans="2:22" ht="18.75">
      <c r="E5" s="8"/>
      <c r="F5" s="7"/>
      <c r="G5" s="8" t="s">
        <v>74</v>
      </c>
      <c r="O5" s="42"/>
      <c r="P5" s="24"/>
      <c r="Q5" s="2"/>
    </row>
    <row r="6" spans="2:22" ht="18.75">
      <c r="E6" s="6" t="s">
        <v>75</v>
      </c>
      <c r="F6" s="7"/>
      <c r="G6" s="8"/>
      <c r="O6" s="42"/>
      <c r="P6" s="24"/>
      <c r="Q6" s="2"/>
    </row>
    <row r="7" spans="2:22" ht="9" customHeight="1">
      <c r="E7" s="11"/>
      <c r="O7" s="42"/>
      <c r="Q7" s="2"/>
    </row>
    <row r="8" spans="2:22">
      <c r="C8" s="3" t="s">
        <v>76</v>
      </c>
      <c r="F8" s="3" t="s">
        <v>77</v>
      </c>
      <c r="H8" s="12"/>
      <c r="U8" s="46" t="s">
        <v>78</v>
      </c>
    </row>
    <row r="9" spans="2:22" ht="24" customHeight="1">
      <c r="D9" s="1023" t="s">
        <v>604</v>
      </c>
      <c r="E9" s="621" t="s">
        <v>624</v>
      </c>
      <c r="F9" s="642">
        <f>機械別実績!L2</f>
        <v>22</v>
      </c>
      <c r="G9" s="642">
        <f>機械別実績!M2</f>
        <v>15</v>
      </c>
      <c r="H9" s="642">
        <f>機械別実績!N2</f>
        <v>22</v>
      </c>
      <c r="I9" s="642">
        <f>機械別実績!O2</f>
        <v>0</v>
      </c>
      <c r="J9" s="642">
        <f>機械別実績!P2</f>
        <v>0</v>
      </c>
      <c r="K9" s="642">
        <f>機械別実績!Q2</f>
        <v>0</v>
      </c>
      <c r="L9" s="642">
        <f>機械別実績!R2</f>
        <v>0</v>
      </c>
      <c r="M9" s="642">
        <f>機械別実績!S2</f>
        <v>0</v>
      </c>
      <c r="N9" s="642">
        <f>機械別実績!T2</f>
        <v>0</v>
      </c>
      <c r="O9" s="642">
        <f>機械別実績!U2</f>
        <v>0</v>
      </c>
      <c r="P9" s="642">
        <f>機械別実績!V2</f>
        <v>0</v>
      </c>
      <c r="Q9" s="642">
        <f>機械別実績!W2</f>
        <v>0</v>
      </c>
      <c r="S9" s="47" t="s">
        <v>79</v>
      </c>
      <c r="T9" s="48">
        <v>910</v>
      </c>
    </row>
    <row r="10" spans="2:22" ht="23.25" hidden="1" customHeight="1">
      <c r="D10" s="1024"/>
      <c r="E10" s="623" t="s">
        <v>591</v>
      </c>
      <c r="F10" s="643">
        <f>機械別実績!L3</f>
        <v>22</v>
      </c>
      <c r="G10" s="643">
        <f>機械別実績!M3</f>
        <v>15</v>
      </c>
      <c r="H10" s="643">
        <f>機械別実績!N3</f>
        <v>22</v>
      </c>
      <c r="I10" s="643">
        <f>機械別実績!O3</f>
        <v>0</v>
      </c>
      <c r="J10" s="643">
        <f>機械別実績!P3</f>
        <v>0</v>
      </c>
      <c r="K10" s="643">
        <f>機械別実績!Q3</f>
        <v>0</v>
      </c>
      <c r="L10" s="643">
        <f>機械別実績!R3</f>
        <v>0</v>
      </c>
      <c r="M10" s="643">
        <f>機械別実績!S3</f>
        <v>0</v>
      </c>
      <c r="N10" s="643">
        <f>機械別実績!T3</f>
        <v>0</v>
      </c>
      <c r="O10" s="643">
        <f>機械別実績!U3</f>
        <v>0</v>
      </c>
      <c r="P10" s="643">
        <f>機械別実績!V3</f>
        <v>0</v>
      </c>
      <c r="Q10" s="643">
        <f>機械別実績!W3</f>
        <v>0</v>
      </c>
      <c r="S10" s="47"/>
      <c r="T10" s="48"/>
    </row>
    <row r="11" spans="2:22" s="1" customFormat="1">
      <c r="C11" s="13" t="s">
        <v>0</v>
      </c>
      <c r="D11" s="14" t="s">
        <v>80</v>
      </c>
      <c r="E11" s="15" t="s">
        <v>81</v>
      </c>
      <c r="F11" s="16" t="s">
        <v>1</v>
      </c>
      <c r="G11" s="16" t="s">
        <v>2</v>
      </c>
      <c r="H11" s="16" t="s">
        <v>3</v>
      </c>
      <c r="I11" s="16" t="s">
        <v>4</v>
      </c>
      <c r="J11" s="16" t="s">
        <v>5</v>
      </c>
      <c r="K11" s="16" t="s">
        <v>6</v>
      </c>
      <c r="L11" s="43" t="s">
        <v>7</v>
      </c>
      <c r="M11" s="43" t="s">
        <v>8</v>
      </c>
      <c r="N11" s="16" t="s">
        <v>9</v>
      </c>
      <c r="O11" s="16" t="s">
        <v>10</v>
      </c>
      <c r="P11" s="16" t="s">
        <v>11</v>
      </c>
      <c r="Q11" s="16" t="s">
        <v>12</v>
      </c>
      <c r="S11" s="13" t="s">
        <v>0</v>
      </c>
      <c r="T11" s="14" t="s">
        <v>80</v>
      </c>
      <c r="U11" s="15" t="s">
        <v>81</v>
      </c>
      <c r="V11" s="49" t="s">
        <v>82</v>
      </c>
    </row>
    <row r="12" spans="2:22">
      <c r="B12" s="1025" t="s">
        <v>83</v>
      </c>
      <c r="C12" s="17" t="s">
        <v>13</v>
      </c>
      <c r="D12" s="389">
        <v>4</v>
      </c>
      <c r="E12" s="393">
        <v>3</v>
      </c>
      <c r="F12" s="19">
        <v>24467</v>
      </c>
      <c r="G12" s="19">
        <v>25947</v>
      </c>
      <c r="H12" s="19">
        <v>41367</v>
      </c>
      <c r="I12" s="19"/>
      <c r="J12" s="19"/>
      <c r="K12" s="19"/>
      <c r="L12" s="19"/>
      <c r="M12" s="19"/>
      <c r="N12" s="19"/>
      <c r="O12" s="19"/>
      <c r="P12" s="44"/>
      <c r="Q12" s="50"/>
      <c r="S12" s="13" t="s">
        <v>13</v>
      </c>
      <c r="T12" s="51">
        <f>SUM(D12)</f>
        <v>4</v>
      </c>
      <c r="U12" s="52">
        <f>SUM(E12)</f>
        <v>3</v>
      </c>
      <c r="V12" s="53">
        <f>SUM($T$9*U12)</f>
        <v>2730</v>
      </c>
    </row>
    <row r="13" spans="2:22">
      <c r="B13" s="1025"/>
      <c r="C13" s="644" t="s">
        <v>37</v>
      </c>
      <c r="D13" s="389">
        <v>4</v>
      </c>
      <c r="E13" s="393">
        <v>2</v>
      </c>
      <c r="F13" s="19">
        <v>135259</v>
      </c>
      <c r="G13" s="19">
        <v>127472</v>
      </c>
      <c r="H13" s="19">
        <v>130586</v>
      </c>
      <c r="I13" s="19"/>
      <c r="J13" s="19"/>
      <c r="K13" s="19"/>
      <c r="L13" s="19"/>
      <c r="M13" s="19"/>
      <c r="N13" s="19"/>
      <c r="O13" s="19"/>
      <c r="P13" s="44"/>
      <c r="Q13" s="50"/>
      <c r="S13" s="13" t="s">
        <v>37</v>
      </c>
      <c r="T13" s="51">
        <f t="shared" ref="T13:U26" si="0">SUM(D13)</f>
        <v>4</v>
      </c>
      <c r="U13" s="52">
        <f>SUM(E13)</f>
        <v>2</v>
      </c>
      <c r="V13" s="53">
        <f t="shared" ref="V13:V26" si="1">SUM($T$9*U13)</f>
        <v>1820</v>
      </c>
    </row>
    <row r="14" spans="2:22">
      <c r="B14" s="1025"/>
      <c r="C14" s="17" t="s">
        <v>22</v>
      </c>
      <c r="D14" s="389">
        <v>5</v>
      </c>
      <c r="E14" s="393">
        <v>4</v>
      </c>
      <c r="F14" s="19">
        <v>31666</v>
      </c>
      <c r="G14" s="19">
        <v>34927</v>
      </c>
      <c r="H14" s="19">
        <v>41214</v>
      </c>
      <c r="I14" s="19"/>
      <c r="J14" s="19"/>
      <c r="K14" s="19"/>
      <c r="L14" s="19"/>
      <c r="M14" s="19"/>
      <c r="N14" s="19"/>
      <c r="O14" s="19"/>
      <c r="P14" s="44"/>
      <c r="Q14" s="50"/>
      <c r="S14" s="13" t="s">
        <v>22</v>
      </c>
      <c r="T14" s="51">
        <f t="shared" si="0"/>
        <v>5</v>
      </c>
      <c r="U14" s="52">
        <f>SUM(E14)</f>
        <v>4</v>
      </c>
      <c r="V14" s="53">
        <f t="shared" si="1"/>
        <v>3640</v>
      </c>
    </row>
    <row r="15" spans="2:22">
      <c r="B15" s="1025"/>
      <c r="C15" s="17" t="s">
        <v>30</v>
      </c>
      <c r="D15" s="389">
        <v>9</v>
      </c>
      <c r="E15" s="393">
        <v>5</v>
      </c>
      <c r="F15" s="19">
        <v>96199</v>
      </c>
      <c r="G15" s="19">
        <v>97510</v>
      </c>
      <c r="H15" s="19">
        <v>127753</v>
      </c>
      <c r="I15" s="19"/>
      <c r="J15" s="19"/>
      <c r="K15" s="19"/>
      <c r="L15" s="19"/>
      <c r="M15" s="19"/>
      <c r="N15" s="19"/>
      <c r="O15" s="19"/>
      <c r="P15" s="44"/>
      <c r="Q15" s="50"/>
      <c r="S15" s="13" t="s">
        <v>30</v>
      </c>
      <c r="T15" s="51">
        <f t="shared" si="0"/>
        <v>9</v>
      </c>
      <c r="U15" s="52">
        <f t="shared" si="0"/>
        <v>5</v>
      </c>
      <c r="V15" s="53">
        <f t="shared" si="1"/>
        <v>4550</v>
      </c>
    </row>
    <row r="16" spans="2:22">
      <c r="B16" s="1025"/>
      <c r="C16" s="17" t="s">
        <v>35</v>
      </c>
      <c r="D16" s="389">
        <v>2</v>
      </c>
      <c r="E16" s="393">
        <v>2</v>
      </c>
      <c r="F16" s="19">
        <v>7558</v>
      </c>
      <c r="G16" s="19">
        <v>8294</v>
      </c>
      <c r="H16" s="19">
        <v>10671</v>
      </c>
      <c r="I16" s="19"/>
      <c r="J16" s="19"/>
      <c r="K16" s="19"/>
      <c r="L16" s="19"/>
      <c r="M16" s="19"/>
      <c r="N16" s="19"/>
      <c r="O16" s="19"/>
      <c r="P16" s="44"/>
      <c r="Q16" s="50"/>
      <c r="S16" s="13" t="s">
        <v>35</v>
      </c>
      <c r="T16" s="51">
        <f t="shared" si="0"/>
        <v>2</v>
      </c>
      <c r="U16" s="52">
        <f t="shared" si="0"/>
        <v>2</v>
      </c>
      <c r="V16" s="53">
        <f t="shared" si="1"/>
        <v>1820</v>
      </c>
    </row>
    <row r="17" spans="1:22">
      <c r="B17" s="1025"/>
      <c r="C17" s="644" t="s">
        <v>40</v>
      </c>
      <c r="D17" s="389">
        <v>6</v>
      </c>
      <c r="E17" s="393">
        <v>3</v>
      </c>
      <c r="F17" s="19">
        <v>151194</v>
      </c>
      <c r="G17" s="19">
        <v>150513</v>
      </c>
      <c r="H17" s="19">
        <v>150299</v>
      </c>
      <c r="I17" s="19"/>
      <c r="J17" s="19"/>
      <c r="K17" s="19"/>
      <c r="L17" s="19"/>
      <c r="M17" s="19"/>
      <c r="N17" s="19"/>
      <c r="O17" s="19"/>
      <c r="P17" s="44"/>
      <c r="Q17" s="50"/>
      <c r="S17" s="13" t="s">
        <v>40</v>
      </c>
      <c r="T17" s="51">
        <f t="shared" si="0"/>
        <v>6</v>
      </c>
      <c r="U17" s="52">
        <f t="shared" si="0"/>
        <v>3</v>
      </c>
      <c r="V17" s="53">
        <f t="shared" si="1"/>
        <v>2730</v>
      </c>
    </row>
    <row r="18" spans="1:22">
      <c r="B18" s="1025" t="s">
        <v>84</v>
      </c>
      <c r="C18" s="17" t="s">
        <v>58</v>
      </c>
      <c r="D18" s="389">
        <v>12</v>
      </c>
      <c r="E18" s="393">
        <v>7</v>
      </c>
      <c r="F18" s="20">
        <v>202884</v>
      </c>
      <c r="G18" s="19">
        <v>202277</v>
      </c>
      <c r="H18" s="19">
        <v>231025</v>
      </c>
      <c r="I18" s="19"/>
      <c r="J18" s="19"/>
      <c r="K18" s="19"/>
      <c r="L18" s="19"/>
      <c r="M18" s="19"/>
      <c r="N18" s="19"/>
      <c r="O18" s="19"/>
      <c r="P18" s="44"/>
      <c r="Q18" s="50"/>
      <c r="S18" s="13" t="s">
        <v>58</v>
      </c>
      <c r="T18" s="51">
        <f t="shared" si="0"/>
        <v>12</v>
      </c>
      <c r="U18" s="52">
        <f t="shared" si="0"/>
        <v>7</v>
      </c>
      <c r="V18" s="53">
        <f t="shared" si="1"/>
        <v>6370</v>
      </c>
    </row>
    <row r="19" spans="1:22">
      <c r="B19" s="1025"/>
      <c r="C19" s="17" t="s">
        <v>55</v>
      </c>
      <c r="D19" s="389">
        <v>4</v>
      </c>
      <c r="E19" s="393">
        <v>2</v>
      </c>
      <c r="F19" s="20">
        <v>78541</v>
      </c>
      <c r="G19" s="19">
        <v>67492</v>
      </c>
      <c r="H19" s="19">
        <v>82005</v>
      </c>
      <c r="I19" s="19"/>
      <c r="J19" s="19"/>
      <c r="K19" s="19"/>
      <c r="L19" s="19"/>
      <c r="M19" s="19"/>
      <c r="N19" s="19"/>
      <c r="O19" s="19"/>
      <c r="P19" s="44"/>
      <c r="Q19" s="50"/>
      <c r="S19" s="13" t="s">
        <v>55</v>
      </c>
      <c r="T19" s="51">
        <f t="shared" si="0"/>
        <v>4</v>
      </c>
      <c r="U19" s="52">
        <f t="shared" si="0"/>
        <v>2</v>
      </c>
      <c r="V19" s="53">
        <f t="shared" si="1"/>
        <v>1820</v>
      </c>
    </row>
    <row r="20" spans="1:22">
      <c r="A20" s="21" t="s">
        <v>85</v>
      </c>
      <c r="B20" s="1025"/>
      <c r="C20" s="484" t="s">
        <v>65</v>
      </c>
      <c r="D20" s="486"/>
      <c r="E20" s="486">
        <v>0</v>
      </c>
      <c r="F20" s="487"/>
      <c r="G20" s="488"/>
      <c r="H20" s="488"/>
      <c r="I20" s="488"/>
      <c r="J20" s="488"/>
      <c r="K20" s="488"/>
      <c r="L20" s="488"/>
      <c r="M20" s="488"/>
      <c r="N20" s="488"/>
      <c r="O20" s="488"/>
      <c r="P20" s="489"/>
      <c r="Q20" s="490"/>
      <c r="S20" s="484" t="s">
        <v>65</v>
      </c>
      <c r="T20" s="485">
        <f t="shared" si="0"/>
        <v>0</v>
      </c>
      <c r="U20" s="485">
        <f t="shared" si="0"/>
        <v>0</v>
      </c>
      <c r="V20" s="485">
        <f t="shared" si="1"/>
        <v>0</v>
      </c>
    </row>
    <row r="21" spans="1:22">
      <c r="B21" s="1025"/>
      <c r="C21" s="17" t="s">
        <v>49</v>
      </c>
      <c r="D21" s="389">
        <v>2</v>
      </c>
      <c r="E21" s="393">
        <v>2</v>
      </c>
      <c r="F21" s="377">
        <v>66145</v>
      </c>
      <c r="G21" s="378">
        <v>65158</v>
      </c>
      <c r="H21" s="378">
        <v>68653</v>
      </c>
      <c r="I21" s="378"/>
      <c r="J21" s="378"/>
      <c r="K21" s="378"/>
      <c r="L21" s="378"/>
      <c r="M21" s="378"/>
      <c r="N21" s="378"/>
      <c r="O21" s="378"/>
      <c r="P21" s="379"/>
      <c r="Q21" s="380"/>
      <c r="S21" s="381" t="s">
        <v>49</v>
      </c>
      <c r="T21" s="51">
        <f t="shared" si="0"/>
        <v>2</v>
      </c>
      <c r="U21" s="57">
        <f t="shared" si="0"/>
        <v>2</v>
      </c>
      <c r="V21" s="382">
        <f t="shared" si="1"/>
        <v>1820</v>
      </c>
    </row>
    <row r="22" spans="1:22">
      <c r="B22" s="1025"/>
      <c r="C22" s="644" t="s">
        <v>51</v>
      </c>
      <c r="D22" s="389">
        <v>2</v>
      </c>
      <c r="E22" s="393">
        <v>2</v>
      </c>
      <c r="F22" s="377">
        <v>48252</v>
      </c>
      <c r="G22" s="378">
        <v>42645</v>
      </c>
      <c r="H22" s="378">
        <v>53854</v>
      </c>
      <c r="I22" s="378"/>
      <c r="J22" s="378"/>
      <c r="K22" s="378"/>
      <c r="L22" s="378"/>
      <c r="M22" s="378"/>
      <c r="N22" s="378"/>
      <c r="O22" s="378"/>
      <c r="P22" s="379"/>
      <c r="Q22" s="380"/>
      <c r="S22" s="381" t="s">
        <v>51</v>
      </c>
      <c r="T22" s="51">
        <f t="shared" si="0"/>
        <v>2</v>
      </c>
      <c r="U22" s="57">
        <f t="shared" si="0"/>
        <v>2</v>
      </c>
      <c r="V22" s="382">
        <f t="shared" si="1"/>
        <v>1820</v>
      </c>
    </row>
    <row r="23" spans="1:22">
      <c r="B23" s="1025"/>
      <c r="C23" s="644" t="s">
        <v>52</v>
      </c>
      <c r="D23" s="389">
        <v>4</v>
      </c>
      <c r="E23" s="393">
        <v>2</v>
      </c>
      <c r="F23" s="20">
        <v>90341</v>
      </c>
      <c r="G23" s="19">
        <v>83783</v>
      </c>
      <c r="H23" s="19">
        <v>73627</v>
      </c>
      <c r="I23" s="19"/>
      <c r="J23" s="19"/>
      <c r="K23" s="19"/>
      <c r="L23" s="19"/>
      <c r="M23" s="19"/>
      <c r="N23" s="378"/>
      <c r="O23" s="19"/>
      <c r="P23" s="44"/>
      <c r="Q23" s="50"/>
      <c r="S23" s="13" t="s">
        <v>52</v>
      </c>
      <c r="T23" s="51">
        <f t="shared" si="0"/>
        <v>4</v>
      </c>
      <c r="U23" s="52">
        <f t="shared" si="0"/>
        <v>2</v>
      </c>
      <c r="V23" s="53">
        <f t="shared" si="1"/>
        <v>1820</v>
      </c>
    </row>
    <row r="24" spans="1:22">
      <c r="B24" s="1025" t="s">
        <v>86</v>
      </c>
      <c r="C24" s="644" t="s">
        <v>43</v>
      </c>
      <c r="D24" s="389">
        <v>6</v>
      </c>
      <c r="E24" s="393">
        <v>4</v>
      </c>
      <c r="F24" s="22">
        <v>146102</v>
      </c>
      <c r="G24" s="23">
        <v>141898</v>
      </c>
      <c r="H24" s="23">
        <v>158482</v>
      </c>
      <c r="I24" s="23"/>
      <c r="J24" s="23"/>
      <c r="K24" s="23"/>
      <c r="L24" s="23"/>
      <c r="M24" s="23"/>
      <c r="N24" s="378"/>
      <c r="O24" s="23"/>
      <c r="P24" s="23"/>
      <c r="Q24" s="23"/>
      <c r="S24" s="13" t="s">
        <v>43</v>
      </c>
      <c r="T24" s="51">
        <f t="shared" si="0"/>
        <v>6</v>
      </c>
      <c r="U24" s="52">
        <f t="shared" si="0"/>
        <v>4</v>
      </c>
      <c r="V24" s="53">
        <f t="shared" si="1"/>
        <v>3640</v>
      </c>
    </row>
    <row r="25" spans="1:22">
      <c r="A25" s="21" t="s">
        <v>85</v>
      </c>
      <c r="B25" s="1025"/>
      <c r="C25" s="484" t="s">
        <v>87</v>
      </c>
      <c r="D25" s="486"/>
      <c r="E25" s="486">
        <v>0</v>
      </c>
      <c r="F25" s="491"/>
      <c r="G25" s="491"/>
      <c r="H25" s="491"/>
      <c r="I25" s="491"/>
      <c r="J25" s="491"/>
      <c r="K25" s="491"/>
      <c r="L25" s="491"/>
      <c r="M25" s="491"/>
      <c r="N25" s="492"/>
      <c r="O25" s="491"/>
      <c r="P25" s="491"/>
      <c r="Q25" s="491"/>
      <c r="S25" s="484" t="s">
        <v>87</v>
      </c>
      <c r="T25" s="485">
        <f t="shared" si="0"/>
        <v>0</v>
      </c>
      <c r="U25" s="485">
        <f t="shared" si="0"/>
        <v>0</v>
      </c>
      <c r="V25" s="485">
        <f t="shared" si="1"/>
        <v>0</v>
      </c>
    </row>
    <row r="26" spans="1:22">
      <c r="B26" s="1025"/>
      <c r="C26" s="644" t="s">
        <v>47</v>
      </c>
      <c r="D26" s="389">
        <v>4</v>
      </c>
      <c r="E26" s="393">
        <v>4</v>
      </c>
      <c r="F26" s="20">
        <v>268692</v>
      </c>
      <c r="G26" s="19">
        <v>276264</v>
      </c>
      <c r="H26" s="19">
        <v>258135</v>
      </c>
      <c r="I26" s="19"/>
      <c r="J26" s="19"/>
      <c r="K26" s="19"/>
      <c r="L26" s="19"/>
      <c r="M26" s="19"/>
      <c r="N26" s="19"/>
      <c r="O26" s="19"/>
      <c r="P26" s="44"/>
      <c r="Q26" s="50"/>
      <c r="S26" s="13" t="s">
        <v>47</v>
      </c>
      <c r="T26" s="51">
        <f>SUM(D26)</f>
        <v>4</v>
      </c>
      <c r="U26" s="52">
        <f t="shared" si="0"/>
        <v>4</v>
      </c>
      <c r="V26" s="53">
        <f t="shared" si="1"/>
        <v>3640</v>
      </c>
    </row>
    <row r="29" spans="1:22" ht="17.25">
      <c r="C29" s="391" t="s">
        <v>455</v>
      </c>
      <c r="D29" s="24"/>
    </row>
    <row r="30" spans="1:22" ht="16.5">
      <c r="T30" s="2" t="s">
        <v>511</v>
      </c>
    </row>
    <row r="31" spans="1:22">
      <c r="E31" s="25" t="s">
        <v>88</v>
      </c>
      <c r="G31" s="26">
        <v>455</v>
      </c>
      <c r="H31" s="27">
        <v>910</v>
      </c>
    </row>
    <row r="32" spans="1:22">
      <c r="C32" s="28" t="s">
        <v>89</v>
      </c>
      <c r="D32" s="28"/>
      <c r="E32" s="621" t="s">
        <v>625</v>
      </c>
      <c r="F32" s="645">
        <f>F9</f>
        <v>22</v>
      </c>
      <c r="G32" s="645">
        <f t="shared" ref="G32:Q32" si="2">G9</f>
        <v>15</v>
      </c>
      <c r="H32" s="645">
        <f t="shared" si="2"/>
        <v>22</v>
      </c>
      <c r="I32" s="645">
        <f t="shared" si="2"/>
        <v>0</v>
      </c>
      <c r="J32" s="645">
        <f t="shared" si="2"/>
        <v>0</v>
      </c>
      <c r="K32" s="645">
        <f t="shared" si="2"/>
        <v>0</v>
      </c>
      <c r="L32" s="645">
        <f t="shared" si="2"/>
        <v>0</v>
      </c>
      <c r="M32" s="645">
        <f t="shared" si="2"/>
        <v>0</v>
      </c>
      <c r="N32" s="645">
        <f t="shared" si="2"/>
        <v>0</v>
      </c>
      <c r="O32" s="645">
        <f t="shared" si="2"/>
        <v>0</v>
      </c>
      <c r="P32" s="645">
        <f t="shared" si="2"/>
        <v>0</v>
      </c>
      <c r="Q32" s="645">
        <f t="shared" si="2"/>
        <v>0</v>
      </c>
    </row>
    <row r="33" spans="2:17" hidden="1">
      <c r="C33" s="28"/>
      <c r="D33" s="28"/>
      <c r="E33" s="623" t="s">
        <v>591</v>
      </c>
      <c r="F33" s="646">
        <f>F10</f>
        <v>22</v>
      </c>
      <c r="G33" s="646">
        <f t="shared" ref="G33:Q33" si="3">G10</f>
        <v>15</v>
      </c>
      <c r="H33" s="646">
        <f t="shared" si="3"/>
        <v>22</v>
      </c>
      <c r="I33" s="646">
        <f t="shared" si="3"/>
        <v>0</v>
      </c>
      <c r="J33" s="646">
        <f t="shared" si="3"/>
        <v>0</v>
      </c>
      <c r="K33" s="646">
        <f t="shared" si="3"/>
        <v>0</v>
      </c>
      <c r="L33" s="646">
        <f t="shared" si="3"/>
        <v>0</v>
      </c>
      <c r="M33" s="646">
        <f t="shared" si="3"/>
        <v>0</v>
      </c>
      <c r="N33" s="646">
        <f t="shared" si="3"/>
        <v>0</v>
      </c>
      <c r="O33" s="646">
        <f t="shared" si="3"/>
        <v>0</v>
      </c>
      <c r="P33" s="646">
        <f t="shared" si="3"/>
        <v>0</v>
      </c>
      <c r="Q33" s="646">
        <f t="shared" si="3"/>
        <v>0</v>
      </c>
    </row>
    <row r="34" spans="2:17">
      <c r="C34" s="13" t="s">
        <v>0</v>
      </c>
      <c r="D34" s="13"/>
      <c r="E34" s="29" t="s">
        <v>81</v>
      </c>
      <c r="F34" s="30" t="s">
        <v>1</v>
      </c>
      <c r="G34" s="30" t="s">
        <v>2</v>
      </c>
      <c r="H34" s="30" t="s">
        <v>3</v>
      </c>
      <c r="I34" s="30" t="s">
        <v>4</v>
      </c>
      <c r="J34" s="30" t="s">
        <v>5</v>
      </c>
      <c r="K34" s="30" t="s">
        <v>6</v>
      </c>
      <c r="L34" s="45" t="s">
        <v>7</v>
      </c>
      <c r="M34" s="45" t="s">
        <v>8</v>
      </c>
      <c r="N34" s="30" t="s">
        <v>9</v>
      </c>
      <c r="O34" s="30" t="s">
        <v>10</v>
      </c>
      <c r="P34" s="30" t="s">
        <v>11</v>
      </c>
      <c r="Q34" s="30" t="s">
        <v>12</v>
      </c>
    </row>
    <row r="35" spans="2:17" ht="13.5" customHeight="1">
      <c r="B35" s="1026" t="s">
        <v>83</v>
      </c>
      <c r="C35" s="648" t="s">
        <v>13</v>
      </c>
      <c r="D35" s="31" t="s">
        <v>90</v>
      </c>
      <c r="E35" s="29">
        <f>SUM(E12)</f>
        <v>3</v>
      </c>
      <c r="F35" s="32">
        <f>SUM(F12/$E$35/F33)</f>
        <v>370.71212121212125</v>
      </c>
      <c r="G35" s="32">
        <f t="shared" ref="G35:Q35" si="4">SUM(G12/$E$35/G33)</f>
        <v>576.6</v>
      </c>
      <c r="H35" s="32">
        <f t="shared" si="4"/>
        <v>626.77272727272725</v>
      </c>
      <c r="I35" s="32" t="e">
        <f t="shared" si="4"/>
        <v>#DIV/0!</v>
      </c>
      <c r="J35" s="32" t="e">
        <f t="shared" si="4"/>
        <v>#DIV/0!</v>
      </c>
      <c r="K35" s="32" t="e">
        <f t="shared" si="4"/>
        <v>#DIV/0!</v>
      </c>
      <c r="L35" s="32" t="e">
        <f t="shared" si="4"/>
        <v>#DIV/0!</v>
      </c>
      <c r="M35" s="32" t="e">
        <f t="shared" si="4"/>
        <v>#DIV/0!</v>
      </c>
      <c r="N35" s="32" t="e">
        <f t="shared" si="4"/>
        <v>#DIV/0!</v>
      </c>
      <c r="O35" s="32" t="e">
        <f t="shared" si="4"/>
        <v>#DIV/0!</v>
      </c>
      <c r="P35" s="32" t="e">
        <f t="shared" si="4"/>
        <v>#DIV/0!</v>
      </c>
      <c r="Q35" s="32" t="e">
        <f t="shared" si="4"/>
        <v>#DIV/0!</v>
      </c>
    </row>
    <row r="36" spans="2:17" ht="1.5" customHeight="1">
      <c r="B36" s="1027"/>
      <c r="C36" s="33" t="s">
        <v>13</v>
      </c>
      <c r="D36" s="33" t="s">
        <v>91</v>
      </c>
      <c r="E36" s="29">
        <f>SUM(E35)</f>
        <v>3</v>
      </c>
      <c r="F36" s="34">
        <f>SUM($V$12)</f>
        <v>2730</v>
      </c>
      <c r="G36" s="34">
        <f t="shared" ref="G36:Q36" si="5">SUM($V$12)</f>
        <v>2730</v>
      </c>
      <c r="H36" s="34">
        <f t="shared" si="5"/>
        <v>2730</v>
      </c>
      <c r="I36" s="34">
        <f t="shared" si="5"/>
        <v>2730</v>
      </c>
      <c r="J36" s="34">
        <f t="shared" si="5"/>
        <v>2730</v>
      </c>
      <c r="K36" s="34">
        <f t="shared" si="5"/>
        <v>2730</v>
      </c>
      <c r="L36" s="34">
        <f t="shared" si="5"/>
        <v>2730</v>
      </c>
      <c r="M36" s="34">
        <f t="shared" si="5"/>
        <v>2730</v>
      </c>
      <c r="N36" s="34">
        <f t="shared" si="5"/>
        <v>2730</v>
      </c>
      <c r="O36" s="34">
        <f t="shared" si="5"/>
        <v>2730</v>
      </c>
      <c r="P36" s="34">
        <f t="shared" si="5"/>
        <v>2730</v>
      </c>
      <c r="Q36" s="34">
        <f t="shared" si="5"/>
        <v>2730</v>
      </c>
    </row>
    <row r="37" spans="2:17">
      <c r="B37" s="1027"/>
      <c r="C37" s="644" t="s">
        <v>37</v>
      </c>
      <c r="D37" s="31" t="s">
        <v>90</v>
      </c>
      <c r="E37" s="18">
        <f>SUM(E13)</f>
        <v>2</v>
      </c>
      <c r="F37" s="32">
        <f>SUM(F13/$E$37/F32)</f>
        <v>3074.068181818182</v>
      </c>
      <c r="G37" s="32">
        <f t="shared" ref="G37:Q37" si="6">SUM(G13/$E$37/G32)</f>
        <v>4249.0666666666666</v>
      </c>
      <c r="H37" s="32">
        <f t="shared" si="6"/>
        <v>2967.8636363636365</v>
      </c>
      <c r="I37" s="32" t="e">
        <f t="shared" si="6"/>
        <v>#DIV/0!</v>
      </c>
      <c r="J37" s="32" t="e">
        <f t="shared" si="6"/>
        <v>#DIV/0!</v>
      </c>
      <c r="K37" s="32" t="e">
        <f t="shared" si="6"/>
        <v>#DIV/0!</v>
      </c>
      <c r="L37" s="32" t="e">
        <f t="shared" si="6"/>
        <v>#DIV/0!</v>
      </c>
      <c r="M37" s="32" t="e">
        <f t="shared" si="6"/>
        <v>#DIV/0!</v>
      </c>
      <c r="N37" s="32" t="e">
        <f t="shared" si="6"/>
        <v>#DIV/0!</v>
      </c>
      <c r="O37" s="32" t="e">
        <f t="shared" si="6"/>
        <v>#DIV/0!</v>
      </c>
      <c r="P37" s="32" t="e">
        <f t="shared" si="6"/>
        <v>#DIV/0!</v>
      </c>
      <c r="Q37" s="32" t="e">
        <f t="shared" si="6"/>
        <v>#DIV/0!</v>
      </c>
    </row>
    <row r="38" spans="2:17" ht="2.1" customHeight="1">
      <c r="B38" s="1027"/>
      <c r="C38" s="17" t="s">
        <v>37</v>
      </c>
      <c r="D38" s="33" t="s">
        <v>91</v>
      </c>
      <c r="E38" s="29">
        <f>SUM(E37)</f>
        <v>2</v>
      </c>
      <c r="F38" s="34">
        <f>SUM($V$13)</f>
        <v>1820</v>
      </c>
      <c r="G38" s="34">
        <f t="shared" ref="G38:Q38" si="7">SUM($V$13)</f>
        <v>1820</v>
      </c>
      <c r="H38" s="34">
        <f t="shared" si="7"/>
        <v>1820</v>
      </c>
      <c r="I38" s="34">
        <f t="shared" si="7"/>
        <v>1820</v>
      </c>
      <c r="J38" s="34">
        <f t="shared" si="7"/>
        <v>1820</v>
      </c>
      <c r="K38" s="34">
        <f t="shared" si="7"/>
        <v>1820</v>
      </c>
      <c r="L38" s="34">
        <f t="shared" si="7"/>
        <v>1820</v>
      </c>
      <c r="M38" s="34">
        <f t="shared" si="7"/>
        <v>1820</v>
      </c>
      <c r="N38" s="34">
        <f t="shared" si="7"/>
        <v>1820</v>
      </c>
      <c r="O38" s="34">
        <f t="shared" si="7"/>
        <v>1820</v>
      </c>
      <c r="P38" s="34">
        <f t="shared" si="7"/>
        <v>1820</v>
      </c>
      <c r="Q38" s="34">
        <f t="shared" si="7"/>
        <v>1820</v>
      </c>
    </row>
    <row r="39" spans="2:17">
      <c r="B39" s="1027"/>
      <c r="C39" s="647" t="s">
        <v>22</v>
      </c>
      <c r="D39" s="31" t="s">
        <v>90</v>
      </c>
      <c r="E39" s="29">
        <f>SUM(E14)</f>
        <v>4</v>
      </c>
      <c r="F39" s="32">
        <f>SUM(F14/$E$39/F33)</f>
        <v>359.84090909090907</v>
      </c>
      <c r="G39" s="32">
        <f t="shared" ref="G39:Q39" si="8">SUM(G14/$E$39/G33)</f>
        <v>582.11666666666667</v>
      </c>
      <c r="H39" s="32">
        <f t="shared" si="8"/>
        <v>468.34090909090907</v>
      </c>
      <c r="I39" s="32" t="e">
        <f t="shared" si="8"/>
        <v>#DIV/0!</v>
      </c>
      <c r="J39" s="32" t="e">
        <f t="shared" si="8"/>
        <v>#DIV/0!</v>
      </c>
      <c r="K39" s="32" t="e">
        <f t="shared" si="8"/>
        <v>#DIV/0!</v>
      </c>
      <c r="L39" s="32" t="e">
        <f t="shared" si="8"/>
        <v>#DIV/0!</v>
      </c>
      <c r="M39" s="32" t="e">
        <f t="shared" si="8"/>
        <v>#DIV/0!</v>
      </c>
      <c r="N39" s="32" t="e">
        <f t="shared" si="8"/>
        <v>#DIV/0!</v>
      </c>
      <c r="O39" s="32" t="e">
        <f t="shared" si="8"/>
        <v>#DIV/0!</v>
      </c>
      <c r="P39" s="32" t="e">
        <f t="shared" si="8"/>
        <v>#DIV/0!</v>
      </c>
      <c r="Q39" s="32" t="e">
        <f t="shared" si="8"/>
        <v>#DIV/0!</v>
      </c>
    </row>
    <row r="40" spans="2:17" ht="2.1" customHeight="1">
      <c r="B40" s="1027"/>
      <c r="C40" s="17" t="s">
        <v>22</v>
      </c>
      <c r="D40" s="33" t="s">
        <v>91</v>
      </c>
      <c r="E40" s="29">
        <f>SUM(E39)</f>
        <v>4</v>
      </c>
      <c r="F40" s="35">
        <f>SUM($V$14)</f>
        <v>3640</v>
      </c>
      <c r="G40" s="35">
        <f t="shared" ref="G40:Q40" si="9">SUM($V$14)</f>
        <v>3640</v>
      </c>
      <c r="H40" s="35">
        <f t="shared" si="9"/>
        <v>3640</v>
      </c>
      <c r="I40" s="35">
        <f t="shared" si="9"/>
        <v>3640</v>
      </c>
      <c r="J40" s="35">
        <f t="shared" si="9"/>
        <v>3640</v>
      </c>
      <c r="K40" s="35">
        <f t="shared" si="9"/>
        <v>3640</v>
      </c>
      <c r="L40" s="35">
        <f t="shared" si="9"/>
        <v>3640</v>
      </c>
      <c r="M40" s="35">
        <f t="shared" si="9"/>
        <v>3640</v>
      </c>
      <c r="N40" s="35">
        <f t="shared" si="9"/>
        <v>3640</v>
      </c>
      <c r="O40" s="35">
        <f t="shared" si="9"/>
        <v>3640</v>
      </c>
      <c r="P40" s="35">
        <f t="shared" si="9"/>
        <v>3640</v>
      </c>
      <c r="Q40" s="35">
        <f t="shared" si="9"/>
        <v>3640</v>
      </c>
    </row>
    <row r="41" spans="2:17">
      <c r="B41" s="1027"/>
      <c r="C41" s="647" t="s">
        <v>30</v>
      </c>
      <c r="D41" s="31" t="s">
        <v>90</v>
      </c>
      <c r="E41" s="29">
        <f>SUM(E15)</f>
        <v>5</v>
      </c>
      <c r="F41" s="32">
        <f>SUM(F15/$E$41/F33)</f>
        <v>874.5363636363636</v>
      </c>
      <c r="G41" s="32">
        <f t="shared" ref="G41:Q41" si="10">SUM(G15/$E$41/G33)</f>
        <v>1300.1333333333334</v>
      </c>
      <c r="H41" s="32">
        <f t="shared" si="10"/>
        <v>1161.390909090909</v>
      </c>
      <c r="I41" s="32" t="e">
        <f t="shared" si="10"/>
        <v>#DIV/0!</v>
      </c>
      <c r="J41" s="32" t="e">
        <f t="shared" si="10"/>
        <v>#DIV/0!</v>
      </c>
      <c r="K41" s="32" t="e">
        <f t="shared" si="10"/>
        <v>#DIV/0!</v>
      </c>
      <c r="L41" s="32" t="e">
        <f t="shared" si="10"/>
        <v>#DIV/0!</v>
      </c>
      <c r="M41" s="32" t="e">
        <f t="shared" si="10"/>
        <v>#DIV/0!</v>
      </c>
      <c r="N41" s="32" t="e">
        <f t="shared" si="10"/>
        <v>#DIV/0!</v>
      </c>
      <c r="O41" s="32" t="e">
        <f t="shared" si="10"/>
        <v>#DIV/0!</v>
      </c>
      <c r="P41" s="32" t="e">
        <f t="shared" si="10"/>
        <v>#DIV/0!</v>
      </c>
      <c r="Q41" s="32" t="e">
        <f t="shared" si="10"/>
        <v>#DIV/0!</v>
      </c>
    </row>
    <row r="42" spans="2:17" ht="2.1" customHeight="1">
      <c r="B42" s="1027"/>
      <c r="C42" s="17" t="s">
        <v>30</v>
      </c>
      <c r="D42" s="33" t="s">
        <v>91</v>
      </c>
      <c r="E42" s="29">
        <f>SUM(E41)</f>
        <v>5</v>
      </c>
      <c r="F42" s="35">
        <f>SUM($V$15)</f>
        <v>4550</v>
      </c>
      <c r="G42" s="35">
        <f t="shared" ref="G42:Q42" si="11">SUM($V$15)</f>
        <v>4550</v>
      </c>
      <c r="H42" s="35">
        <f t="shared" si="11"/>
        <v>4550</v>
      </c>
      <c r="I42" s="35">
        <f t="shared" si="11"/>
        <v>4550</v>
      </c>
      <c r="J42" s="35">
        <f t="shared" si="11"/>
        <v>4550</v>
      </c>
      <c r="K42" s="35">
        <f t="shared" si="11"/>
        <v>4550</v>
      </c>
      <c r="L42" s="35">
        <f t="shared" si="11"/>
        <v>4550</v>
      </c>
      <c r="M42" s="35">
        <f t="shared" si="11"/>
        <v>4550</v>
      </c>
      <c r="N42" s="35">
        <f t="shared" si="11"/>
        <v>4550</v>
      </c>
      <c r="O42" s="35">
        <f t="shared" si="11"/>
        <v>4550</v>
      </c>
      <c r="P42" s="35">
        <f t="shared" si="11"/>
        <v>4550</v>
      </c>
      <c r="Q42" s="35">
        <f t="shared" si="11"/>
        <v>4550</v>
      </c>
    </row>
    <row r="43" spans="2:17">
      <c r="B43" s="1027"/>
      <c r="C43" s="647" t="s">
        <v>35</v>
      </c>
      <c r="D43" s="31" t="s">
        <v>90</v>
      </c>
      <c r="E43" s="29">
        <f>SUM(E16)</f>
        <v>2</v>
      </c>
      <c r="F43" s="32">
        <f>SUM(F16/$E$43/F33)</f>
        <v>171.77272727272728</v>
      </c>
      <c r="G43" s="32">
        <f t="shared" ref="G43:Q43" si="12">SUM(G16/$E$43/G33)</f>
        <v>276.46666666666664</v>
      </c>
      <c r="H43" s="32">
        <f t="shared" si="12"/>
        <v>242.52272727272728</v>
      </c>
      <c r="I43" s="32" t="e">
        <f t="shared" si="12"/>
        <v>#DIV/0!</v>
      </c>
      <c r="J43" s="32" t="e">
        <f t="shared" si="12"/>
        <v>#DIV/0!</v>
      </c>
      <c r="K43" s="32" t="e">
        <f t="shared" si="12"/>
        <v>#DIV/0!</v>
      </c>
      <c r="L43" s="32" t="e">
        <f t="shared" si="12"/>
        <v>#DIV/0!</v>
      </c>
      <c r="M43" s="32" t="e">
        <f t="shared" si="12"/>
        <v>#DIV/0!</v>
      </c>
      <c r="N43" s="32" t="e">
        <f t="shared" si="12"/>
        <v>#DIV/0!</v>
      </c>
      <c r="O43" s="32" t="e">
        <f t="shared" si="12"/>
        <v>#DIV/0!</v>
      </c>
      <c r="P43" s="32" t="e">
        <f t="shared" si="12"/>
        <v>#DIV/0!</v>
      </c>
      <c r="Q43" s="32" t="e">
        <f t="shared" si="12"/>
        <v>#DIV/0!</v>
      </c>
    </row>
    <row r="44" spans="2:17" ht="2.1" customHeight="1">
      <c r="B44" s="1027"/>
      <c r="C44" s="17" t="s">
        <v>35</v>
      </c>
      <c r="D44" s="33" t="s">
        <v>91</v>
      </c>
      <c r="E44" s="29">
        <f>SUM(E43)</f>
        <v>2</v>
      </c>
      <c r="F44" s="35">
        <f>SUM($V$16)</f>
        <v>1820</v>
      </c>
      <c r="G44" s="35">
        <f t="shared" ref="G44:Q44" si="13">SUM($V$16)</f>
        <v>1820</v>
      </c>
      <c r="H44" s="35">
        <f t="shared" si="13"/>
        <v>1820</v>
      </c>
      <c r="I44" s="35">
        <f t="shared" si="13"/>
        <v>1820</v>
      </c>
      <c r="J44" s="35">
        <f t="shared" si="13"/>
        <v>1820</v>
      </c>
      <c r="K44" s="35">
        <f t="shared" si="13"/>
        <v>1820</v>
      </c>
      <c r="L44" s="35">
        <f t="shared" si="13"/>
        <v>1820</v>
      </c>
      <c r="M44" s="35">
        <f t="shared" si="13"/>
        <v>1820</v>
      </c>
      <c r="N44" s="35">
        <f t="shared" si="13"/>
        <v>1820</v>
      </c>
      <c r="O44" s="35">
        <f t="shared" si="13"/>
        <v>1820</v>
      </c>
      <c r="P44" s="35">
        <f t="shared" si="13"/>
        <v>1820</v>
      </c>
      <c r="Q44" s="35">
        <f t="shared" si="13"/>
        <v>1820</v>
      </c>
    </row>
    <row r="45" spans="2:17">
      <c r="B45" s="1027"/>
      <c r="C45" s="644" t="s">
        <v>40</v>
      </c>
      <c r="D45" s="31" t="s">
        <v>90</v>
      </c>
      <c r="E45" s="18">
        <f>SUM(E17)</f>
        <v>3</v>
      </c>
      <c r="F45" s="32">
        <f>SUM(F17/$E$45/F32)</f>
        <v>2290.818181818182</v>
      </c>
      <c r="G45" s="32">
        <f t="shared" ref="G45:Q45" si="14">SUM(G17/$E$45/G32)</f>
        <v>3344.7333333333331</v>
      </c>
      <c r="H45" s="32">
        <f t="shared" si="14"/>
        <v>2277.2575757575755</v>
      </c>
      <c r="I45" s="32" t="e">
        <f t="shared" si="14"/>
        <v>#DIV/0!</v>
      </c>
      <c r="J45" s="32" t="e">
        <f t="shared" si="14"/>
        <v>#DIV/0!</v>
      </c>
      <c r="K45" s="32" t="e">
        <f t="shared" si="14"/>
        <v>#DIV/0!</v>
      </c>
      <c r="L45" s="32" t="e">
        <f t="shared" si="14"/>
        <v>#DIV/0!</v>
      </c>
      <c r="M45" s="32" t="e">
        <f t="shared" si="14"/>
        <v>#DIV/0!</v>
      </c>
      <c r="N45" s="32" t="e">
        <f t="shared" si="14"/>
        <v>#DIV/0!</v>
      </c>
      <c r="O45" s="32" t="e">
        <f t="shared" si="14"/>
        <v>#DIV/0!</v>
      </c>
      <c r="P45" s="32" t="e">
        <f t="shared" si="14"/>
        <v>#DIV/0!</v>
      </c>
      <c r="Q45" s="32" t="e">
        <f t="shared" si="14"/>
        <v>#DIV/0!</v>
      </c>
    </row>
    <row r="46" spans="2:17" ht="2.1" customHeight="1">
      <c r="B46" s="1028"/>
      <c r="C46" s="17" t="s">
        <v>40</v>
      </c>
      <c r="D46" s="33" t="s">
        <v>91</v>
      </c>
      <c r="E46" s="29">
        <f>SUM(E45)</f>
        <v>3</v>
      </c>
      <c r="F46" s="35">
        <f>SUM($V$17)</f>
        <v>2730</v>
      </c>
      <c r="G46" s="35">
        <f t="shared" ref="G46:Q46" si="15">SUM($V$17)</f>
        <v>2730</v>
      </c>
      <c r="H46" s="35">
        <f t="shared" si="15"/>
        <v>2730</v>
      </c>
      <c r="I46" s="35">
        <f t="shared" si="15"/>
        <v>2730</v>
      </c>
      <c r="J46" s="35">
        <f t="shared" si="15"/>
        <v>2730</v>
      </c>
      <c r="K46" s="35">
        <f t="shared" si="15"/>
        <v>2730</v>
      </c>
      <c r="L46" s="35">
        <f t="shared" si="15"/>
        <v>2730</v>
      </c>
      <c r="M46" s="35">
        <f t="shared" si="15"/>
        <v>2730</v>
      </c>
      <c r="N46" s="35">
        <f t="shared" si="15"/>
        <v>2730</v>
      </c>
      <c r="O46" s="35">
        <f t="shared" si="15"/>
        <v>2730</v>
      </c>
      <c r="P46" s="35">
        <f t="shared" si="15"/>
        <v>2730</v>
      </c>
      <c r="Q46" s="35">
        <f t="shared" si="15"/>
        <v>2730</v>
      </c>
    </row>
    <row r="47" spans="2:17" ht="13.5" customHeight="1">
      <c r="B47" s="1026" t="s">
        <v>84</v>
      </c>
      <c r="C47" s="647" t="s">
        <v>58</v>
      </c>
      <c r="D47" s="31" t="s">
        <v>90</v>
      </c>
      <c r="E47" s="29">
        <f t="shared" ref="E47" si="16">SUM(E18)</f>
        <v>7</v>
      </c>
      <c r="F47" s="32">
        <f>SUM(F18/$E$47/F33)</f>
        <v>1317.4285714285716</v>
      </c>
      <c r="G47" s="32">
        <f t="shared" ref="G47:Q47" si="17">SUM(G18/$E$47/G33)</f>
        <v>1926.4476190476191</v>
      </c>
      <c r="H47" s="32">
        <f t="shared" si="17"/>
        <v>1500.1623376623377</v>
      </c>
      <c r="I47" s="32" t="e">
        <f t="shared" si="17"/>
        <v>#DIV/0!</v>
      </c>
      <c r="J47" s="32" t="e">
        <f t="shared" si="17"/>
        <v>#DIV/0!</v>
      </c>
      <c r="K47" s="32" t="e">
        <f t="shared" si="17"/>
        <v>#DIV/0!</v>
      </c>
      <c r="L47" s="32" t="e">
        <f t="shared" si="17"/>
        <v>#DIV/0!</v>
      </c>
      <c r="M47" s="32" t="e">
        <f t="shared" si="17"/>
        <v>#DIV/0!</v>
      </c>
      <c r="N47" s="32" t="e">
        <f t="shared" si="17"/>
        <v>#DIV/0!</v>
      </c>
      <c r="O47" s="32" t="e">
        <f t="shared" si="17"/>
        <v>#DIV/0!</v>
      </c>
      <c r="P47" s="32" t="e">
        <f t="shared" si="17"/>
        <v>#DIV/0!</v>
      </c>
      <c r="Q47" s="32" t="e">
        <f t="shared" si="17"/>
        <v>#DIV/0!</v>
      </c>
    </row>
    <row r="48" spans="2:17" ht="2.1" customHeight="1">
      <c r="B48" s="1027"/>
      <c r="C48" s="17" t="s">
        <v>58</v>
      </c>
      <c r="D48" s="33" t="s">
        <v>91</v>
      </c>
      <c r="E48" s="29">
        <f>SUM(E47)</f>
        <v>7</v>
      </c>
      <c r="F48" s="35">
        <f>SUM($V$18)</f>
        <v>6370</v>
      </c>
      <c r="G48" s="35">
        <f t="shared" ref="G48:Q48" si="18">SUM($V$18)</f>
        <v>6370</v>
      </c>
      <c r="H48" s="35">
        <f t="shared" si="18"/>
        <v>6370</v>
      </c>
      <c r="I48" s="35">
        <f t="shared" si="18"/>
        <v>6370</v>
      </c>
      <c r="J48" s="35">
        <f t="shared" si="18"/>
        <v>6370</v>
      </c>
      <c r="K48" s="35">
        <f t="shared" si="18"/>
        <v>6370</v>
      </c>
      <c r="L48" s="35">
        <f t="shared" si="18"/>
        <v>6370</v>
      </c>
      <c r="M48" s="35">
        <f t="shared" si="18"/>
        <v>6370</v>
      </c>
      <c r="N48" s="35">
        <f t="shared" si="18"/>
        <v>6370</v>
      </c>
      <c r="O48" s="35">
        <f t="shared" si="18"/>
        <v>6370</v>
      </c>
      <c r="P48" s="35">
        <f t="shared" si="18"/>
        <v>6370</v>
      </c>
      <c r="Q48" s="35">
        <f t="shared" si="18"/>
        <v>6370</v>
      </c>
    </row>
    <row r="49" spans="2:17">
      <c r="B49" s="1027"/>
      <c r="C49" s="647" t="s">
        <v>55</v>
      </c>
      <c r="D49" s="31" t="s">
        <v>90</v>
      </c>
      <c r="E49" s="29">
        <f>SUM(E19)</f>
        <v>2</v>
      </c>
      <c r="F49" s="32">
        <f>SUM(F19/$E$49/F33)</f>
        <v>1785.0227272727273</v>
      </c>
      <c r="G49" s="32">
        <f t="shared" ref="G49:Q49" si="19">SUM(G19/$E$49/G33)</f>
        <v>2249.7333333333331</v>
      </c>
      <c r="H49" s="32">
        <f t="shared" si="19"/>
        <v>1863.75</v>
      </c>
      <c r="I49" s="32" t="e">
        <f t="shared" si="19"/>
        <v>#DIV/0!</v>
      </c>
      <c r="J49" s="32" t="e">
        <f t="shared" si="19"/>
        <v>#DIV/0!</v>
      </c>
      <c r="K49" s="32" t="e">
        <f t="shared" si="19"/>
        <v>#DIV/0!</v>
      </c>
      <c r="L49" s="32" t="e">
        <f t="shared" si="19"/>
        <v>#DIV/0!</v>
      </c>
      <c r="M49" s="32" t="e">
        <f t="shared" si="19"/>
        <v>#DIV/0!</v>
      </c>
      <c r="N49" s="32" t="e">
        <f t="shared" si="19"/>
        <v>#DIV/0!</v>
      </c>
      <c r="O49" s="32" t="e">
        <f t="shared" si="19"/>
        <v>#DIV/0!</v>
      </c>
      <c r="P49" s="32" t="e">
        <f t="shared" si="19"/>
        <v>#DIV/0!</v>
      </c>
      <c r="Q49" s="32" t="e">
        <f t="shared" si="19"/>
        <v>#DIV/0!</v>
      </c>
    </row>
    <row r="50" spans="2:17" ht="2.1" customHeight="1">
      <c r="B50" s="1027"/>
      <c r="C50" s="17" t="s">
        <v>55</v>
      </c>
      <c r="D50" s="33" t="s">
        <v>91</v>
      </c>
      <c r="E50" s="29">
        <f>SUM(E49)</f>
        <v>2</v>
      </c>
      <c r="F50" s="35">
        <f>SUM($V$19)</f>
        <v>1820</v>
      </c>
      <c r="G50" s="35">
        <f t="shared" ref="G50:Q50" si="20">SUM($V$19)</f>
        <v>1820</v>
      </c>
      <c r="H50" s="35">
        <f t="shared" si="20"/>
        <v>1820</v>
      </c>
      <c r="I50" s="35">
        <f t="shared" si="20"/>
        <v>1820</v>
      </c>
      <c r="J50" s="35">
        <f t="shared" si="20"/>
        <v>1820</v>
      </c>
      <c r="K50" s="35">
        <f t="shared" si="20"/>
        <v>1820</v>
      </c>
      <c r="L50" s="35">
        <f t="shared" si="20"/>
        <v>1820</v>
      </c>
      <c r="M50" s="35">
        <f t="shared" si="20"/>
        <v>1820</v>
      </c>
      <c r="N50" s="35">
        <f t="shared" si="20"/>
        <v>1820</v>
      </c>
      <c r="O50" s="35">
        <f t="shared" si="20"/>
        <v>1820</v>
      </c>
      <c r="P50" s="35">
        <f t="shared" si="20"/>
        <v>1820</v>
      </c>
      <c r="Q50" s="35">
        <f t="shared" si="20"/>
        <v>1820</v>
      </c>
    </row>
    <row r="51" spans="2:17">
      <c r="B51" s="1027"/>
      <c r="C51" s="484" t="s">
        <v>65</v>
      </c>
      <c r="D51" s="493" t="s">
        <v>90</v>
      </c>
      <c r="E51" s="484">
        <f>SUM(E20)</f>
        <v>0</v>
      </c>
      <c r="F51" s="494" t="e">
        <f>SUM(F20/$E$51/F33)</f>
        <v>#DIV/0!</v>
      </c>
      <c r="G51" s="494" t="e">
        <f t="shared" ref="G51:Q51" si="21">SUM(G20/$E$51/G32)</f>
        <v>#DIV/0!</v>
      </c>
      <c r="H51" s="494" t="e">
        <f t="shared" si="21"/>
        <v>#DIV/0!</v>
      </c>
      <c r="I51" s="494" t="e">
        <f t="shared" si="21"/>
        <v>#DIV/0!</v>
      </c>
      <c r="J51" s="494" t="e">
        <f t="shared" si="21"/>
        <v>#DIV/0!</v>
      </c>
      <c r="K51" s="494" t="e">
        <f t="shared" si="21"/>
        <v>#DIV/0!</v>
      </c>
      <c r="L51" s="494" t="e">
        <f t="shared" si="21"/>
        <v>#DIV/0!</v>
      </c>
      <c r="M51" s="494" t="e">
        <f t="shared" si="21"/>
        <v>#DIV/0!</v>
      </c>
      <c r="N51" s="494" t="e">
        <f t="shared" si="21"/>
        <v>#DIV/0!</v>
      </c>
      <c r="O51" s="494" t="e">
        <f t="shared" si="21"/>
        <v>#DIV/0!</v>
      </c>
      <c r="P51" s="494" t="e">
        <f t="shared" si="21"/>
        <v>#DIV/0!</v>
      </c>
      <c r="Q51" s="494" t="e">
        <f t="shared" si="21"/>
        <v>#DIV/0!</v>
      </c>
    </row>
    <row r="52" spans="2:17" ht="2.1" customHeight="1">
      <c r="B52" s="1027"/>
      <c r="C52" s="13" t="s">
        <v>65</v>
      </c>
      <c r="D52" s="31" t="s">
        <v>91</v>
      </c>
      <c r="E52" s="13">
        <f>SUM(E51)</f>
        <v>0</v>
      </c>
      <c r="F52" s="32">
        <f>SUM($V$20)</f>
        <v>0</v>
      </c>
      <c r="G52" s="32">
        <f t="shared" ref="G52:Q52" si="22">SUM($V$20)</f>
        <v>0</v>
      </c>
      <c r="H52" s="32">
        <f t="shared" si="22"/>
        <v>0</v>
      </c>
      <c r="I52" s="32">
        <f t="shared" si="22"/>
        <v>0</v>
      </c>
      <c r="J52" s="32">
        <f t="shared" si="22"/>
        <v>0</v>
      </c>
      <c r="K52" s="32">
        <f t="shared" si="22"/>
        <v>0</v>
      </c>
      <c r="L52" s="32">
        <f t="shared" si="22"/>
        <v>0</v>
      </c>
      <c r="M52" s="32">
        <f t="shared" si="22"/>
        <v>0</v>
      </c>
      <c r="N52" s="32">
        <f t="shared" si="22"/>
        <v>0</v>
      </c>
      <c r="O52" s="32">
        <f t="shared" si="22"/>
        <v>0</v>
      </c>
      <c r="P52" s="32">
        <f t="shared" si="22"/>
        <v>0</v>
      </c>
      <c r="Q52" s="32">
        <f t="shared" si="22"/>
        <v>0</v>
      </c>
    </row>
    <row r="53" spans="2:17">
      <c r="B53" s="1027"/>
      <c r="C53" s="647" t="s">
        <v>49</v>
      </c>
      <c r="D53" s="383" t="s">
        <v>90</v>
      </c>
      <c r="E53" s="29">
        <f>SUM(E21)</f>
        <v>2</v>
      </c>
      <c r="F53" s="384">
        <f>SUM(F21/$E$53/F33)</f>
        <v>1503.2954545454545</v>
      </c>
      <c r="G53" s="384">
        <f>SUM(G21/$E$53/G33)</f>
        <v>2171.9333333333334</v>
      </c>
      <c r="H53" s="384">
        <f t="shared" ref="H53:Q53" si="23">SUM(H21/$E$53/H33)</f>
        <v>1560.2954545454545</v>
      </c>
      <c r="I53" s="384" t="e">
        <f t="shared" si="23"/>
        <v>#DIV/0!</v>
      </c>
      <c r="J53" s="384" t="e">
        <f t="shared" si="23"/>
        <v>#DIV/0!</v>
      </c>
      <c r="K53" s="384" t="e">
        <f t="shared" si="23"/>
        <v>#DIV/0!</v>
      </c>
      <c r="L53" s="384" t="e">
        <f t="shared" si="23"/>
        <v>#DIV/0!</v>
      </c>
      <c r="M53" s="384" t="e">
        <f t="shared" si="23"/>
        <v>#DIV/0!</v>
      </c>
      <c r="N53" s="384" t="e">
        <f t="shared" si="23"/>
        <v>#DIV/0!</v>
      </c>
      <c r="O53" s="384" t="e">
        <f t="shared" si="23"/>
        <v>#DIV/0!</v>
      </c>
      <c r="P53" s="384" t="e">
        <f t="shared" si="23"/>
        <v>#DIV/0!</v>
      </c>
      <c r="Q53" s="384" t="e">
        <f t="shared" si="23"/>
        <v>#DIV/0!</v>
      </c>
    </row>
    <row r="54" spans="2:17" ht="2.1" customHeight="1">
      <c r="B54" s="1027"/>
      <c r="C54" s="381" t="s">
        <v>49</v>
      </c>
      <c r="D54" s="383" t="s">
        <v>91</v>
      </c>
      <c r="E54" s="381">
        <f>SUM(E53)</f>
        <v>2</v>
      </c>
      <c r="F54" s="384">
        <f>SUM($V$21)</f>
        <v>1820</v>
      </c>
      <c r="G54" s="384">
        <f t="shared" ref="G54:Q54" si="24">SUM($V$21)</f>
        <v>1820</v>
      </c>
      <c r="H54" s="384">
        <f t="shared" si="24"/>
        <v>1820</v>
      </c>
      <c r="I54" s="384">
        <f t="shared" si="24"/>
        <v>1820</v>
      </c>
      <c r="J54" s="384">
        <f t="shared" si="24"/>
        <v>1820</v>
      </c>
      <c r="K54" s="384">
        <f t="shared" si="24"/>
        <v>1820</v>
      </c>
      <c r="L54" s="384">
        <f t="shared" si="24"/>
        <v>1820</v>
      </c>
      <c r="M54" s="384">
        <f t="shared" si="24"/>
        <v>1820</v>
      </c>
      <c r="N54" s="384">
        <f t="shared" si="24"/>
        <v>1820</v>
      </c>
      <c r="O54" s="384">
        <f t="shared" si="24"/>
        <v>1820</v>
      </c>
      <c r="P54" s="384">
        <f t="shared" si="24"/>
        <v>1820</v>
      </c>
      <c r="Q54" s="384">
        <f t="shared" si="24"/>
        <v>1820</v>
      </c>
    </row>
    <row r="55" spans="2:17">
      <c r="B55" s="1027"/>
      <c r="C55" s="644" t="s">
        <v>51</v>
      </c>
      <c r="D55" s="383" t="s">
        <v>90</v>
      </c>
      <c r="E55" s="29">
        <f>SUM(E22)</f>
        <v>2</v>
      </c>
      <c r="F55" s="384">
        <f t="shared" ref="F55:Q55" si="25">SUM(F22/$E$55/F32)</f>
        <v>1096.6363636363637</v>
      </c>
      <c r="G55" s="384">
        <f t="shared" si="25"/>
        <v>1421.5</v>
      </c>
      <c r="H55" s="384">
        <f t="shared" si="25"/>
        <v>1223.9545454545455</v>
      </c>
      <c r="I55" s="384" t="e">
        <f t="shared" si="25"/>
        <v>#DIV/0!</v>
      </c>
      <c r="J55" s="384" t="e">
        <f t="shared" si="25"/>
        <v>#DIV/0!</v>
      </c>
      <c r="K55" s="384" t="e">
        <f t="shared" si="25"/>
        <v>#DIV/0!</v>
      </c>
      <c r="L55" s="384" t="e">
        <f t="shared" si="25"/>
        <v>#DIV/0!</v>
      </c>
      <c r="M55" s="384" t="e">
        <f t="shared" si="25"/>
        <v>#DIV/0!</v>
      </c>
      <c r="N55" s="384" t="e">
        <f t="shared" si="25"/>
        <v>#DIV/0!</v>
      </c>
      <c r="O55" s="384" t="e">
        <f t="shared" si="25"/>
        <v>#DIV/0!</v>
      </c>
      <c r="P55" s="384" t="e">
        <f t="shared" si="25"/>
        <v>#DIV/0!</v>
      </c>
      <c r="Q55" s="384" t="e">
        <f t="shared" si="25"/>
        <v>#DIV/0!</v>
      </c>
    </row>
    <row r="56" spans="2:17" ht="2.1" customHeight="1">
      <c r="B56" s="1027"/>
      <c r="C56" s="17" t="s">
        <v>51</v>
      </c>
      <c r="D56" s="33" t="s">
        <v>91</v>
      </c>
      <c r="E56" s="29">
        <f>SUM(E55)</f>
        <v>2</v>
      </c>
      <c r="F56" s="36">
        <f>SUM($V$22)</f>
        <v>1820</v>
      </c>
      <c r="G56" s="36">
        <f t="shared" ref="G56:Q56" si="26">SUM($V$22)</f>
        <v>1820</v>
      </c>
      <c r="H56" s="36">
        <f t="shared" si="26"/>
        <v>1820</v>
      </c>
      <c r="I56" s="36">
        <f t="shared" si="26"/>
        <v>1820</v>
      </c>
      <c r="J56" s="36">
        <f t="shared" si="26"/>
        <v>1820</v>
      </c>
      <c r="K56" s="36">
        <f t="shared" si="26"/>
        <v>1820</v>
      </c>
      <c r="L56" s="36">
        <f t="shared" si="26"/>
        <v>1820</v>
      </c>
      <c r="M56" s="36">
        <f t="shared" si="26"/>
        <v>1820</v>
      </c>
      <c r="N56" s="36">
        <f t="shared" si="26"/>
        <v>1820</v>
      </c>
      <c r="O56" s="36">
        <f t="shared" si="26"/>
        <v>1820</v>
      </c>
      <c r="P56" s="36">
        <f t="shared" si="26"/>
        <v>1820</v>
      </c>
      <c r="Q56" s="36">
        <f t="shared" si="26"/>
        <v>1820</v>
      </c>
    </row>
    <row r="57" spans="2:17">
      <c r="B57" s="1027"/>
      <c r="C57" s="644" t="s">
        <v>52</v>
      </c>
      <c r="D57" s="31" t="s">
        <v>90</v>
      </c>
      <c r="E57" s="18">
        <f>SUM(E23)</f>
        <v>2</v>
      </c>
      <c r="F57" s="32">
        <f t="shared" ref="F57:Q57" si="27">SUM(F23/$E$57/F32)</f>
        <v>2053.2045454545455</v>
      </c>
      <c r="G57" s="32">
        <f t="shared" si="27"/>
        <v>2792.7666666666669</v>
      </c>
      <c r="H57" s="32">
        <f t="shared" si="27"/>
        <v>1673.340909090909</v>
      </c>
      <c r="I57" s="32" t="e">
        <f t="shared" si="27"/>
        <v>#DIV/0!</v>
      </c>
      <c r="J57" s="32" t="e">
        <f t="shared" si="27"/>
        <v>#DIV/0!</v>
      </c>
      <c r="K57" s="32" t="e">
        <f t="shared" si="27"/>
        <v>#DIV/0!</v>
      </c>
      <c r="L57" s="32" t="e">
        <f t="shared" si="27"/>
        <v>#DIV/0!</v>
      </c>
      <c r="M57" s="32" t="e">
        <f t="shared" si="27"/>
        <v>#DIV/0!</v>
      </c>
      <c r="N57" s="32" t="e">
        <f t="shared" si="27"/>
        <v>#DIV/0!</v>
      </c>
      <c r="O57" s="32" t="e">
        <f t="shared" si="27"/>
        <v>#DIV/0!</v>
      </c>
      <c r="P57" s="32" t="e">
        <f t="shared" si="27"/>
        <v>#DIV/0!</v>
      </c>
      <c r="Q57" s="32" t="e">
        <f t="shared" si="27"/>
        <v>#DIV/0!</v>
      </c>
    </row>
    <row r="58" spans="2:17" ht="2.1" customHeight="1">
      <c r="B58" s="1028"/>
      <c r="C58" s="17" t="s">
        <v>52</v>
      </c>
      <c r="D58" s="33" t="s">
        <v>91</v>
      </c>
      <c r="E58" s="29">
        <f>SUM(E57)</f>
        <v>2</v>
      </c>
      <c r="F58" s="36">
        <f>SUM($V$23)</f>
        <v>1820</v>
      </c>
      <c r="G58" s="36">
        <f t="shared" ref="G58:Q58" si="28">SUM($V$23)</f>
        <v>1820</v>
      </c>
      <c r="H58" s="36">
        <f t="shared" si="28"/>
        <v>1820</v>
      </c>
      <c r="I58" s="36">
        <f t="shared" si="28"/>
        <v>1820</v>
      </c>
      <c r="J58" s="36">
        <f t="shared" si="28"/>
        <v>1820</v>
      </c>
      <c r="K58" s="36">
        <f t="shared" si="28"/>
        <v>1820</v>
      </c>
      <c r="L58" s="36">
        <f t="shared" si="28"/>
        <v>1820</v>
      </c>
      <c r="M58" s="36">
        <f t="shared" si="28"/>
        <v>1820</v>
      </c>
      <c r="N58" s="36">
        <f t="shared" si="28"/>
        <v>1820</v>
      </c>
      <c r="O58" s="36">
        <f t="shared" si="28"/>
        <v>1820</v>
      </c>
      <c r="P58" s="36">
        <f t="shared" si="28"/>
        <v>1820</v>
      </c>
      <c r="Q58" s="36">
        <f t="shared" si="28"/>
        <v>1820</v>
      </c>
    </row>
    <row r="59" spans="2:17" ht="13.5" customHeight="1">
      <c r="B59" s="1025" t="s">
        <v>86</v>
      </c>
      <c r="C59" s="644" t="s">
        <v>43</v>
      </c>
      <c r="D59" s="31" t="s">
        <v>90</v>
      </c>
      <c r="E59" s="18">
        <f>SUM(E24)</f>
        <v>4</v>
      </c>
      <c r="F59" s="32">
        <f t="shared" ref="F59:Q59" si="29">SUM(F24/$E$59/F32)</f>
        <v>1660.25</v>
      </c>
      <c r="G59" s="32">
        <f t="shared" si="29"/>
        <v>2364.9666666666667</v>
      </c>
      <c r="H59" s="32">
        <f t="shared" si="29"/>
        <v>1800.9318181818182</v>
      </c>
      <c r="I59" s="32" t="e">
        <f t="shared" si="29"/>
        <v>#DIV/0!</v>
      </c>
      <c r="J59" s="32" t="e">
        <f t="shared" si="29"/>
        <v>#DIV/0!</v>
      </c>
      <c r="K59" s="32" t="e">
        <f t="shared" si="29"/>
        <v>#DIV/0!</v>
      </c>
      <c r="L59" s="32" t="e">
        <f t="shared" si="29"/>
        <v>#DIV/0!</v>
      </c>
      <c r="M59" s="32" t="e">
        <f t="shared" si="29"/>
        <v>#DIV/0!</v>
      </c>
      <c r="N59" s="32" t="e">
        <f t="shared" si="29"/>
        <v>#DIV/0!</v>
      </c>
      <c r="O59" s="32" t="e">
        <f t="shared" si="29"/>
        <v>#DIV/0!</v>
      </c>
      <c r="P59" s="32" t="e">
        <f t="shared" si="29"/>
        <v>#DIV/0!</v>
      </c>
      <c r="Q59" s="32" t="e">
        <f t="shared" si="29"/>
        <v>#DIV/0!</v>
      </c>
    </row>
    <row r="60" spans="2:17" ht="2.1" customHeight="1">
      <c r="B60" s="1025"/>
      <c r="C60" s="13" t="s">
        <v>43</v>
      </c>
      <c r="D60" s="31" t="s">
        <v>91</v>
      </c>
      <c r="E60" s="13">
        <f>SUM(E59)</f>
        <v>4</v>
      </c>
      <c r="F60" s="32">
        <f>SUM($V$24)</f>
        <v>3640</v>
      </c>
      <c r="G60" s="32">
        <f t="shared" ref="G60:Q60" si="30">SUM($V$24)</f>
        <v>3640</v>
      </c>
      <c r="H60" s="32">
        <f t="shared" si="30"/>
        <v>3640</v>
      </c>
      <c r="I60" s="32">
        <f t="shared" si="30"/>
        <v>3640</v>
      </c>
      <c r="J60" s="32">
        <f t="shared" si="30"/>
        <v>3640</v>
      </c>
      <c r="K60" s="32">
        <f t="shared" si="30"/>
        <v>3640</v>
      </c>
      <c r="L60" s="32">
        <f t="shared" si="30"/>
        <v>3640</v>
      </c>
      <c r="M60" s="32">
        <f t="shared" si="30"/>
        <v>3640</v>
      </c>
      <c r="N60" s="32">
        <f t="shared" si="30"/>
        <v>3640</v>
      </c>
      <c r="O60" s="32">
        <f t="shared" si="30"/>
        <v>3640</v>
      </c>
      <c r="P60" s="32">
        <f t="shared" si="30"/>
        <v>3640</v>
      </c>
      <c r="Q60" s="32">
        <f t="shared" si="30"/>
        <v>3640</v>
      </c>
    </row>
    <row r="61" spans="2:17">
      <c r="B61" s="1025"/>
      <c r="C61" s="484" t="s">
        <v>87</v>
      </c>
      <c r="D61" s="493" t="s">
        <v>90</v>
      </c>
      <c r="E61" s="484">
        <f>SUM(E25)</f>
        <v>0</v>
      </c>
      <c r="F61" s="494" t="e">
        <f>SUM(F25/$E$61/F32)</f>
        <v>#DIV/0!</v>
      </c>
      <c r="G61" s="494" t="e">
        <f t="shared" ref="G61:Q61" si="31">SUM(G25/$E$61/G32)</f>
        <v>#DIV/0!</v>
      </c>
      <c r="H61" s="494" t="e">
        <f t="shared" si="31"/>
        <v>#DIV/0!</v>
      </c>
      <c r="I61" s="494" t="e">
        <f t="shared" si="31"/>
        <v>#DIV/0!</v>
      </c>
      <c r="J61" s="494" t="e">
        <f t="shared" si="31"/>
        <v>#DIV/0!</v>
      </c>
      <c r="K61" s="494" t="e">
        <f t="shared" si="31"/>
        <v>#DIV/0!</v>
      </c>
      <c r="L61" s="494" t="e">
        <f t="shared" si="31"/>
        <v>#DIV/0!</v>
      </c>
      <c r="M61" s="494" t="e">
        <f t="shared" si="31"/>
        <v>#DIV/0!</v>
      </c>
      <c r="N61" s="494" t="e">
        <f t="shared" si="31"/>
        <v>#DIV/0!</v>
      </c>
      <c r="O61" s="494" t="e">
        <f t="shared" si="31"/>
        <v>#DIV/0!</v>
      </c>
      <c r="P61" s="494" t="e">
        <f t="shared" si="31"/>
        <v>#DIV/0!</v>
      </c>
      <c r="Q61" s="494" t="e">
        <f t="shared" si="31"/>
        <v>#DIV/0!</v>
      </c>
    </row>
    <row r="62" spans="2:17" ht="2.1" customHeight="1">
      <c r="B62" s="1025"/>
      <c r="C62" s="37" t="s">
        <v>87</v>
      </c>
      <c r="D62" s="38" t="s">
        <v>91</v>
      </c>
      <c r="E62" s="37">
        <f>SUM(E61)</f>
        <v>0</v>
      </c>
      <c r="F62" s="36">
        <f>SUM($V$25)</f>
        <v>0</v>
      </c>
      <c r="G62" s="36">
        <f t="shared" ref="G62:Q62" si="32">SUM($V$25)</f>
        <v>0</v>
      </c>
      <c r="H62" s="36">
        <f t="shared" si="32"/>
        <v>0</v>
      </c>
      <c r="I62" s="36">
        <f t="shared" si="32"/>
        <v>0</v>
      </c>
      <c r="J62" s="36">
        <f t="shared" si="32"/>
        <v>0</v>
      </c>
      <c r="K62" s="36">
        <f t="shared" si="32"/>
        <v>0</v>
      </c>
      <c r="L62" s="36">
        <f t="shared" si="32"/>
        <v>0</v>
      </c>
      <c r="M62" s="36">
        <f t="shared" si="32"/>
        <v>0</v>
      </c>
      <c r="N62" s="36">
        <f t="shared" si="32"/>
        <v>0</v>
      </c>
      <c r="O62" s="36">
        <f t="shared" si="32"/>
        <v>0</v>
      </c>
      <c r="P62" s="36">
        <f t="shared" si="32"/>
        <v>0</v>
      </c>
      <c r="Q62" s="36">
        <f t="shared" si="32"/>
        <v>0</v>
      </c>
    </row>
    <row r="63" spans="2:17">
      <c r="B63" s="1025"/>
      <c r="C63" s="644" t="s">
        <v>47</v>
      </c>
      <c r="D63" s="31" t="s">
        <v>90</v>
      </c>
      <c r="E63" s="18">
        <f>SUM(E26)</f>
        <v>4</v>
      </c>
      <c r="F63" s="32">
        <f t="shared" ref="F63:Q63" si="33">SUM(F26/$E$63/F32)</f>
        <v>3053.318181818182</v>
      </c>
      <c r="G63" s="32">
        <f t="shared" si="33"/>
        <v>4604.3999999999996</v>
      </c>
      <c r="H63" s="32">
        <f t="shared" si="33"/>
        <v>2933.3522727272725</v>
      </c>
      <c r="I63" s="32" t="e">
        <f t="shared" si="33"/>
        <v>#DIV/0!</v>
      </c>
      <c r="J63" s="32" t="e">
        <f t="shared" si="33"/>
        <v>#DIV/0!</v>
      </c>
      <c r="K63" s="32" t="e">
        <f t="shared" si="33"/>
        <v>#DIV/0!</v>
      </c>
      <c r="L63" s="32" t="e">
        <f t="shared" si="33"/>
        <v>#DIV/0!</v>
      </c>
      <c r="M63" s="32" t="e">
        <f t="shared" si="33"/>
        <v>#DIV/0!</v>
      </c>
      <c r="N63" s="32" t="e">
        <f t="shared" si="33"/>
        <v>#DIV/0!</v>
      </c>
      <c r="O63" s="32" t="e">
        <f t="shared" si="33"/>
        <v>#DIV/0!</v>
      </c>
      <c r="P63" s="32" t="e">
        <f t="shared" si="33"/>
        <v>#DIV/0!</v>
      </c>
      <c r="Q63" s="32" t="e">
        <f t="shared" si="33"/>
        <v>#DIV/0!</v>
      </c>
    </row>
    <row r="64" spans="2:17" ht="2.1" customHeight="1">
      <c r="B64" s="1025"/>
      <c r="C64" s="17" t="s">
        <v>47</v>
      </c>
      <c r="D64" s="17" t="s">
        <v>91</v>
      </c>
      <c r="E64" s="29">
        <f>SUM(E63)</f>
        <v>4</v>
      </c>
      <c r="F64" s="36">
        <f>SUM($V$26)</f>
        <v>3640</v>
      </c>
      <c r="G64" s="36">
        <f t="shared" ref="G64:Q64" si="34">SUM($V$26)</f>
        <v>3640</v>
      </c>
      <c r="H64" s="36">
        <f t="shared" si="34"/>
        <v>3640</v>
      </c>
      <c r="I64" s="36">
        <f t="shared" si="34"/>
        <v>3640</v>
      </c>
      <c r="J64" s="36">
        <f t="shared" si="34"/>
        <v>3640</v>
      </c>
      <c r="K64" s="36">
        <f t="shared" si="34"/>
        <v>3640</v>
      </c>
      <c r="L64" s="36">
        <f t="shared" si="34"/>
        <v>3640</v>
      </c>
      <c r="M64" s="36">
        <f t="shared" si="34"/>
        <v>3640</v>
      </c>
      <c r="N64" s="36">
        <f t="shared" si="34"/>
        <v>3640</v>
      </c>
      <c r="O64" s="36">
        <f t="shared" si="34"/>
        <v>3640</v>
      </c>
      <c r="P64" s="36">
        <f t="shared" si="34"/>
        <v>3640</v>
      </c>
      <c r="Q64" s="36">
        <f t="shared" si="34"/>
        <v>3640</v>
      </c>
    </row>
    <row r="65" spans="2:17" ht="14.25" customHeight="1">
      <c r="B65" s="39"/>
      <c r="C65" s="40"/>
      <c r="D65" s="40"/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spans="2:17">
      <c r="B66" s="39"/>
      <c r="C66" s="40"/>
      <c r="D66" s="40"/>
      <c r="E66" s="4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2:17">
      <c r="B67" s="39"/>
      <c r="C67" s="40"/>
      <c r="D67" s="40"/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spans="2:17">
      <c r="B68" s="39"/>
      <c r="C68" s="40"/>
      <c r="D68" s="40"/>
      <c r="E68" s="40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2:17">
      <c r="B69" s="39"/>
      <c r="C69" s="40"/>
      <c r="D69" s="40"/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spans="2:17">
      <c r="B70" s="39"/>
      <c r="C70" s="40"/>
      <c r="D70" s="40"/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2:17">
      <c r="B71" s="39"/>
      <c r="C71" s="40"/>
      <c r="D71" s="40"/>
      <c r="E71" s="40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spans="2:17">
      <c r="B72" s="39"/>
      <c r="C72" s="40"/>
      <c r="D72" s="40"/>
      <c r="E72" s="40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spans="2:17">
      <c r="B73" s="39"/>
      <c r="C73" s="40"/>
      <c r="D73" s="40"/>
      <c r="E73" s="40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spans="2:17">
      <c r="B74" s="39"/>
      <c r="C74" s="40"/>
      <c r="D74" s="40"/>
      <c r="E74" s="40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2:17">
      <c r="B75" s="39"/>
      <c r="C75" s="40"/>
      <c r="D75" s="40"/>
      <c r="E75" s="40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2:17">
      <c r="B76" s="39"/>
      <c r="C76" s="40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2:17">
      <c r="B77" s="39"/>
      <c r="C77" s="40"/>
      <c r="D77" s="40"/>
      <c r="E77" s="40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2:17">
      <c r="B78" s="39"/>
      <c r="C78" s="40"/>
      <c r="D78" s="40"/>
      <c r="E78" s="40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2:17">
      <c r="B79" s="39"/>
      <c r="C79" s="40"/>
      <c r="D79" s="40"/>
      <c r="E79" s="40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2:17">
      <c r="B80" s="39"/>
      <c r="C80" s="40"/>
      <c r="D80" s="40"/>
      <c r="E80" s="40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2:17">
      <c r="B81" s="39"/>
      <c r="C81" s="40"/>
      <c r="D81" s="40"/>
      <c r="E81" s="40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spans="2:17">
      <c r="B82" s="39"/>
      <c r="C82" s="40"/>
      <c r="D82" s="40"/>
      <c r="E82" s="40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2:17">
      <c r="B83" s="39"/>
      <c r="C83" s="40"/>
      <c r="D83" s="40"/>
      <c r="E83" s="40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2:17">
      <c r="B84" s="39"/>
      <c r="C84" s="40"/>
      <c r="D84" s="40"/>
      <c r="E84" s="40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2:17">
      <c r="B85" s="39"/>
      <c r="C85" s="40"/>
      <c r="D85" s="40"/>
      <c r="E85" s="40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2:17">
      <c r="B86" s="39"/>
      <c r="C86" s="40"/>
      <c r="D86" s="40"/>
      <c r="E86" s="40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2:17">
      <c r="B87" s="39"/>
      <c r="C87" s="40"/>
      <c r="D87" s="40"/>
      <c r="E87" s="40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spans="2:17">
      <c r="B88" s="39"/>
      <c r="C88" s="40"/>
      <c r="D88" s="40"/>
      <c r="E88" s="40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2:17">
      <c r="B89" s="39"/>
      <c r="C89" s="40"/>
      <c r="D89" s="40"/>
      <c r="E89" s="40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spans="2:17">
      <c r="B90" s="39"/>
      <c r="C90" s="40"/>
      <c r="D90" s="40"/>
      <c r="E90" s="40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2:17">
      <c r="B91" s="39"/>
      <c r="C91" s="40"/>
      <c r="D91" s="40"/>
      <c r="E91" s="40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2:17">
      <c r="B92" s="39"/>
      <c r="C92" s="40"/>
      <c r="D92" s="40"/>
      <c r="E92" s="40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2:17">
      <c r="B93" s="39"/>
      <c r="C93" s="40"/>
      <c r="D93" s="40"/>
      <c r="E93" s="40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2:17">
      <c r="B94" s="39"/>
      <c r="C94" s="40"/>
      <c r="D94" s="40"/>
      <c r="E94" s="40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2:17">
      <c r="B95" s="39"/>
      <c r="C95" s="40"/>
      <c r="D95" s="40"/>
      <c r="E95" s="40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2:17">
      <c r="B96" s="39"/>
      <c r="C96" s="40"/>
      <c r="D96" s="40"/>
      <c r="E96" s="40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2:17">
      <c r="B97" s="39"/>
      <c r="C97" s="40"/>
      <c r="D97" s="40"/>
      <c r="E97" s="40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2:17">
      <c r="B98" s="39"/>
      <c r="C98" s="40"/>
      <c r="D98" s="40"/>
      <c r="E98" s="40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2:17">
      <c r="B99" s="39"/>
      <c r="C99" s="40"/>
      <c r="D99" s="40"/>
      <c r="E99" s="40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spans="2:17">
      <c r="B100" s="39"/>
      <c r="C100" s="40"/>
      <c r="D100" s="40"/>
      <c r="E100" s="40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2:17">
      <c r="B101" s="39"/>
      <c r="C101" s="40"/>
      <c r="D101" s="40"/>
      <c r="E101" s="40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spans="2:17">
      <c r="B102" s="39"/>
      <c r="C102" s="40"/>
      <c r="D102" s="40"/>
      <c r="E102" s="40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2:17">
      <c r="B103" s="39"/>
      <c r="C103" s="40"/>
      <c r="D103" s="40"/>
      <c r="E103" s="40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2:17">
      <c r="B104" s="39"/>
      <c r="C104" s="40"/>
      <c r="D104" s="40"/>
      <c r="E104" s="40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2:17">
      <c r="B105" s="39"/>
      <c r="C105" s="40"/>
      <c r="D105" s="40"/>
      <c r="E105" s="40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2:17">
      <c r="B106" s="39"/>
      <c r="C106" s="40"/>
      <c r="D106" s="40"/>
      <c r="E106" s="40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2:17">
      <c r="B107" s="39"/>
      <c r="C107" s="40"/>
      <c r="D107" s="40"/>
      <c r="E107" s="40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2:17">
      <c r="B108" s="39"/>
      <c r="C108" s="40"/>
      <c r="D108" s="40"/>
      <c r="E108" s="40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2:17">
      <c r="B109" s="39"/>
      <c r="C109" s="40"/>
      <c r="D109" s="40"/>
      <c r="E109" s="40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2:17">
      <c r="B110" s="39"/>
      <c r="C110" s="40"/>
      <c r="D110" s="40"/>
      <c r="E110" s="40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2:17">
      <c r="B111" s="39"/>
      <c r="C111" s="40"/>
      <c r="D111" s="40"/>
      <c r="E111" s="40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2:17">
      <c r="B112" s="39"/>
      <c r="C112" s="40"/>
      <c r="D112" s="40"/>
      <c r="E112" s="40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2:17">
      <c r="B113" s="39"/>
      <c r="C113" s="40"/>
      <c r="D113" s="40"/>
      <c r="E113" s="40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spans="2:17">
      <c r="B114" s="39"/>
      <c r="C114" s="40"/>
      <c r="D114" s="40"/>
      <c r="E114" s="40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spans="2:17">
      <c r="B115" s="39"/>
      <c r="C115" s="40"/>
      <c r="D115" s="40"/>
      <c r="E115" s="40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spans="2:17">
      <c r="B116" s="39"/>
      <c r="C116" s="40"/>
      <c r="D116" s="40"/>
      <c r="E116" s="40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spans="2:17">
      <c r="B117" s="39"/>
      <c r="C117" s="40"/>
      <c r="D117" s="40"/>
      <c r="E117" s="40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2:17">
      <c r="B118" s="39"/>
      <c r="C118" s="40"/>
      <c r="D118" s="40"/>
      <c r="E118" s="40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2:17">
      <c r="B119" s="39"/>
      <c r="C119" s="40"/>
      <c r="D119" s="40"/>
      <c r="E119" s="40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2:17">
      <c r="B120" s="39"/>
      <c r="C120" s="40"/>
      <c r="D120" s="40"/>
      <c r="E120" s="40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2:17">
      <c r="B121" s="39"/>
      <c r="C121" s="40"/>
      <c r="D121" s="40"/>
      <c r="E121" s="40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2:17">
      <c r="B122" s="39"/>
      <c r="C122" s="40"/>
      <c r="D122" s="40"/>
      <c r="E122" s="40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2:17">
      <c r="B123" s="39"/>
      <c r="C123" s="40"/>
      <c r="D123" s="40"/>
      <c r="E123" s="40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2:17">
      <c r="B124" s="39"/>
      <c r="C124" s="40"/>
      <c r="D124" s="40"/>
      <c r="E124" s="40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2:17">
      <c r="B125" s="39"/>
      <c r="C125" s="40"/>
      <c r="D125" s="40"/>
      <c r="E125" s="40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2:17">
      <c r="B126" s="39"/>
      <c r="C126" s="40"/>
      <c r="D126" s="40"/>
      <c r="E126" s="40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2:17">
      <c r="B127" s="39"/>
      <c r="C127" s="40"/>
      <c r="D127" s="40"/>
      <c r="E127" s="40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spans="2:17">
      <c r="B128" s="39"/>
      <c r="C128" s="40"/>
      <c r="D128" s="40"/>
      <c r="E128" s="40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spans="2:17">
      <c r="B129" s="39"/>
      <c r="C129" s="40"/>
      <c r="D129" s="40"/>
      <c r="E129" s="40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spans="2:17">
      <c r="B130" s="39"/>
      <c r="C130" s="40"/>
      <c r="D130" s="40"/>
      <c r="E130" s="40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spans="2:17">
      <c r="B131" s="39"/>
      <c r="C131" s="40"/>
      <c r="D131" s="40"/>
      <c r="E131" s="40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spans="2:17">
      <c r="B132" s="39"/>
      <c r="C132" s="40"/>
      <c r="D132" s="40"/>
      <c r="E132" s="40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spans="2:17">
      <c r="B133" s="39"/>
      <c r="C133" s="40"/>
      <c r="D133" s="40"/>
      <c r="E133" s="40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spans="2:17">
      <c r="B134" s="39"/>
      <c r="C134" s="40"/>
      <c r="D134" s="40"/>
      <c r="E134" s="40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spans="2:17">
      <c r="B135" s="39"/>
      <c r="C135" s="40"/>
      <c r="D135" s="40"/>
      <c r="E135" s="40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spans="2:17">
      <c r="B136" s="39"/>
      <c r="C136" s="40"/>
      <c r="D136" s="40"/>
      <c r="E136" s="40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spans="2:17">
      <c r="B137" s="39"/>
      <c r="C137" s="40"/>
      <c r="D137" s="40"/>
      <c r="E137" s="40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spans="2:17">
      <c r="B138" s="39"/>
      <c r="C138" s="40"/>
      <c r="D138" s="40"/>
      <c r="E138" s="40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spans="2:17">
      <c r="B139" s="39"/>
      <c r="C139" s="40"/>
      <c r="D139" s="40"/>
      <c r="E139" s="40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spans="2:17">
      <c r="B140" s="39"/>
      <c r="C140" s="40"/>
      <c r="D140" s="40"/>
      <c r="E140" s="40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spans="2:17">
      <c r="B141" s="39"/>
      <c r="C141" s="40"/>
      <c r="D141" s="40"/>
      <c r="E141" s="40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spans="2:17">
      <c r="B142" s="39"/>
      <c r="C142" s="40"/>
      <c r="D142" s="40"/>
      <c r="E142" s="40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spans="2:17">
      <c r="B143" s="39"/>
      <c r="C143" s="40"/>
      <c r="D143" s="40"/>
      <c r="E143" s="40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spans="2:17">
      <c r="B144" s="39"/>
      <c r="C144" s="40"/>
      <c r="D144" s="40"/>
      <c r="E144" s="40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spans="2:17">
      <c r="B145" s="39"/>
      <c r="C145" s="40"/>
      <c r="D145" s="40"/>
      <c r="E145" s="40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spans="2:17">
      <c r="B146" s="39"/>
      <c r="C146" s="40"/>
      <c r="D146" s="40"/>
      <c r="E146" s="40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spans="2:17">
      <c r="B147" s="39"/>
      <c r="C147" s="40"/>
      <c r="D147" s="40"/>
      <c r="E147" s="40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spans="2:17">
      <c r="B148" s="39"/>
      <c r="C148" s="40"/>
      <c r="D148" s="40"/>
      <c r="E148" s="40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spans="2:17">
      <c r="B149" s="39"/>
      <c r="C149" s="40"/>
      <c r="D149" s="40"/>
      <c r="E149" s="40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spans="2:17">
      <c r="B150" s="39"/>
      <c r="C150" s="40"/>
      <c r="D150" s="40"/>
      <c r="E150" s="40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spans="2:17">
      <c r="B151" s="39"/>
      <c r="C151" s="40"/>
      <c r="D151" s="40"/>
      <c r="E151" s="40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spans="2:17">
      <c r="B152" s="39"/>
      <c r="C152" s="40"/>
      <c r="D152" s="40"/>
      <c r="E152" s="40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spans="2:17">
      <c r="B153" s="39"/>
      <c r="C153" s="40"/>
      <c r="D153" s="40"/>
      <c r="E153" s="40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spans="2:17">
      <c r="B154" s="39"/>
      <c r="C154" s="40"/>
      <c r="D154" s="40"/>
      <c r="E154" s="40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spans="2:17">
      <c r="B155" s="39"/>
      <c r="C155" s="40"/>
      <c r="D155" s="40"/>
      <c r="E155" s="40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spans="2:17">
      <c r="B156" s="39"/>
      <c r="C156" s="40"/>
      <c r="D156" s="40"/>
      <c r="E156" s="4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spans="2:17">
      <c r="B157" s="39"/>
      <c r="C157" s="40"/>
      <c r="D157" s="40"/>
      <c r="E157" s="40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spans="2:17">
      <c r="C158" s="3" t="s">
        <v>607</v>
      </c>
      <c r="G158" s="4" t="s">
        <v>605</v>
      </c>
      <c r="H158" s="4" t="s">
        <v>606</v>
      </c>
    </row>
    <row r="159" spans="2:17">
      <c r="E159" s="25" t="s">
        <v>88</v>
      </c>
      <c r="G159" s="54">
        <v>545</v>
      </c>
      <c r="H159" s="55">
        <v>1090</v>
      </c>
    </row>
    <row r="160" spans="2:17">
      <c r="C160" s="28" t="s">
        <v>92</v>
      </c>
      <c r="D160" s="28"/>
      <c r="E160" s="621" t="s">
        <v>590</v>
      </c>
      <c r="F160" s="645">
        <f>F32</f>
        <v>22</v>
      </c>
      <c r="G160" s="645">
        <f t="shared" ref="G160:Q160" si="35">G32</f>
        <v>15</v>
      </c>
      <c r="H160" s="645">
        <f t="shared" si="35"/>
        <v>22</v>
      </c>
      <c r="I160" s="645">
        <f t="shared" si="35"/>
        <v>0</v>
      </c>
      <c r="J160" s="645">
        <f t="shared" si="35"/>
        <v>0</v>
      </c>
      <c r="K160" s="645">
        <f t="shared" si="35"/>
        <v>0</v>
      </c>
      <c r="L160" s="645">
        <f t="shared" si="35"/>
        <v>0</v>
      </c>
      <c r="M160" s="645">
        <f t="shared" si="35"/>
        <v>0</v>
      </c>
      <c r="N160" s="645">
        <f t="shared" si="35"/>
        <v>0</v>
      </c>
      <c r="O160" s="645">
        <f t="shared" si="35"/>
        <v>0</v>
      </c>
      <c r="P160" s="645">
        <f t="shared" si="35"/>
        <v>0</v>
      </c>
      <c r="Q160" s="645">
        <f t="shared" si="35"/>
        <v>0</v>
      </c>
    </row>
    <row r="161" spans="2:18">
      <c r="C161" s="28"/>
      <c r="D161" s="28"/>
      <c r="E161" s="623" t="s">
        <v>591</v>
      </c>
      <c r="F161" s="646">
        <f>F33</f>
        <v>22</v>
      </c>
      <c r="G161" s="646">
        <f t="shared" ref="G161:Q161" si="36">G33</f>
        <v>15</v>
      </c>
      <c r="H161" s="646">
        <f t="shared" si="36"/>
        <v>22</v>
      </c>
      <c r="I161" s="646">
        <f t="shared" si="36"/>
        <v>0</v>
      </c>
      <c r="J161" s="646">
        <f t="shared" si="36"/>
        <v>0</v>
      </c>
      <c r="K161" s="646">
        <f t="shared" si="36"/>
        <v>0</v>
      </c>
      <c r="L161" s="646">
        <f t="shared" si="36"/>
        <v>0</v>
      </c>
      <c r="M161" s="646">
        <f t="shared" si="36"/>
        <v>0</v>
      </c>
      <c r="N161" s="646">
        <f t="shared" si="36"/>
        <v>0</v>
      </c>
      <c r="O161" s="646">
        <f t="shared" si="36"/>
        <v>0</v>
      </c>
      <c r="P161" s="646">
        <f t="shared" si="36"/>
        <v>0</v>
      </c>
      <c r="Q161" s="646">
        <f t="shared" si="36"/>
        <v>0</v>
      </c>
    </row>
    <row r="162" spans="2:18">
      <c r="C162" s="13" t="s">
        <v>0</v>
      </c>
      <c r="D162" s="13"/>
      <c r="E162" s="29" t="s">
        <v>81</v>
      </c>
      <c r="F162" s="30" t="s">
        <v>1</v>
      </c>
      <c r="G162" s="30" t="s">
        <v>2</v>
      </c>
      <c r="H162" s="30" t="s">
        <v>3</v>
      </c>
      <c r="I162" s="30" t="s">
        <v>4</v>
      </c>
      <c r="J162" s="30" t="s">
        <v>5</v>
      </c>
      <c r="K162" s="30" t="s">
        <v>6</v>
      </c>
      <c r="L162" s="45" t="s">
        <v>7</v>
      </c>
      <c r="M162" s="45" t="s">
        <v>8</v>
      </c>
      <c r="N162" s="30" t="s">
        <v>9</v>
      </c>
      <c r="O162" s="30" t="s">
        <v>10</v>
      </c>
      <c r="P162" s="30" t="s">
        <v>11</v>
      </c>
      <c r="Q162" s="30" t="s">
        <v>12</v>
      </c>
      <c r="R162" s="56" t="s">
        <v>93</v>
      </c>
    </row>
    <row r="163" spans="2:18">
      <c r="B163" s="1025" t="s">
        <v>83</v>
      </c>
      <c r="C163" s="647" t="s">
        <v>13</v>
      </c>
      <c r="D163" s="17"/>
      <c r="E163" s="18">
        <f>SUM(E35)</f>
        <v>3</v>
      </c>
      <c r="F163" s="36">
        <f>SUM(F12/$E$163/$H$159)</f>
        <v>7.4822629969418966</v>
      </c>
      <c r="G163" s="36">
        <f t="shared" ref="G163:Q163" si="37">SUM(G12/$E$163/$H$159)</f>
        <v>7.9348623853211011</v>
      </c>
      <c r="H163" s="36">
        <f t="shared" si="37"/>
        <v>12.650458715596331</v>
      </c>
      <c r="I163" s="36">
        <f t="shared" si="37"/>
        <v>0</v>
      </c>
      <c r="J163" s="36">
        <f t="shared" si="37"/>
        <v>0</v>
      </c>
      <c r="K163" s="36">
        <f t="shared" si="37"/>
        <v>0</v>
      </c>
      <c r="L163" s="36">
        <f t="shared" si="37"/>
        <v>0</v>
      </c>
      <c r="M163" s="36">
        <f t="shared" si="37"/>
        <v>0</v>
      </c>
      <c r="N163" s="36">
        <f t="shared" si="37"/>
        <v>0</v>
      </c>
      <c r="O163" s="36">
        <f t="shared" si="37"/>
        <v>0</v>
      </c>
      <c r="P163" s="36">
        <f t="shared" si="37"/>
        <v>0</v>
      </c>
      <c r="Q163" s="36">
        <f t="shared" si="37"/>
        <v>0</v>
      </c>
      <c r="R163" s="57">
        <v>30</v>
      </c>
    </row>
    <row r="164" spans="2:18">
      <c r="B164" s="1025"/>
      <c r="C164" s="644" t="s">
        <v>37</v>
      </c>
      <c r="D164" s="17"/>
      <c r="E164" s="18">
        <f>SUM(E37)</f>
        <v>2</v>
      </c>
      <c r="F164" s="36">
        <f>SUM(F13/$E$164/$H$159)</f>
        <v>62.045412844036697</v>
      </c>
      <c r="G164" s="36">
        <f t="shared" ref="G164:Q164" si="38">SUM(G13/$E$164/$H$159)</f>
        <v>58.473394495412848</v>
      </c>
      <c r="H164" s="36">
        <f t="shared" si="38"/>
        <v>59.901834862385321</v>
      </c>
      <c r="I164" s="36">
        <f t="shared" si="38"/>
        <v>0</v>
      </c>
      <c r="J164" s="36">
        <f t="shared" si="38"/>
        <v>0</v>
      </c>
      <c r="K164" s="36">
        <f t="shared" si="38"/>
        <v>0</v>
      </c>
      <c r="L164" s="36">
        <f t="shared" si="38"/>
        <v>0</v>
      </c>
      <c r="M164" s="36">
        <f t="shared" si="38"/>
        <v>0</v>
      </c>
      <c r="N164" s="36">
        <f t="shared" si="38"/>
        <v>0</v>
      </c>
      <c r="O164" s="36">
        <f t="shared" si="38"/>
        <v>0</v>
      </c>
      <c r="P164" s="36">
        <f t="shared" si="38"/>
        <v>0</v>
      </c>
      <c r="Q164" s="36">
        <f t="shared" si="38"/>
        <v>0</v>
      </c>
      <c r="R164" s="57">
        <v>30</v>
      </c>
    </row>
    <row r="165" spans="2:18">
      <c r="B165" s="1025"/>
      <c r="C165" s="647" t="s">
        <v>22</v>
      </c>
      <c r="D165" s="17"/>
      <c r="E165" s="18">
        <f>SUM(E39)</f>
        <v>4</v>
      </c>
      <c r="F165" s="36">
        <f>SUM(F14/$E$165/$H$159)</f>
        <v>7.2628440366972473</v>
      </c>
      <c r="G165" s="36">
        <f t="shared" ref="G165:Q165" si="39">SUM(G14/$E$165/$H$159)</f>
        <v>8.0107798165137609</v>
      </c>
      <c r="H165" s="36">
        <f t="shared" si="39"/>
        <v>9.4527522935779817</v>
      </c>
      <c r="I165" s="36">
        <f t="shared" si="39"/>
        <v>0</v>
      </c>
      <c r="J165" s="36">
        <f t="shared" si="39"/>
        <v>0</v>
      </c>
      <c r="K165" s="36">
        <f t="shared" si="39"/>
        <v>0</v>
      </c>
      <c r="L165" s="36">
        <f t="shared" si="39"/>
        <v>0</v>
      </c>
      <c r="M165" s="36">
        <f t="shared" si="39"/>
        <v>0</v>
      </c>
      <c r="N165" s="36">
        <f t="shared" si="39"/>
        <v>0</v>
      </c>
      <c r="O165" s="36">
        <f t="shared" si="39"/>
        <v>0</v>
      </c>
      <c r="P165" s="36">
        <f t="shared" si="39"/>
        <v>0</v>
      </c>
      <c r="Q165" s="36">
        <f t="shared" si="39"/>
        <v>0</v>
      </c>
      <c r="R165" s="57">
        <v>30</v>
      </c>
    </row>
    <row r="166" spans="2:18">
      <c r="B166" s="1025"/>
      <c r="C166" s="647" t="s">
        <v>30</v>
      </c>
      <c r="D166" s="17"/>
      <c r="E166" s="18">
        <f>SUM(E41)</f>
        <v>5</v>
      </c>
      <c r="F166" s="36">
        <f>SUM(F15/$E$166/$H$159)</f>
        <v>17.651192660550457</v>
      </c>
      <c r="G166" s="36">
        <f t="shared" ref="G166:Q166" si="40">SUM(G15/$E$166/$H$159)</f>
        <v>17.891743119266057</v>
      </c>
      <c r="H166" s="36">
        <f t="shared" si="40"/>
        <v>23.440917431192659</v>
      </c>
      <c r="I166" s="36">
        <f t="shared" si="40"/>
        <v>0</v>
      </c>
      <c r="J166" s="36">
        <f t="shared" si="40"/>
        <v>0</v>
      </c>
      <c r="K166" s="36">
        <f t="shared" si="40"/>
        <v>0</v>
      </c>
      <c r="L166" s="36">
        <f t="shared" si="40"/>
        <v>0</v>
      </c>
      <c r="M166" s="36">
        <f t="shared" si="40"/>
        <v>0</v>
      </c>
      <c r="N166" s="36">
        <f t="shared" si="40"/>
        <v>0</v>
      </c>
      <c r="O166" s="36">
        <f t="shared" si="40"/>
        <v>0</v>
      </c>
      <c r="P166" s="36">
        <f t="shared" si="40"/>
        <v>0</v>
      </c>
      <c r="Q166" s="36">
        <f t="shared" si="40"/>
        <v>0</v>
      </c>
      <c r="R166" s="57">
        <v>30</v>
      </c>
    </row>
    <row r="167" spans="2:18">
      <c r="B167" s="1025"/>
      <c r="C167" s="647" t="s">
        <v>35</v>
      </c>
      <c r="D167" s="17"/>
      <c r="E167" s="18">
        <f>SUM(E43)</f>
        <v>2</v>
      </c>
      <c r="F167" s="36">
        <f>SUM(F16/$E$167/$H$159)</f>
        <v>3.4669724770642203</v>
      </c>
      <c r="G167" s="36">
        <f t="shared" ref="G167:Q167" si="41">SUM(G16/$E$167/$H$159)</f>
        <v>3.8045871559633029</v>
      </c>
      <c r="H167" s="36">
        <f t="shared" si="41"/>
        <v>4.894954128440367</v>
      </c>
      <c r="I167" s="36">
        <f t="shared" si="41"/>
        <v>0</v>
      </c>
      <c r="J167" s="36">
        <f t="shared" si="41"/>
        <v>0</v>
      </c>
      <c r="K167" s="36">
        <f t="shared" si="41"/>
        <v>0</v>
      </c>
      <c r="L167" s="36">
        <f t="shared" si="41"/>
        <v>0</v>
      </c>
      <c r="M167" s="36">
        <f t="shared" si="41"/>
        <v>0</v>
      </c>
      <c r="N167" s="36">
        <f t="shared" si="41"/>
        <v>0</v>
      </c>
      <c r="O167" s="36">
        <f t="shared" si="41"/>
        <v>0</v>
      </c>
      <c r="P167" s="36">
        <f t="shared" si="41"/>
        <v>0</v>
      </c>
      <c r="Q167" s="36">
        <f t="shared" si="41"/>
        <v>0</v>
      </c>
      <c r="R167" s="57">
        <v>30</v>
      </c>
    </row>
    <row r="168" spans="2:18">
      <c r="B168" s="1025"/>
      <c r="C168" s="644" t="s">
        <v>40</v>
      </c>
      <c r="D168" s="17"/>
      <c r="E168" s="18">
        <f>SUM(E45)</f>
        <v>3</v>
      </c>
      <c r="F168" s="36">
        <f>SUM(F17/$E$168/$H$159)</f>
        <v>46.236697247706424</v>
      </c>
      <c r="G168" s="36">
        <f t="shared" ref="G168:Q168" si="42">SUM(G17/$E$168/$H$159)</f>
        <v>46.028440366972475</v>
      </c>
      <c r="H168" s="36">
        <f t="shared" si="42"/>
        <v>45.962996941896023</v>
      </c>
      <c r="I168" s="36">
        <f t="shared" si="42"/>
        <v>0</v>
      </c>
      <c r="J168" s="36">
        <f t="shared" si="42"/>
        <v>0</v>
      </c>
      <c r="K168" s="36">
        <f t="shared" si="42"/>
        <v>0</v>
      </c>
      <c r="L168" s="36">
        <f t="shared" si="42"/>
        <v>0</v>
      </c>
      <c r="M168" s="36">
        <f t="shared" si="42"/>
        <v>0</v>
      </c>
      <c r="N168" s="36">
        <f t="shared" si="42"/>
        <v>0</v>
      </c>
      <c r="O168" s="36">
        <f t="shared" si="42"/>
        <v>0</v>
      </c>
      <c r="P168" s="36">
        <f t="shared" si="42"/>
        <v>0</v>
      </c>
      <c r="Q168" s="36">
        <f t="shared" si="42"/>
        <v>0</v>
      </c>
      <c r="R168" s="57">
        <v>30</v>
      </c>
    </row>
    <row r="169" spans="2:18">
      <c r="B169" s="1025" t="s">
        <v>84</v>
      </c>
      <c r="C169" s="647" t="s">
        <v>58</v>
      </c>
      <c r="D169" s="17"/>
      <c r="E169" s="18">
        <f>SUM(E47)</f>
        <v>7</v>
      </c>
      <c r="F169" s="36">
        <f>SUM(F18/$E$169/$H$159)</f>
        <v>26.590301441677589</v>
      </c>
      <c r="G169" s="36">
        <f t="shared" ref="G169:Q169" si="43">SUM(G18/$E$169/$H$159)</f>
        <v>26.510747051114024</v>
      </c>
      <c r="H169" s="36">
        <f t="shared" si="43"/>
        <v>30.27850589777195</v>
      </c>
      <c r="I169" s="36">
        <f t="shared" si="43"/>
        <v>0</v>
      </c>
      <c r="J169" s="36">
        <f t="shared" si="43"/>
        <v>0</v>
      </c>
      <c r="K169" s="36">
        <f t="shared" si="43"/>
        <v>0</v>
      </c>
      <c r="L169" s="36">
        <f t="shared" si="43"/>
        <v>0</v>
      </c>
      <c r="M169" s="36">
        <f t="shared" si="43"/>
        <v>0</v>
      </c>
      <c r="N169" s="36">
        <f t="shared" si="43"/>
        <v>0</v>
      </c>
      <c r="O169" s="36">
        <f t="shared" si="43"/>
        <v>0</v>
      </c>
      <c r="P169" s="36">
        <f t="shared" si="43"/>
        <v>0</v>
      </c>
      <c r="Q169" s="36">
        <f t="shared" si="43"/>
        <v>0</v>
      </c>
      <c r="R169" s="57">
        <v>30</v>
      </c>
    </row>
    <row r="170" spans="2:18">
      <c r="B170" s="1025"/>
      <c r="C170" s="647" t="s">
        <v>55</v>
      </c>
      <c r="D170" s="17"/>
      <c r="E170" s="18">
        <f>SUM(E49)</f>
        <v>2</v>
      </c>
      <c r="F170" s="36">
        <f>SUM(F19/$E$170/$H$159)</f>
        <v>36.027981651376145</v>
      </c>
      <c r="G170" s="36">
        <f t="shared" ref="G170:Q170" si="44">SUM(G19/$E$170/$H$159)</f>
        <v>30.959633027522937</v>
      </c>
      <c r="H170" s="36">
        <f t="shared" si="44"/>
        <v>37.616972477064223</v>
      </c>
      <c r="I170" s="36">
        <f t="shared" si="44"/>
        <v>0</v>
      </c>
      <c r="J170" s="36">
        <f t="shared" si="44"/>
        <v>0</v>
      </c>
      <c r="K170" s="36">
        <f t="shared" si="44"/>
        <v>0</v>
      </c>
      <c r="L170" s="36">
        <f t="shared" si="44"/>
        <v>0</v>
      </c>
      <c r="M170" s="36">
        <f t="shared" si="44"/>
        <v>0</v>
      </c>
      <c r="N170" s="36">
        <f t="shared" si="44"/>
        <v>0</v>
      </c>
      <c r="O170" s="36">
        <f t="shared" si="44"/>
        <v>0</v>
      </c>
      <c r="P170" s="36">
        <f t="shared" si="44"/>
        <v>0</v>
      </c>
      <c r="Q170" s="36">
        <f t="shared" si="44"/>
        <v>0</v>
      </c>
      <c r="R170" s="57">
        <v>30</v>
      </c>
    </row>
    <row r="171" spans="2:18">
      <c r="B171" s="1025"/>
      <c r="C171" s="484" t="s">
        <v>65</v>
      </c>
      <c r="D171" s="484"/>
      <c r="E171" s="484">
        <f>SUM(E51)</f>
        <v>0</v>
      </c>
      <c r="F171" s="494" t="e">
        <f>SUM(F20/$E$171/$H$159)</f>
        <v>#DIV/0!</v>
      </c>
      <c r="G171" s="494" t="e">
        <f t="shared" ref="G171:Q171" si="45">SUM(G20/$E$171/$H$159)</f>
        <v>#DIV/0!</v>
      </c>
      <c r="H171" s="494" t="e">
        <f t="shared" si="45"/>
        <v>#DIV/0!</v>
      </c>
      <c r="I171" s="494" t="e">
        <f t="shared" si="45"/>
        <v>#DIV/0!</v>
      </c>
      <c r="J171" s="494" t="e">
        <f t="shared" si="45"/>
        <v>#DIV/0!</v>
      </c>
      <c r="K171" s="494" t="e">
        <f t="shared" si="45"/>
        <v>#DIV/0!</v>
      </c>
      <c r="L171" s="494" t="e">
        <f t="shared" si="45"/>
        <v>#DIV/0!</v>
      </c>
      <c r="M171" s="494" t="e">
        <f t="shared" si="45"/>
        <v>#DIV/0!</v>
      </c>
      <c r="N171" s="494" t="e">
        <f t="shared" si="45"/>
        <v>#DIV/0!</v>
      </c>
      <c r="O171" s="494" t="e">
        <f t="shared" si="45"/>
        <v>#DIV/0!</v>
      </c>
      <c r="P171" s="494" t="e">
        <f t="shared" si="45"/>
        <v>#DIV/0!</v>
      </c>
      <c r="Q171" s="494" t="e">
        <f t="shared" si="45"/>
        <v>#DIV/0!</v>
      </c>
      <c r="R171" s="485">
        <v>30</v>
      </c>
    </row>
    <row r="172" spans="2:18">
      <c r="B172" s="1025"/>
      <c r="C172" s="647" t="s">
        <v>49</v>
      </c>
      <c r="D172" s="17"/>
      <c r="E172" s="29">
        <f>SUM(E53)</f>
        <v>2</v>
      </c>
      <c r="F172" s="36">
        <f>SUM(F21/$E$172/$H$159)</f>
        <v>30.341743119266056</v>
      </c>
      <c r="G172" s="36">
        <f t="shared" ref="G172:Q172" si="46">SUM(G21/$E$172/$H$159)</f>
        <v>29.888990825688072</v>
      </c>
      <c r="H172" s="36">
        <f t="shared" si="46"/>
        <v>31.492201834862385</v>
      </c>
      <c r="I172" s="36">
        <f t="shared" si="46"/>
        <v>0</v>
      </c>
      <c r="J172" s="36">
        <f t="shared" si="46"/>
        <v>0</v>
      </c>
      <c r="K172" s="36">
        <f t="shared" si="46"/>
        <v>0</v>
      </c>
      <c r="L172" s="36">
        <f t="shared" si="46"/>
        <v>0</v>
      </c>
      <c r="M172" s="36">
        <f t="shared" si="46"/>
        <v>0</v>
      </c>
      <c r="N172" s="36">
        <f t="shared" si="46"/>
        <v>0</v>
      </c>
      <c r="O172" s="36">
        <f t="shared" si="46"/>
        <v>0</v>
      </c>
      <c r="P172" s="36">
        <f t="shared" si="46"/>
        <v>0</v>
      </c>
      <c r="Q172" s="36">
        <f t="shared" si="46"/>
        <v>0</v>
      </c>
      <c r="R172" s="57">
        <v>30</v>
      </c>
    </row>
    <row r="173" spans="2:18">
      <c r="B173" s="1025"/>
      <c r="C173" s="644" t="s">
        <v>51</v>
      </c>
      <c r="D173" s="17"/>
      <c r="E173" s="29">
        <f>SUM(E55)</f>
        <v>2</v>
      </c>
      <c r="F173" s="36">
        <f>SUM(F22/$E$173/$H$159)</f>
        <v>22.133944954128442</v>
      </c>
      <c r="G173" s="36">
        <f t="shared" ref="G173:Q173" si="47">SUM(G22/$E$173/$H$159)</f>
        <v>19.561926605504588</v>
      </c>
      <c r="H173" s="36">
        <f t="shared" si="47"/>
        <v>24.703669724770641</v>
      </c>
      <c r="I173" s="36">
        <f t="shared" si="47"/>
        <v>0</v>
      </c>
      <c r="J173" s="36">
        <f t="shared" si="47"/>
        <v>0</v>
      </c>
      <c r="K173" s="36">
        <f t="shared" si="47"/>
        <v>0</v>
      </c>
      <c r="L173" s="36">
        <f t="shared" si="47"/>
        <v>0</v>
      </c>
      <c r="M173" s="36">
        <f t="shared" si="47"/>
        <v>0</v>
      </c>
      <c r="N173" s="36">
        <f t="shared" si="47"/>
        <v>0</v>
      </c>
      <c r="O173" s="36">
        <f t="shared" si="47"/>
        <v>0</v>
      </c>
      <c r="P173" s="36">
        <f t="shared" si="47"/>
        <v>0</v>
      </c>
      <c r="Q173" s="36">
        <f t="shared" si="47"/>
        <v>0</v>
      </c>
      <c r="R173" s="57">
        <v>30</v>
      </c>
    </row>
    <row r="174" spans="2:18">
      <c r="B174" s="1025"/>
      <c r="C174" s="644" t="s">
        <v>52</v>
      </c>
      <c r="D174" s="17"/>
      <c r="E174" s="18">
        <f>SUM(E57)</f>
        <v>2</v>
      </c>
      <c r="F174" s="36">
        <f>SUM(F23/$E$174/$H$159)</f>
        <v>41.440825688073396</v>
      </c>
      <c r="G174" s="36">
        <f t="shared" ref="G174:Q174" si="48">SUM(G23/$E$174/$H$159)</f>
        <v>38.43256880733945</v>
      </c>
      <c r="H174" s="36">
        <f t="shared" si="48"/>
        <v>33.773853211009175</v>
      </c>
      <c r="I174" s="36">
        <f t="shared" si="48"/>
        <v>0</v>
      </c>
      <c r="J174" s="36">
        <f t="shared" si="48"/>
        <v>0</v>
      </c>
      <c r="K174" s="36">
        <f t="shared" si="48"/>
        <v>0</v>
      </c>
      <c r="L174" s="36">
        <f t="shared" si="48"/>
        <v>0</v>
      </c>
      <c r="M174" s="36">
        <f t="shared" si="48"/>
        <v>0</v>
      </c>
      <c r="N174" s="36">
        <f t="shared" si="48"/>
        <v>0</v>
      </c>
      <c r="O174" s="36">
        <f t="shared" si="48"/>
        <v>0</v>
      </c>
      <c r="P174" s="36">
        <f t="shared" si="48"/>
        <v>0</v>
      </c>
      <c r="Q174" s="36">
        <f t="shared" si="48"/>
        <v>0</v>
      </c>
      <c r="R174" s="57">
        <v>30</v>
      </c>
    </row>
    <row r="175" spans="2:18">
      <c r="B175" s="1025" t="s">
        <v>86</v>
      </c>
      <c r="C175" s="644" t="s">
        <v>43</v>
      </c>
      <c r="D175" s="17"/>
      <c r="E175" s="18">
        <f>SUM(E59)</f>
        <v>4</v>
      </c>
      <c r="F175" s="36">
        <f>SUM(F24/$E$175/$H$159)</f>
        <v>33.509633027522938</v>
      </c>
      <c r="G175" s="36">
        <f t="shared" ref="G175:Q175" si="49">SUM(G24/$E$175/$H$159)</f>
        <v>32.545412844036697</v>
      </c>
      <c r="H175" s="36">
        <f t="shared" si="49"/>
        <v>36.34908256880734</v>
      </c>
      <c r="I175" s="36">
        <f t="shared" si="49"/>
        <v>0</v>
      </c>
      <c r="J175" s="36">
        <f t="shared" si="49"/>
        <v>0</v>
      </c>
      <c r="K175" s="36">
        <f t="shared" si="49"/>
        <v>0</v>
      </c>
      <c r="L175" s="36">
        <f t="shared" si="49"/>
        <v>0</v>
      </c>
      <c r="M175" s="36">
        <f t="shared" si="49"/>
        <v>0</v>
      </c>
      <c r="N175" s="36">
        <f t="shared" si="49"/>
        <v>0</v>
      </c>
      <c r="O175" s="36">
        <f t="shared" si="49"/>
        <v>0</v>
      </c>
      <c r="P175" s="36">
        <f t="shared" si="49"/>
        <v>0</v>
      </c>
      <c r="Q175" s="36">
        <f t="shared" si="49"/>
        <v>0</v>
      </c>
      <c r="R175" s="57">
        <v>30</v>
      </c>
    </row>
    <row r="176" spans="2:18">
      <c r="B176" s="1025"/>
      <c r="C176" s="484" t="s">
        <v>87</v>
      </c>
      <c r="D176" s="484"/>
      <c r="E176" s="484">
        <f>SUM(E61)</f>
        <v>0</v>
      </c>
      <c r="F176" s="494" t="e">
        <f>SUM(F25/$E$176/$H$159)</f>
        <v>#DIV/0!</v>
      </c>
      <c r="G176" s="494" t="e">
        <f t="shared" ref="G176:Q176" si="50">SUM(G25/$E$176/$H$159)</f>
        <v>#DIV/0!</v>
      </c>
      <c r="H176" s="494" t="e">
        <f t="shared" si="50"/>
        <v>#DIV/0!</v>
      </c>
      <c r="I176" s="494" t="e">
        <f t="shared" si="50"/>
        <v>#DIV/0!</v>
      </c>
      <c r="J176" s="494" t="e">
        <f t="shared" si="50"/>
        <v>#DIV/0!</v>
      </c>
      <c r="K176" s="494" t="e">
        <f t="shared" si="50"/>
        <v>#DIV/0!</v>
      </c>
      <c r="L176" s="494" t="e">
        <f t="shared" si="50"/>
        <v>#DIV/0!</v>
      </c>
      <c r="M176" s="494" t="e">
        <f t="shared" si="50"/>
        <v>#DIV/0!</v>
      </c>
      <c r="N176" s="494" t="e">
        <f t="shared" si="50"/>
        <v>#DIV/0!</v>
      </c>
      <c r="O176" s="494" t="e">
        <f t="shared" si="50"/>
        <v>#DIV/0!</v>
      </c>
      <c r="P176" s="494" t="e">
        <f t="shared" si="50"/>
        <v>#DIV/0!</v>
      </c>
      <c r="Q176" s="494" t="e">
        <f t="shared" si="50"/>
        <v>#DIV/0!</v>
      </c>
      <c r="R176" s="485">
        <v>30</v>
      </c>
    </row>
    <row r="177" spans="2:18">
      <c r="B177" s="1025"/>
      <c r="C177" s="644" t="s">
        <v>47</v>
      </c>
      <c r="D177" s="17"/>
      <c r="E177" s="18">
        <f t="shared" ref="E177" si="51">SUM(E63)</f>
        <v>4</v>
      </c>
      <c r="F177" s="36">
        <f>SUM(F26/$E$177/$H$159)</f>
        <v>61.626605504587154</v>
      </c>
      <c r="G177" s="36">
        <f t="shared" ref="G177:Q177" si="52">SUM(G26/$E$177/$H$159)</f>
        <v>63.363302752293578</v>
      </c>
      <c r="H177" s="36">
        <f t="shared" si="52"/>
        <v>59.205275229357795</v>
      </c>
      <c r="I177" s="36">
        <f t="shared" si="52"/>
        <v>0</v>
      </c>
      <c r="J177" s="36">
        <f t="shared" si="52"/>
        <v>0</v>
      </c>
      <c r="K177" s="36">
        <f t="shared" si="52"/>
        <v>0</v>
      </c>
      <c r="L177" s="36">
        <f t="shared" si="52"/>
        <v>0</v>
      </c>
      <c r="M177" s="36">
        <f t="shared" si="52"/>
        <v>0</v>
      </c>
      <c r="N177" s="36">
        <f t="shared" si="52"/>
        <v>0</v>
      </c>
      <c r="O177" s="36">
        <f t="shared" si="52"/>
        <v>0</v>
      </c>
      <c r="P177" s="36">
        <f t="shared" si="52"/>
        <v>0</v>
      </c>
      <c r="Q177" s="36">
        <f t="shared" si="52"/>
        <v>0</v>
      </c>
      <c r="R177" s="57">
        <v>30</v>
      </c>
    </row>
  </sheetData>
  <mergeCells count="10">
    <mergeCell ref="D9:D10"/>
    <mergeCell ref="B59:B64"/>
    <mergeCell ref="B163:B168"/>
    <mergeCell ref="B169:B174"/>
    <mergeCell ref="B175:B177"/>
    <mergeCell ref="B12:B17"/>
    <mergeCell ref="B18:B23"/>
    <mergeCell ref="B24:B26"/>
    <mergeCell ref="B35:B46"/>
    <mergeCell ref="B47:B58"/>
  </mergeCells>
  <phoneticPr fontId="30" type="noConversion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3E12-43EB-46D1-A6B8-CEEE4D612DA9}">
  <sheetPr>
    <tabColor rgb="FFFF0000"/>
  </sheetPr>
  <dimension ref="A1:AF70"/>
  <sheetViews>
    <sheetView zoomScale="90" zoomScaleNormal="90" zoomScaleSheetLayoutView="100" workbookViewId="0">
      <pane xSplit="8" ySplit="8" topLeftCell="I36" activePane="bottomRight" state="frozen"/>
      <selection pane="topRight" activeCell="I1" sqref="I1"/>
      <selection pane="bottomLeft" activeCell="A6" sqref="A6"/>
      <selection pane="bottomRight" activeCell="O18" sqref="O18"/>
    </sheetView>
  </sheetViews>
  <sheetFormatPr defaultRowHeight="13.5"/>
  <cols>
    <col min="1" max="1" width="10.42578125" style="246" bestFit="1" customWidth="1"/>
    <col min="2" max="2" width="2.85546875" style="247" bestFit="1" customWidth="1"/>
    <col min="3" max="3" width="22.42578125" style="246" customWidth="1"/>
    <col min="4" max="4" width="25.140625" style="246" customWidth="1"/>
    <col min="5" max="5" width="5.28515625" style="247" customWidth="1"/>
    <col min="6" max="6" width="9.5703125" style="247" bestFit="1" customWidth="1"/>
    <col min="7" max="7" width="15" style="246" bestFit="1" customWidth="1"/>
    <col min="8" max="8" width="9" style="248" customWidth="1"/>
    <col min="9" max="9" width="9.42578125" style="247" customWidth="1"/>
    <col min="10" max="10" width="9.42578125" style="249" bestFit="1" customWidth="1"/>
    <col min="11" max="20" width="9" style="249" bestFit="1" customWidth="1"/>
    <col min="21" max="21" width="12" style="249" bestFit="1" customWidth="1"/>
    <col min="22" max="22" width="36.85546875" style="246" bestFit="1" customWidth="1"/>
    <col min="23" max="253" width="9" style="246"/>
    <col min="254" max="254" width="5.85546875" style="246" customWidth="1"/>
    <col min="255" max="255" width="30.7109375" style="246" bestFit="1" customWidth="1"/>
    <col min="256" max="256" width="10.5703125" style="246" bestFit="1" customWidth="1"/>
    <col min="257" max="257" width="6" style="246" bestFit="1" customWidth="1"/>
    <col min="258" max="262" width="7.85546875" style="246" bestFit="1" customWidth="1"/>
    <col min="263" max="269" width="9" style="246" bestFit="1" customWidth="1"/>
    <col min="270" max="270" width="9" style="246"/>
    <col min="271" max="271" width="10.28515625" style="246" bestFit="1" customWidth="1"/>
    <col min="272" max="509" width="9" style="246"/>
    <col min="510" max="510" width="5.85546875" style="246" customWidth="1"/>
    <col min="511" max="511" width="30.7109375" style="246" bestFit="1" customWidth="1"/>
    <col min="512" max="512" width="10.5703125" style="246" bestFit="1" customWidth="1"/>
    <col min="513" max="513" width="6" style="246" bestFit="1" customWidth="1"/>
    <col min="514" max="518" width="7.85546875" style="246" bestFit="1" customWidth="1"/>
    <col min="519" max="525" width="9" style="246" bestFit="1" customWidth="1"/>
    <col min="526" max="526" width="9" style="246"/>
    <col min="527" max="527" width="10.28515625" style="246" bestFit="1" customWidth="1"/>
    <col min="528" max="765" width="9" style="246"/>
    <col min="766" max="766" width="5.85546875" style="246" customWidth="1"/>
    <col min="767" max="767" width="30.7109375" style="246" bestFit="1" customWidth="1"/>
    <col min="768" max="768" width="10.5703125" style="246" bestFit="1" customWidth="1"/>
    <col min="769" max="769" width="6" style="246" bestFit="1" customWidth="1"/>
    <col min="770" max="774" width="7.85546875" style="246" bestFit="1" customWidth="1"/>
    <col min="775" max="781" width="9" style="246" bestFit="1" customWidth="1"/>
    <col min="782" max="782" width="9" style="246"/>
    <col min="783" max="783" width="10.28515625" style="246" bestFit="1" customWidth="1"/>
    <col min="784" max="1021" width="9" style="246"/>
    <col min="1022" max="1022" width="5.85546875" style="246" customWidth="1"/>
    <col min="1023" max="1023" width="30.7109375" style="246" bestFit="1" customWidth="1"/>
    <col min="1024" max="1024" width="10.5703125" style="246" bestFit="1" customWidth="1"/>
    <col min="1025" max="1025" width="6" style="246" bestFit="1" customWidth="1"/>
    <col min="1026" max="1030" width="7.85546875" style="246" bestFit="1" customWidth="1"/>
    <col min="1031" max="1037" width="9" style="246" bestFit="1" customWidth="1"/>
    <col min="1038" max="1038" width="9" style="246"/>
    <col min="1039" max="1039" width="10.28515625" style="246" bestFit="1" customWidth="1"/>
    <col min="1040" max="1277" width="9" style="246"/>
    <col min="1278" max="1278" width="5.85546875" style="246" customWidth="1"/>
    <col min="1279" max="1279" width="30.7109375" style="246" bestFit="1" customWidth="1"/>
    <col min="1280" max="1280" width="10.5703125" style="246" bestFit="1" customWidth="1"/>
    <col min="1281" max="1281" width="6" style="246" bestFit="1" customWidth="1"/>
    <col min="1282" max="1286" width="7.85546875" style="246" bestFit="1" customWidth="1"/>
    <col min="1287" max="1293" width="9" style="246" bestFit="1" customWidth="1"/>
    <col min="1294" max="1294" width="9" style="246"/>
    <col min="1295" max="1295" width="10.28515625" style="246" bestFit="1" customWidth="1"/>
    <col min="1296" max="1533" width="9" style="246"/>
    <col min="1534" max="1534" width="5.85546875" style="246" customWidth="1"/>
    <col min="1535" max="1535" width="30.7109375" style="246" bestFit="1" customWidth="1"/>
    <col min="1536" max="1536" width="10.5703125" style="246" bestFit="1" customWidth="1"/>
    <col min="1537" max="1537" width="6" style="246" bestFit="1" customWidth="1"/>
    <col min="1538" max="1542" width="7.85546875" style="246" bestFit="1" customWidth="1"/>
    <col min="1543" max="1549" width="9" style="246" bestFit="1" customWidth="1"/>
    <col min="1550" max="1550" width="9" style="246"/>
    <col min="1551" max="1551" width="10.28515625" style="246" bestFit="1" customWidth="1"/>
    <col min="1552" max="1789" width="9" style="246"/>
    <col min="1790" max="1790" width="5.85546875" style="246" customWidth="1"/>
    <col min="1791" max="1791" width="30.7109375" style="246" bestFit="1" customWidth="1"/>
    <col min="1792" max="1792" width="10.5703125" style="246" bestFit="1" customWidth="1"/>
    <col min="1793" max="1793" width="6" style="246" bestFit="1" customWidth="1"/>
    <col min="1794" max="1798" width="7.85546875" style="246" bestFit="1" customWidth="1"/>
    <col min="1799" max="1805" width="9" style="246" bestFit="1" customWidth="1"/>
    <col min="1806" max="1806" width="9" style="246"/>
    <col min="1807" max="1807" width="10.28515625" style="246" bestFit="1" customWidth="1"/>
    <col min="1808" max="2045" width="9" style="246"/>
    <col min="2046" max="2046" width="5.85546875" style="246" customWidth="1"/>
    <col min="2047" max="2047" width="30.7109375" style="246" bestFit="1" customWidth="1"/>
    <col min="2048" max="2048" width="10.5703125" style="246" bestFit="1" customWidth="1"/>
    <col min="2049" max="2049" width="6" style="246" bestFit="1" customWidth="1"/>
    <col min="2050" max="2054" width="7.85546875" style="246" bestFit="1" customWidth="1"/>
    <col min="2055" max="2061" width="9" style="246" bestFit="1" customWidth="1"/>
    <col min="2062" max="2062" width="9" style="246"/>
    <col min="2063" max="2063" width="10.28515625" style="246" bestFit="1" customWidth="1"/>
    <col min="2064" max="2301" width="9" style="246"/>
    <col min="2302" max="2302" width="5.85546875" style="246" customWidth="1"/>
    <col min="2303" max="2303" width="30.7109375" style="246" bestFit="1" customWidth="1"/>
    <col min="2304" max="2304" width="10.5703125" style="246" bestFit="1" customWidth="1"/>
    <col min="2305" max="2305" width="6" style="246" bestFit="1" customWidth="1"/>
    <col min="2306" max="2310" width="7.85546875" style="246" bestFit="1" customWidth="1"/>
    <col min="2311" max="2317" width="9" style="246" bestFit="1" customWidth="1"/>
    <col min="2318" max="2318" width="9" style="246"/>
    <col min="2319" max="2319" width="10.28515625" style="246" bestFit="1" customWidth="1"/>
    <col min="2320" max="2557" width="9" style="246"/>
    <col min="2558" max="2558" width="5.85546875" style="246" customWidth="1"/>
    <col min="2559" max="2559" width="30.7109375" style="246" bestFit="1" customWidth="1"/>
    <col min="2560" max="2560" width="10.5703125" style="246" bestFit="1" customWidth="1"/>
    <col min="2561" max="2561" width="6" style="246" bestFit="1" customWidth="1"/>
    <col min="2562" max="2566" width="7.85546875" style="246" bestFit="1" customWidth="1"/>
    <col min="2567" max="2573" width="9" style="246" bestFit="1" customWidth="1"/>
    <col min="2574" max="2574" width="9" style="246"/>
    <col min="2575" max="2575" width="10.28515625" style="246" bestFit="1" customWidth="1"/>
    <col min="2576" max="2813" width="9" style="246"/>
    <col min="2814" max="2814" width="5.85546875" style="246" customWidth="1"/>
    <col min="2815" max="2815" width="30.7109375" style="246" bestFit="1" customWidth="1"/>
    <col min="2816" max="2816" width="10.5703125" style="246" bestFit="1" customWidth="1"/>
    <col min="2817" max="2817" width="6" style="246" bestFit="1" customWidth="1"/>
    <col min="2818" max="2822" width="7.85546875" style="246" bestFit="1" customWidth="1"/>
    <col min="2823" max="2829" width="9" style="246" bestFit="1" customWidth="1"/>
    <col min="2830" max="2830" width="9" style="246"/>
    <col min="2831" max="2831" width="10.28515625" style="246" bestFit="1" customWidth="1"/>
    <col min="2832" max="3069" width="9" style="246"/>
    <col min="3070" max="3070" width="5.85546875" style="246" customWidth="1"/>
    <col min="3071" max="3071" width="30.7109375" style="246" bestFit="1" customWidth="1"/>
    <col min="3072" max="3072" width="10.5703125" style="246" bestFit="1" customWidth="1"/>
    <col min="3073" max="3073" width="6" style="246" bestFit="1" customWidth="1"/>
    <col min="3074" max="3078" width="7.85546875" style="246" bestFit="1" customWidth="1"/>
    <col min="3079" max="3085" width="9" style="246" bestFit="1" customWidth="1"/>
    <col min="3086" max="3086" width="9" style="246"/>
    <col min="3087" max="3087" width="10.28515625" style="246" bestFit="1" customWidth="1"/>
    <col min="3088" max="3325" width="9" style="246"/>
    <col min="3326" max="3326" width="5.85546875" style="246" customWidth="1"/>
    <col min="3327" max="3327" width="30.7109375" style="246" bestFit="1" customWidth="1"/>
    <col min="3328" max="3328" width="10.5703125" style="246" bestFit="1" customWidth="1"/>
    <col min="3329" max="3329" width="6" style="246" bestFit="1" customWidth="1"/>
    <col min="3330" max="3334" width="7.85546875" style="246" bestFit="1" customWidth="1"/>
    <col min="3335" max="3341" width="9" style="246" bestFit="1" customWidth="1"/>
    <col min="3342" max="3342" width="9" style="246"/>
    <col min="3343" max="3343" width="10.28515625" style="246" bestFit="1" customWidth="1"/>
    <col min="3344" max="3581" width="9" style="246"/>
    <col min="3582" max="3582" width="5.85546875" style="246" customWidth="1"/>
    <col min="3583" max="3583" width="30.7109375" style="246" bestFit="1" customWidth="1"/>
    <col min="3584" max="3584" width="10.5703125" style="246" bestFit="1" customWidth="1"/>
    <col min="3585" max="3585" width="6" style="246" bestFit="1" customWidth="1"/>
    <col min="3586" max="3590" width="7.85546875" style="246" bestFit="1" customWidth="1"/>
    <col min="3591" max="3597" width="9" style="246" bestFit="1" customWidth="1"/>
    <col min="3598" max="3598" width="9" style="246"/>
    <col min="3599" max="3599" width="10.28515625" style="246" bestFit="1" customWidth="1"/>
    <col min="3600" max="3837" width="9" style="246"/>
    <col min="3838" max="3838" width="5.85546875" style="246" customWidth="1"/>
    <col min="3839" max="3839" width="30.7109375" style="246" bestFit="1" customWidth="1"/>
    <col min="3840" max="3840" width="10.5703125" style="246" bestFit="1" customWidth="1"/>
    <col min="3841" max="3841" width="6" style="246" bestFit="1" customWidth="1"/>
    <col min="3842" max="3846" width="7.85546875" style="246" bestFit="1" customWidth="1"/>
    <col min="3847" max="3853" width="9" style="246" bestFit="1" customWidth="1"/>
    <col min="3854" max="3854" width="9" style="246"/>
    <col min="3855" max="3855" width="10.28515625" style="246" bestFit="1" customWidth="1"/>
    <col min="3856" max="4093" width="9" style="246"/>
    <col min="4094" max="4094" width="5.85546875" style="246" customWidth="1"/>
    <col min="4095" max="4095" width="30.7109375" style="246" bestFit="1" customWidth="1"/>
    <col min="4096" max="4096" width="10.5703125" style="246" bestFit="1" customWidth="1"/>
    <col min="4097" max="4097" width="6" style="246" bestFit="1" customWidth="1"/>
    <col min="4098" max="4102" width="7.85546875" style="246" bestFit="1" customWidth="1"/>
    <col min="4103" max="4109" width="9" style="246" bestFit="1" customWidth="1"/>
    <col min="4110" max="4110" width="9" style="246"/>
    <col min="4111" max="4111" width="10.28515625" style="246" bestFit="1" customWidth="1"/>
    <col min="4112" max="4349" width="9" style="246"/>
    <col min="4350" max="4350" width="5.85546875" style="246" customWidth="1"/>
    <col min="4351" max="4351" width="30.7109375" style="246" bestFit="1" customWidth="1"/>
    <col min="4352" max="4352" width="10.5703125" style="246" bestFit="1" customWidth="1"/>
    <col min="4353" max="4353" width="6" style="246" bestFit="1" customWidth="1"/>
    <col min="4354" max="4358" width="7.85546875" style="246" bestFit="1" customWidth="1"/>
    <col min="4359" max="4365" width="9" style="246" bestFit="1" customWidth="1"/>
    <col min="4366" max="4366" width="9" style="246"/>
    <col min="4367" max="4367" width="10.28515625" style="246" bestFit="1" customWidth="1"/>
    <col min="4368" max="4605" width="9" style="246"/>
    <col min="4606" max="4606" width="5.85546875" style="246" customWidth="1"/>
    <col min="4607" max="4607" width="30.7109375" style="246" bestFit="1" customWidth="1"/>
    <col min="4608" max="4608" width="10.5703125" style="246" bestFit="1" customWidth="1"/>
    <col min="4609" max="4609" width="6" style="246" bestFit="1" customWidth="1"/>
    <col min="4610" max="4614" width="7.85546875" style="246" bestFit="1" customWidth="1"/>
    <col min="4615" max="4621" width="9" style="246" bestFit="1" customWidth="1"/>
    <col min="4622" max="4622" width="9" style="246"/>
    <col min="4623" max="4623" width="10.28515625" style="246" bestFit="1" customWidth="1"/>
    <col min="4624" max="4861" width="9" style="246"/>
    <col min="4862" max="4862" width="5.85546875" style="246" customWidth="1"/>
    <col min="4863" max="4863" width="30.7109375" style="246" bestFit="1" customWidth="1"/>
    <col min="4864" max="4864" width="10.5703125" style="246" bestFit="1" customWidth="1"/>
    <col min="4865" max="4865" width="6" style="246" bestFit="1" customWidth="1"/>
    <col min="4866" max="4870" width="7.85546875" style="246" bestFit="1" customWidth="1"/>
    <col min="4871" max="4877" width="9" style="246" bestFit="1" customWidth="1"/>
    <col min="4878" max="4878" width="9" style="246"/>
    <col min="4879" max="4879" width="10.28515625" style="246" bestFit="1" customWidth="1"/>
    <col min="4880" max="5117" width="9" style="246"/>
    <col min="5118" max="5118" width="5.85546875" style="246" customWidth="1"/>
    <col min="5119" max="5119" width="30.7109375" style="246" bestFit="1" customWidth="1"/>
    <col min="5120" max="5120" width="10.5703125" style="246" bestFit="1" customWidth="1"/>
    <col min="5121" max="5121" width="6" style="246" bestFit="1" customWidth="1"/>
    <col min="5122" max="5126" width="7.85546875" style="246" bestFit="1" customWidth="1"/>
    <col min="5127" max="5133" width="9" style="246" bestFit="1" customWidth="1"/>
    <col min="5134" max="5134" width="9" style="246"/>
    <col min="5135" max="5135" width="10.28515625" style="246" bestFit="1" customWidth="1"/>
    <col min="5136" max="5373" width="9" style="246"/>
    <col min="5374" max="5374" width="5.85546875" style="246" customWidth="1"/>
    <col min="5375" max="5375" width="30.7109375" style="246" bestFit="1" customWidth="1"/>
    <col min="5376" max="5376" width="10.5703125" style="246" bestFit="1" customWidth="1"/>
    <col min="5377" max="5377" width="6" style="246" bestFit="1" customWidth="1"/>
    <col min="5378" max="5382" width="7.85546875" style="246" bestFit="1" customWidth="1"/>
    <col min="5383" max="5389" width="9" style="246" bestFit="1" customWidth="1"/>
    <col min="5390" max="5390" width="9" style="246"/>
    <col min="5391" max="5391" width="10.28515625" style="246" bestFit="1" customWidth="1"/>
    <col min="5392" max="5629" width="9" style="246"/>
    <col min="5630" max="5630" width="5.85546875" style="246" customWidth="1"/>
    <col min="5631" max="5631" width="30.7109375" style="246" bestFit="1" customWidth="1"/>
    <col min="5632" max="5632" width="10.5703125" style="246" bestFit="1" customWidth="1"/>
    <col min="5633" max="5633" width="6" style="246" bestFit="1" customWidth="1"/>
    <col min="5634" max="5638" width="7.85546875" style="246" bestFit="1" customWidth="1"/>
    <col min="5639" max="5645" width="9" style="246" bestFit="1" customWidth="1"/>
    <col min="5646" max="5646" width="9" style="246"/>
    <col min="5647" max="5647" width="10.28515625" style="246" bestFit="1" customWidth="1"/>
    <col min="5648" max="5885" width="9" style="246"/>
    <col min="5886" max="5886" width="5.85546875" style="246" customWidth="1"/>
    <col min="5887" max="5887" width="30.7109375" style="246" bestFit="1" customWidth="1"/>
    <col min="5888" max="5888" width="10.5703125" style="246" bestFit="1" customWidth="1"/>
    <col min="5889" max="5889" width="6" style="246" bestFit="1" customWidth="1"/>
    <col min="5890" max="5894" width="7.85546875" style="246" bestFit="1" customWidth="1"/>
    <col min="5895" max="5901" width="9" style="246" bestFit="1" customWidth="1"/>
    <col min="5902" max="5902" width="9" style="246"/>
    <col min="5903" max="5903" width="10.28515625" style="246" bestFit="1" customWidth="1"/>
    <col min="5904" max="6141" width="9" style="246"/>
    <col min="6142" max="6142" width="5.85546875" style="246" customWidth="1"/>
    <col min="6143" max="6143" width="30.7109375" style="246" bestFit="1" customWidth="1"/>
    <col min="6144" max="6144" width="10.5703125" style="246" bestFit="1" customWidth="1"/>
    <col min="6145" max="6145" width="6" style="246" bestFit="1" customWidth="1"/>
    <col min="6146" max="6150" width="7.85546875" style="246" bestFit="1" customWidth="1"/>
    <col min="6151" max="6157" width="9" style="246" bestFit="1" customWidth="1"/>
    <col min="6158" max="6158" width="9" style="246"/>
    <col min="6159" max="6159" width="10.28515625" style="246" bestFit="1" customWidth="1"/>
    <col min="6160" max="6397" width="9" style="246"/>
    <col min="6398" max="6398" width="5.85546875" style="246" customWidth="1"/>
    <col min="6399" max="6399" width="30.7109375" style="246" bestFit="1" customWidth="1"/>
    <col min="6400" max="6400" width="10.5703125" style="246" bestFit="1" customWidth="1"/>
    <col min="6401" max="6401" width="6" style="246" bestFit="1" customWidth="1"/>
    <col min="6402" max="6406" width="7.85546875" style="246" bestFit="1" customWidth="1"/>
    <col min="6407" max="6413" width="9" style="246" bestFit="1" customWidth="1"/>
    <col min="6414" max="6414" width="9" style="246"/>
    <col min="6415" max="6415" width="10.28515625" style="246" bestFit="1" customWidth="1"/>
    <col min="6416" max="6653" width="9" style="246"/>
    <col min="6654" max="6654" width="5.85546875" style="246" customWidth="1"/>
    <col min="6655" max="6655" width="30.7109375" style="246" bestFit="1" customWidth="1"/>
    <col min="6656" max="6656" width="10.5703125" style="246" bestFit="1" customWidth="1"/>
    <col min="6657" max="6657" width="6" style="246" bestFit="1" customWidth="1"/>
    <col min="6658" max="6662" width="7.85546875" style="246" bestFit="1" customWidth="1"/>
    <col min="6663" max="6669" width="9" style="246" bestFit="1" customWidth="1"/>
    <col min="6670" max="6670" width="9" style="246"/>
    <col min="6671" max="6671" width="10.28515625" style="246" bestFit="1" customWidth="1"/>
    <col min="6672" max="6909" width="9" style="246"/>
    <col min="6910" max="6910" width="5.85546875" style="246" customWidth="1"/>
    <col min="6911" max="6911" width="30.7109375" style="246" bestFit="1" customWidth="1"/>
    <col min="6912" max="6912" width="10.5703125" style="246" bestFit="1" customWidth="1"/>
    <col min="6913" max="6913" width="6" style="246" bestFit="1" customWidth="1"/>
    <col min="6914" max="6918" width="7.85546875" style="246" bestFit="1" customWidth="1"/>
    <col min="6919" max="6925" width="9" style="246" bestFit="1" customWidth="1"/>
    <col min="6926" max="6926" width="9" style="246"/>
    <col min="6927" max="6927" width="10.28515625" style="246" bestFit="1" customWidth="1"/>
    <col min="6928" max="7165" width="9" style="246"/>
    <col min="7166" max="7166" width="5.85546875" style="246" customWidth="1"/>
    <col min="7167" max="7167" width="30.7109375" style="246" bestFit="1" customWidth="1"/>
    <col min="7168" max="7168" width="10.5703125" style="246" bestFit="1" customWidth="1"/>
    <col min="7169" max="7169" width="6" style="246" bestFit="1" customWidth="1"/>
    <col min="7170" max="7174" width="7.85546875" style="246" bestFit="1" customWidth="1"/>
    <col min="7175" max="7181" width="9" style="246" bestFit="1" customWidth="1"/>
    <col min="7182" max="7182" width="9" style="246"/>
    <col min="7183" max="7183" width="10.28515625" style="246" bestFit="1" customWidth="1"/>
    <col min="7184" max="7421" width="9" style="246"/>
    <col min="7422" max="7422" width="5.85546875" style="246" customWidth="1"/>
    <col min="7423" max="7423" width="30.7109375" style="246" bestFit="1" customWidth="1"/>
    <col min="7424" max="7424" width="10.5703125" style="246" bestFit="1" customWidth="1"/>
    <col min="7425" max="7425" width="6" style="246" bestFit="1" customWidth="1"/>
    <col min="7426" max="7430" width="7.85546875" style="246" bestFit="1" customWidth="1"/>
    <col min="7431" max="7437" width="9" style="246" bestFit="1" customWidth="1"/>
    <col min="7438" max="7438" width="9" style="246"/>
    <col min="7439" max="7439" width="10.28515625" style="246" bestFit="1" customWidth="1"/>
    <col min="7440" max="7677" width="9" style="246"/>
    <col min="7678" max="7678" width="5.85546875" style="246" customWidth="1"/>
    <col min="7679" max="7679" width="30.7109375" style="246" bestFit="1" customWidth="1"/>
    <col min="7680" max="7680" width="10.5703125" style="246" bestFit="1" customWidth="1"/>
    <col min="7681" max="7681" width="6" style="246" bestFit="1" customWidth="1"/>
    <col min="7682" max="7686" width="7.85546875" style="246" bestFit="1" customWidth="1"/>
    <col min="7687" max="7693" width="9" style="246" bestFit="1" customWidth="1"/>
    <col min="7694" max="7694" width="9" style="246"/>
    <col min="7695" max="7695" width="10.28515625" style="246" bestFit="1" customWidth="1"/>
    <col min="7696" max="7933" width="9" style="246"/>
    <col min="7934" max="7934" width="5.85546875" style="246" customWidth="1"/>
    <col min="7935" max="7935" width="30.7109375" style="246" bestFit="1" customWidth="1"/>
    <col min="7936" max="7936" width="10.5703125" style="246" bestFit="1" customWidth="1"/>
    <col min="7937" max="7937" width="6" style="246" bestFit="1" customWidth="1"/>
    <col min="7938" max="7942" width="7.85546875" style="246" bestFit="1" customWidth="1"/>
    <col min="7943" max="7949" width="9" style="246" bestFit="1" customWidth="1"/>
    <col min="7950" max="7950" width="9" style="246"/>
    <col min="7951" max="7951" width="10.28515625" style="246" bestFit="1" customWidth="1"/>
    <col min="7952" max="8189" width="9" style="246"/>
    <col min="8190" max="8190" width="5.85546875" style="246" customWidth="1"/>
    <col min="8191" max="8191" width="30.7109375" style="246" bestFit="1" customWidth="1"/>
    <col min="8192" max="8192" width="10.5703125" style="246" bestFit="1" customWidth="1"/>
    <col min="8193" max="8193" width="6" style="246" bestFit="1" customWidth="1"/>
    <col min="8194" max="8198" width="7.85546875" style="246" bestFit="1" customWidth="1"/>
    <col min="8199" max="8205" width="9" style="246" bestFit="1" customWidth="1"/>
    <col min="8206" max="8206" width="9" style="246"/>
    <col min="8207" max="8207" width="10.28515625" style="246" bestFit="1" customWidth="1"/>
    <col min="8208" max="8445" width="9" style="246"/>
    <col min="8446" max="8446" width="5.85546875" style="246" customWidth="1"/>
    <col min="8447" max="8447" width="30.7109375" style="246" bestFit="1" customWidth="1"/>
    <col min="8448" max="8448" width="10.5703125" style="246" bestFit="1" customWidth="1"/>
    <col min="8449" max="8449" width="6" style="246" bestFit="1" customWidth="1"/>
    <col min="8450" max="8454" width="7.85546875" style="246" bestFit="1" customWidth="1"/>
    <col min="8455" max="8461" width="9" style="246" bestFit="1" customWidth="1"/>
    <col min="8462" max="8462" width="9" style="246"/>
    <col min="8463" max="8463" width="10.28515625" style="246" bestFit="1" customWidth="1"/>
    <col min="8464" max="8701" width="9" style="246"/>
    <col min="8702" max="8702" width="5.85546875" style="246" customWidth="1"/>
    <col min="8703" max="8703" width="30.7109375" style="246" bestFit="1" customWidth="1"/>
    <col min="8704" max="8704" width="10.5703125" style="246" bestFit="1" customWidth="1"/>
    <col min="8705" max="8705" width="6" style="246" bestFit="1" customWidth="1"/>
    <col min="8706" max="8710" width="7.85546875" style="246" bestFit="1" customWidth="1"/>
    <col min="8711" max="8717" width="9" style="246" bestFit="1" customWidth="1"/>
    <col min="8718" max="8718" width="9" style="246"/>
    <col min="8719" max="8719" width="10.28515625" style="246" bestFit="1" customWidth="1"/>
    <col min="8720" max="8957" width="9" style="246"/>
    <col min="8958" max="8958" width="5.85546875" style="246" customWidth="1"/>
    <col min="8959" max="8959" width="30.7109375" style="246" bestFit="1" customWidth="1"/>
    <col min="8960" max="8960" width="10.5703125" style="246" bestFit="1" customWidth="1"/>
    <col min="8961" max="8961" width="6" style="246" bestFit="1" customWidth="1"/>
    <col min="8962" max="8966" width="7.85546875" style="246" bestFit="1" customWidth="1"/>
    <col min="8967" max="8973" width="9" style="246" bestFit="1" customWidth="1"/>
    <col min="8974" max="8974" width="9" style="246"/>
    <col min="8975" max="8975" width="10.28515625" style="246" bestFit="1" customWidth="1"/>
    <col min="8976" max="9213" width="9" style="246"/>
    <col min="9214" max="9214" width="5.85546875" style="246" customWidth="1"/>
    <col min="9215" max="9215" width="30.7109375" style="246" bestFit="1" customWidth="1"/>
    <col min="9216" max="9216" width="10.5703125" style="246" bestFit="1" customWidth="1"/>
    <col min="9217" max="9217" width="6" style="246" bestFit="1" customWidth="1"/>
    <col min="9218" max="9222" width="7.85546875" style="246" bestFit="1" customWidth="1"/>
    <col min="9223" max="9229" width="9" style="246" bestFit="1" customWidth="1"/>
    <col min="9230" max="9230" width="9" style="246"/>
    <col min="9231" max="9231" width="10.28515625" style="246" bestFit="1" customWidth="1"/>
    <col min="9232" max="9469" width="9" style="246"/>
    <col min="9470" max="9470" width="5.85546875" style="246" customWidth="1"/>
    <col min="9471" max="9471" width="30.7109375" style="246" bestFit="1" customWidth="1"/>
    <col min="9472" max="9472" width="10.5703125" style="246" bestFit="1" customWidth="1"/>
    <col min="9473" max="9473" width="6" style="246" bestFit="1" customWidth="1"/>
    <col min="9474" max="9478" width="7.85546875" style="246" bestFit="1" customWidth="1"/>
    <col min="9479" max="9485" width="9" style="246" bestFit="1" customWidth="1"/>
    <col min="9486" max="9486" width="9" style="246"/>
    <col min="9487" max="9487" width="10.28515625" style="246" bestFit="1" customWidth="1"/>
    <col min="9488" max="9725" width="9" style="246"/>
    <col min="9726" max="9726" width="5.85546875" style="246" customWidth="1"/>
    <col min="9727" max="9727" width="30.7109375" style="246" bestFit="1" customWidth="1"/>
    <col min="9728" max="9728" width="10.5703125" style="246" bestFit="1" customWidth="1"/>
    <col min="9729" max="9729" width="6" style="246" bestFit="1" customWidth="1"/>
    <col min="9730" max="9734" width="7.85546875" style="246" bestFit="1" customWidth="1"/>
    <col min="9735" max="9741" width="9" style="246" bestFit="1" customWidth="1"/>
    <col min="9742" max="9742" width="9" style="246"/>
    <col min="9743" max="9743" width="10.28515625" style="246" bestFit="1" customWidth="1"/>
    <col min="9744" max="9981" width="9" style="246"/>
    <col min="9982" max="9982" width="5.85546875" style="246" customWidth="1"/>
    <col min="9983" max="9983" width="30.7109375" style="246" bestFit="1" customWidth="1"/>
    <col min="9984" max="9984" width="10.5703125" style="246" bestFit="1" customWidth="1"/>
    <col min="9985" max="9985" width="6" style="246" bestFit="1" customWidth="1"/>
    <col min="9986" max="9990" width="7.85546875" style="246" bestFit="1" customWidth="1"/>
    <col min="9991" max="9997" width="9" style="246" bestFit="1" customWidth="1"/>
    <col min="9998" max="9998" width="9" style="246"/>
    <col min="9999" max="9999" width="10.28515625" style="246" bestFit="1" customWidth="1"/>
    <col min="10000" max="10237" width="9" style="246"/>
    <col min="10238" max="10238" width="5.85546875" style="246" customWidth="1"/>
    <col min="10239" max="10239" width="30.7109375" style="246" bestFit="1" customWidth="1"/>
    <col min="10240" max="10240" width="10.5703125" style="246" bestFit="1" customWidth="1"/>
    <col min="10241" max="10241" width="6" style="246" bestFit="1" customWidth="1"/>
    <col min="10242" max="10246" width="7.85546875" style="246" bestFit="1" customWidth="1"/>
    <col min="10247" max="10253" width="9" style="246" bestFit="1" customWidth="1"/>
    <col min="10254" max="10254" width="9" style="246"/>
    <col min="10255" max="10255" width="10.28515625" style="246" bestFit="1" customWidth="1"/>
    <col min="10256" max="10493" width="9" style="246"/>
    <col min="10494" max="10494" width="5.85546875" style="246" customWidth="1"/>
    <col min="10495" max="10495" width="30.7109375" style="246" bestFit="1" customWidth="1"/>
    <col min="10496" max="10496" width="10.5703125" style="246" bestFit="1" customWidth="1"/>
    <col min="10497" max="10497" width="6" style="246" bestFit="1" customWidth="1"/>
    <col min="10498" max="10502" width="7.85546875" style="246" bestFit="1" customWidth="1"/>
    <col min="10503" max="10509" width="9" style="246" bestFit="1" customWidth="1"/>
    <col min="10510" max="10510" width="9" style="246"/>
    <col min="10511" max="10511" width="10.28515625" style="246" bestFit="1" customWidth="1"/>
    <col min="10512" max="10749" width="9" style="246"/>
    <col min="10750" max="10750" width="5.85546875" style="246" customWidth="1"/>
    <col min="10751" max="10751" width="30.7109375" style="246" bestFit="1" customWidth="1"/>
    <col min="10752" max="10752" width="10.5703125" style="246" bestFit="1" customWidth="1"/>
    <col min="10753" max="10753" width="6" style="246" bestFit="1" customWidth="1"/>
    <col min="10754" max="10758" width="7.85546875" style="246" bestFit="1" customWidth="1"/>
    <col min="10759" max="10765" width="9" style="246" bestFit="1" customWidth="1"/>
    <col min="10766" max="10766" width="9" style="246"/>
    <col min="10767" max="10767" width="10.28515625" style="246" bestFit="1" customWidth="1"/>
    <col min="10768" max="11005" width="9" style="246"/>
    <col min="11006" max="11006" width="5.85546875" style="246" customWidth="1"/>
    <col min="11007" max="11007" width="30.7109375" style="246" bestFit="1" customWidth="1"/>
    <col min="11008" max="11008" width="10.5703125" style="246" bestFit="1" customWidth="1"/>
    <col min="11009" max="11009" width="6" style="246" bestFit="1" customWidth="1"/>
    <col min="11010" max="11014" width="7.85546875" style="246" bestFit="1" customWidth="1"/>
    <col min="11015" max="11021" width="9" style="246" bestFit="1" customWidth="1"/>
    <col min="11022" max="11022" width="9" style="246"/>
    <col min="11023" max="11023" width="10.28515625" style="246" bestFit="1" customWidth="1"/>
    <col min="11024" max="11261" width="9" style="246"/>
    <col min="11262" max="11262" width="5.85546875" style="246" customWidth="1"/>
    <col min="11263" max="11263" width="30.7109375" style="246" bestFit="1" customWidth="1"/>
    <col min="11264" max="11264" width="10.5703125" style="246" bestFit="1" customWidth="1"/>
    <col min="11265" max="11265" width="6" style="246" bestFit="1" customWidth="1"/>
    <col min="11266" max="11270" width="7.85546875" style="246" bestFit="1" customWidth="1"/>
    <col min="11271" max="11277" width="9" style="246" bestFit="1" customWidth="1"/>
    <col min="11278" max="11278" width="9" style="246"/>
    <col min="11279" max="11279" width="10.28515625" style="246" bestFit="1" customWidth="1"/>
    <col min="11280" max="11517" width="9" style="246"/>
    <col min="11518" max="11518" width="5.85546875" style="246" customWidth="1"/>
    <col min="11519" max="11519" width="30.7109375" style="246" bestFit="1" customWidth="1"/>
    <col min="11520" max="11520" width="10.5703125" style="246" bestFit="1" customWidth="1"/>
    <col min="11521" max="11521" width="6" style="246" bestFit="1" customWidth="1"/>
    <col min="11522" max="11526" width="7.85546875" style="246" bestFit="1" customWidth="1"/>
    <col min="11527" max="11533" width="9" style="246" bestFit="1" customWidth="1"/>
    <col min="11534" max="11534" width="9" style="246"/>
    <col min="11535" max="11535" width="10.28515625" style="246" bestFit="1" customWidth="1"/>
    <col min="11536" max="11773" width="9" style="246"/>
    <col min="11774" max="11774" width="5.85546875" style="246" customWidth="1"/>
    <col min="11775" max="11775" width="30.7109375" style="246" bestFit="1" customWidth="1"/>
    <col min="11776" max="11776" width="10.5703125" style="246" bestFit="1" customWidth="1"/>
    <col min="11777" max="11777" width="6" style="246" bestFit="1" customWidth="1"/>
    <col min="11778" max="11782" width="7.85546875" style="246" bestFit="1" customWidth="1"/>
    <col min="11783" max="11789" width="9" style="246" bestFit="1" customWidth="1"/>
    <col min="11790" max="11790" width="9" style="246"/>
    <col min="11791" max="11791" width="10.28515625" style="246" bestFit="1" customWidth="1"/>
    <col min="11792" max="12029" width="9" style="246"/>
    <col min="12030" max="12030" width="5.85546875" style="246" customWidth="1"/>
    <col min="12031" max="12031" width="30.7109375" style="246" bestFit="1" customWidth="1"/>
    <col min="12032" max="12032" width="10.5703125" style="246" bestFit="1" customWidth="1"/>
    <col min="12033" max="12033" width="6" style="246" bestFit="1" customWidth="1"/>
    <col min="12034" max="12038" width="7.85546875" style="246" bestFit="1" customWidth="1"/>
    <col min="12039" max="12045" width="9" style="246" bestFit="1" customWidth="1"/>
    <col min="12046" max="12046" width="9" style="246"/>
    <col min="12047" max="12047" width="10.28515625" style="246" bestFit="1" customWidth="1"/>
    <col min="12048" max="12285" width="9" style="246"/>
    <col min="12286" max="12286" width="5.85546875" style="246" customWidth="1"/>
    <col min="12287" max="12287" width="30.7109375" style="246" bestFit="1" customWidth="1"/>
    <col min="12288" max="12288" width="10.5703125" style="246" bestFit="1" customWidth="1"/>
    <col min="12289" max="12289" width="6" style="246" bestFit="1" customWidth="1"/>
    <col min="12290" max="12294" width="7.85546875" style="246" bestFit="1" customWidth="1"/>
    <col min="12295" max="12301" width="9" style="246" bestFit="1" customWidth="1"/>
    <col min="12302" max="12302" width="9" style="246"/>
    <col min="12303" max="12303" width="10.28515625" style="246" bestFit="1" customWidth="1"/>
    <col min="12304" max="12541" width="9" style="246"/>
    <col min="12542" max="12542" width="5.85546875" style="246" customWidth="1"/>
    <col min="12543" max="12543" width="30.7109375" style="246" bestFit="1" customWidth="1"/>
    <col min="12544" max="12544" width="10.5703125" style="246" bestFit="1" customWidth="1"/>
    <col min="12545" max="12545" width="6" style="246" bestFit="1" customWidth="1"/>
    <col min="12546" max="12550" width="7.85546875" style="246" bestFit="1" customWidth="1"/>
    <col min="12551" max="12557" width="9" style="246" bestFit="1" customWidth="1"/>
    <col min="12558" max="12558" width="9" style="246"/>
    <col min="12559" max="12559" width="10.28515625" style="246" bestFit="1" customWidth="1"/>
    <col min="12560" max="12797" width="9" style="246"/>
    <col min="12798" max="12798" width="5.85546875" style="246" customWidth="1"/>
    <col min="12799" max="12799" width="30.7109375" style="246" bestFit="1" customWidth="1"/>
    <col min="12800" max="12800" width="10.5703125" style="246" bestFit="1" customWidth="1"/>
    <col min="12801" max="12801" width="6" style="246" bestFit="1" customWidth="1"/>
    <col min="12802" max="12806" width="7.85546875" style="246" bestFit="1" customWidth="1"/>
    <col min="12807" max="12813" width="9" style="246" bestFit="1" customWidth="1"/>
    <col min="12814" max="12814" width="9" style="246"/>
    <col min="12815" max="12815" width="10.28515625" style="246" bestFit="1" customWidth="1"/>
    <col min="12816" max="13053" width="9" style="246"/>
    <col min="13054" max="13054" width="5.85546875" style="246" customWidth="1"/>
    <col min="13055" max="13055" width="30.7109375" style="246" bestFit="1" customWidth="1"/>
    <col min="13056" max="13056" width="10.5703125" style="246" bestFit="1" customWidth="1"/>
    <col min="13057" max="13057" width="6" style="246" bestFit="1" customWidth="1"/>
    <col min="13058" max="13062" width="7.85546875" style="246" bestFit="1" customWidth="1"/>
    <col min="13063" max="13069" width="9" style="246" bestFit="1" customWidth="1"/>
    <col min="13070" max="13070" width="9" style="246"/>
    <col min="13071" max="13071" width="10.28515625" style="246" bestFit="1" customWidth="1"/>
    <col min="13072" max="13309" width="9" style="246"/>
    <col min="13310" max="13310" width="5.85546875" style="246" customWidth="1"/>
    <col min="13311" max="13311" width="30.7109375" style="246" bestFit="1" customWidth="1"/>
    <col min="13312" max="13312" width="10.5703125" style="246" bestFit="1" customWidth="1"/>
    <col min="13313" max="13313" width="6" style="246" bestFit="1" customWidth="1"/>
    <col min="13314" max="13318" width="7.85546875" style="246" bestFit="1" customWidth="1"/>
    <col min="13319" max="13325" width="9" style="246" bestFit="1" customWidth="1"/>
    <col min="13326" max="13326" width="9" style="246"/>
    <col min="13327" max="13327" width="10.28515625" style="246" bestFit="1" customWidth="1"/>
    <col min="13328" max="13565" width="9" style="246"/>
    <col min="13566" max="13566" width="5.85546875" style="246" customWidth="1"/>
    <col min="13567" max="13567" width="30.7109375" style="246" bestFit="1" customWidth="1"/>
    <col min="13568" max="13568" width="10.5703125" style="246" bestFit="1" customWidth="1"/>
    <col min="13569" max="13569" width="6" style="246" bestFit="1" customWidth="1"/>
    <col min="13570" max="13574" width="7.85546875" style="246" bestFit="1" customWidth="1"/>
    <col min="13575" max="13581" width="9" style="246" bestFit="1" customWidth="1"/>
    <col min="13582" max="13582" width="9" style="246"/>
    <col min="13583" max="13583" width="10.28515625" style="246" bestFit="1" customWidth="1"/>
    <col min="13584" max="13821" width="9" style="246"/>
    <col min="13822" max="13822" width="5.85546875" style="246" customWidth="1"/>
    <col min="13823" max="13823" width="30.7109375" style="246" bestFit="1" customWidth="1"/>
    <col min="13824" max="13824" width="10.5703125" style="246" bestFit="1" customWidth="1"/>
    <col min="13825" max="13825" width="6" style="246" bestFit="1" customWidth="1"/>
    <col min="13826" max="13830" width="7.85546875" style="246" bestFit="1" customWidth="1"/>
    <col min="13831" max="13837" width="9" style="246" bestFit="1" customWidth="1"/>
    <col min="13838" max="13838" width="9" style="246"/>
    <col min="13839" max="13839" width="10.28515625" style="246" bestFit="1" customWidth="1"/>
    <col min="13840" max="14077" width="9" style="246"/>
    <col min="14078" max="14078" width="5.85546875" style="246" customWidth="1"/>
    <col min="14079" max="14079" width="30.7109375" style="246" bestFit="1" customWidth="1"/>
    <col min="14080" max="14080" width="10.5703125" style="246" bestFit="1" customWidth="1"/>
    <col min="14081" max="14081" width="6" style="246" bestFit="1" customWidth="1"/>
    <col min="14082" max="14086" width="7.85546875" style="246" bestFit="1" customWidth="1"/>
    <col min="14087" max="14093" width="9" style="246" bestFit="1" customWidth="1"/>
    <col min="14094" max="14094" width="9" style="246"/>
    <col min="14095" max="14095" width="10.28515625" style="246" bestFit="1" customWidth="1"/>
    <col min="14096" max="14333" width="9" style="246"/>
    <col min="14334" max="14334" width="5.85546875" style="246" customWidth="1"/>
    <col min="14335" max="14335" width="30.7109375" style="246" bestFit="1" customWidth="1"/>
    <col min="14336" max="14336" width="10.5703125" style="246" bestFit="1" customWidth="1"/>
    <col min="14337" max="14337" width="6" style="246" bestFit="1" customWidth="1"/>
    <col min="14338" max="14342" width="7.85546875" style="246" bestFit="1" customWidth="1"/>
    <col min="14343" max="14349" width="9" style="246" bestFit="1" customWidth="1"/>
    <col min="14350" max="14350" width="9" style="246"/>
    <col min="14351" max="14351" width="10.28515625" style="246" bestFit="1" customWidth="1"/>
    <col min="14352" max="14589" width="9" style="246"/>
    <col min="14590" max="14590" width="5.85546875" style="246" customWidth="1"/>
    <col min="14591" max="14591" width="30.7109375" style="246" bestFit="1" customWidth="1"/>
    <col min="14592" max="14592" width="10.5703125" style="246" bestFit="1" customWidth="1"/>
    <col min="14593" max="14593" width="6" style="246" bestFit="1" customWidth="1"/>
    <col min="14594" max="14598" width="7.85546875" style="246" bestFit="1" customWidth="1"/>
    <col min="14599" max="14605" width="9" style="246" bestFit="1" customWidth="1"/>
    <col min="14606" max="14606" width="9" style="246"/>
    <col min="14607" max="14607" width="10.28515625" style="246" bestFit="1" customWidth="1"/>
    <col min="14608" max="14845" width="9" style="246"/>
    <col min="14846" max="14846" width="5.85546875" style="246" customWidth="1"/>
    <col min="14847" max="14847" width="30.7109375" style="246" bestFit="1" customWidth="1"/>
    <col min="14848" max="14848" width="10.5703125" style="246" bestFit="1" customWidth="1"/>
    <col min="14849" max="14849" width="6" style="246" bestFit="1" customWidth="1"/>
    <col min="14850" max="14854" width="7.85546875" style="246" bestFit="1" customWidth="1"/>
    <col min="14855" max="14861" width="9" style="246" bestFit="1" customWidth="1"/>
    <col min="14862" max="14862" width="9" style="246"/>
    <col min="14863" max="14863" width="10.28515625" style="246" bestFit="1" customWidth="1"/>
    <col min="14864" max="15101" width="9" style="246"/>
    <col min="15102" max="15102" width="5.85546875" style="246" customWidth="1"/>
    <col min="15103" max="15103" width="30.7109375" style="246" bestFit="1" customWidth="1"/>
    <col min="15104" max="15104" width="10.5703125" style="246" bestFit="1" customWidth="1"/>
    <col min="15105" max="15105" width="6" style="246" bestFit="1" customWidth="1"/>
    <col min="15106" max="15110" width="7.85546875" style="246" bestFit="1" customWidth="1"/>
    <col min="15111" max="15117" width="9" style="246" bestFit="1" customWidth="1"/>
    <col min="15118" max="15118" width="9" style="246"/>
    <col min="15119" max="15119" width="10.28515625" style="246" bestFit="1" customWidth="1"/>
    <col min="15120" max="15357" width="9" style="246"/>
    <col min="15358" max="15358" width="5.85546875" style="246" customWidth="1"/>
    <col min="15359" max="15359" width="30.7109375" style="246" bestFit="1" customWidth="1"/>
    <col min="15360" max="15360" width="10.5703125" style="246" bestFit="1" customWidth="1"/>
    <col min="15361" max="15361" width="6" style="246" bestFit="1" customWidth="1"/>
    <col min="15362" max="15366" width="7.85546875" style="246" bestFit="1" customWidth="1"/>
    <col min="15367" max="15373" width="9" style="246" bestFit="1" customWidth="1"/>
    <col min="15374" max="15374" width="9" style="246"/>
    <col min="15375" max="15375" width="10.28515625" style="246" bestFit="1" customWidth="1"/>
    <col min="15376" max="15613" width="9" style="246"/>
    <col min="15614" max="15614" width="5.85546875" style="246" customWidth="1"/>
    <col min="15615" max="15615" width="30.7109375" style="246" bestFit="1" customWidth="1"/>
    <col min="15616" max="15616" width="10.5703125" style="246" bestFit="1" customWidth="1"/>
    <col min="15617" max="15617" width="6" style="246" bestFit="1" customWidth="1"/>
    <col min="15618" max="15622" width="7.85546875" style="246" bestFit="1" customWidth="1"/>
    <col min="15623" max="15629" width="9" style="246" bestFit="1" customWidth="1"/>
    <col min="15630" max="15630" width="9" style="246"/>
    <col min="15631" max="15631" width="10.28515625" style="246" bestFit="1" customWidth="1"/>
    <col min="15632" max="15869" width="9" style="246"/>
    <col min="15870" max="15870" width="5.85546875" style="246" customWidth="1"/>
    <col min="15871" max="15871" width="30.7109375" style="246" bestFit="1" customWidth="1"/>
    <col min="15872" max="15872" width="10.5703125" style="246" bestFit="1" customWidth="1"/>
    <col min="15873" max="15873" width="6" style="246" bestFit="1" customWidth="1"/>
    <col min="15874" max="15878" width="7.85546875" style="246" bestFit="1" customWidth="1"/>
    <col min="15879" max="15885" width="9" style="246" bestFit="1" customWidth="1"/>
    <col min="15886" max="15886" width="9" style="246"/>
    <col min="15887" max="15887" width="10.28515625" style="246" bestFit="1" customWidth="1"/>
    <col min="15888" max="16124" width="9" style="246"/>
    <col min="16125" max="16125" width="5.85546875" style="246" customWidth="1"/>
    <col min="16126" max="16126" width="30.7109375" style="246" bestFit="1" customWidth="1"/>
    <col min="16127" max="16127" width="10.5703125" style="246" bestFit="1" customWidth="1"/>
    <col min="16128" max="16128" width="6" style="246" bestFit="1" customWidth="1"/>
    <col min="16129" max="16133" width="7.85546875" style="246" bestFit="1" customWidth="1"/>
    <col min="16134" max="16140" width="9" style="246" bestFit="1" customWidth="1"/>
    <col min="16141" max="16141" width="9" style="246"/>
    <col min="16142" max="16142" width="10.28515625" style="246" bestFit="1" customWidth="1"/>
    <col min="16143" max="16384" width="9" style="246"/>
  </cols>
  <sheetData>
    <row r="1" spans="1:32" ht="24.75" thickBot="1">
      <c r="A1" s="753" t="s">
        <v>658</v>
      </c>
      <c r="B1" s="814"/>
      <c r="C1" s="814"/>
      <c r="D1" s="814"/>
      <c r="E1" s="814"/>
      <c r="F1" s="840"/>
      <c r="G1" s="840"/>
      <c r="H1" s="649"/>
      <c r="I1" s="649"/>
      <c r="K1" s="650"/>
      <c r="L1" s="650"/>
      <c r="M1" s="650"/>
      <c r="N1" s="650"/>
    </row>
    <row r="2" spans="1:32" ht="24.75" thickBot="1">
      <c r="A2" s="753" t="s">
        <v>659</v>
      </c>
      <c r="B2" s="811"/>
      <c r="C2" s="811"/>
      <c r="D2" s="811"/>
      <c r="E2" s="752"/>
      <c r="F2" s="752"/>
      <c r="G2" s="752"/>
      <c r="H2" s="755"/>
      <c r="I2" s="1031" t="s">
        <v>626</v>
      </c>
      <c r="J2" s="1032"/>
      <c r="K2" s="1032"/>
      <c r="L2" s="1032"/>
      <c r="M2" s="1032"/>
      <c r="N2" s="1032"/>
      <c r="O2" s="1032"/>
      <c r="P2" s="1032"/>
      <c r="Q2" s="1032"/>
      <c r="R2" s="1032"/>
      <c r="S2" s="1032"/>
      <c r="T2" s="1033"/>
      <c r="U2" s="756"/>
    </row>
    <row r="3" spans="1:32" ht="20.25" thickBot="1">
      <c r="A3" s="753" t="s">
        <v>660</v>
      </c>
      <c r="B3" s="812"/>
      <c r="C3" s="813"/>
      <c r="H3" s="841" t="s">
        <v>661</v>
      </c>
      <c r="I3" s="757" t="s">
        <v>497</v>
      </c>
      <c r="J3" s="757" t="s">
        <v>498</v>
      </c>
      <c r="K3" s="757" t="s">
        <v>499</v>
      </c>
      <c r="L3" s="757" t="s">
        <v>500</v>
      </c>
      <c r="M3" s="757" t="s">
        <v>501</v>
      </c>
      <c r="N3" s="757" t="s">
        <v>502</v>
      </c>
      <c r="O3" s="757" t="s">
        <v>503</v>
      </c>
      <c r="P3" s="757" t="s">
        <v>504</v>
      </c>
      <c r="Q3" s="757" t="s">
        <v>505</v>
      </c>
      <c r="R3" s="757" t="s">
        <v>506</v>
      </c>
      <c r="S3" s="757" t="s">
        <v>507</v>
      </c>
      <c r="T3" s="757" t="s">
        <v>508</v>
      </c>
      <c r="U3" s="843" t="s">
        <v>662</v>
      </c>
    </row>
    <row r="4" spans="1:32" ht="19.5" thickTop="1" thickBot="1">
      <c r="A4" s="761"/>
      <c r="H4" s="842">
        <v>20</v>
      </c>
      <c r="I4" s="837">
        <f>I20/$H$4</f>
        <v>0.7843077855195395</v>
      </c>
      <c r="J4" s="838">
        <f>J20/$H$4</f>
        <v>1.0187947518126859</v>
      </c>
      <c r="K4" s="838">
        <f t="shared" ref="K4:T4" si="0">K20/$H$4</f>
        <v>1.1621958418049452</v>
      </c>
      <c r="L4" s="838" t="e">
        <f t="shared" si="0"/>
        <v>#DIV/0!</v>
      </c>
      <c r="M4" s="838" t="e">
        <f t="shared" si="0"/>
        <v>#DIV/0!</v>
      </c>
      <c r="N4" s="838" t="e">
        <f t="shared" si="0"/>
        <v>#DIV/0!</v>
      </c>
      <c r="O4" s="838" t="e">
        <f t="shared" si="0"/>
        <v>#DIV/0!</v>
      </c>
      <c r="P4" s="838" t="e">
        <f t="shared" si="0"/>
        <v>#DIV/0!</v>
      </c>
      <c r="Q4" s="838" t="e">
        <f t="shared" si="0"/>
        <v>#DIV/0!</v>
      </c>
      <c r="R4" s="838" t="e">
        <f t="shared" si="0"/>
        <v>#DIV/0!</v>
      </c>
      <c r="S4" s="838" t="e">
        <f t="shared" si="0"/>
        <v>#DIV/0!</v>
      </c>
      <c r="T4" s="839" t="e">
        <f t="shared" si="0"/>
        <v>#DIV/0!</v>
      </c>
      <c r="U4" s="758">
        <f>U20/$H$4</f>
        <v>0.97877213200545587</v>
      </c>
    </row>
    <row r="5" spans="1:32" ht="18.75" thickBot="1">
      <c r="A5" s="761"/>
      <c r="H5" s="759"/>
      <c r="I5" s="1034" t="s">
        <v>627</v>
      </c>
      <c r="J5" s="1035"/>
      <c r="K5" s="1035"/>
      <c r="L5" s="1035" t="s">
        <v>628</v>
      </c>
      <c r="M5" s="1035"/>
      <c r="N5" s="1035"/>
      <c r="O5" s="1035" t="s">
        <v>629</v>
      </c>
      <c r="P5" s="1035"/>
      <c r="Q5" s="1035"/>
      <c r="R5" s="1035" t="s">
        <v>630</v>
      </c>
      <c r="S5" s="1035"/>
      <c r="T5" s="1036"/>
      <c r="U5" s="760"/>
    </row>
    <row r="6" spans="1:32" ht="19.5" thickTop="1" thickBot="1">
      <c r="A6" s="761"/>
      <c r="H6" s="759"/>
      <c r="I6" s="1029">
        <f>(((I19+J19+K19)/(I17+J17+K17))/$H$4*100)</f>
        <v>0.97877213200545587</v>
      </c>
      <c r="J6" s="1030"/>
      <c r="K6" s="1030"/>
      <c r="L6" s="1030" t="e">
        <f>(((L19+M19+N19)/(L17+M17+N17))/$H$4*100)</f>
        <v>#DIV/0!</v>
      </c>
      <c r="M6" s="1030"/>
      <c r="N6" s="1030"/>
      <c r="O6" s="1030" t="e">
        <f>(((O19+P19+Q19)/(O17+P17+Q17))/$H$4*100)</f>
        <v>#DIV/0!</v>
      </c>
      <c r="P6" s="1030"/>
      <c r="Q6" s="1030"/>
      <c r="R6" s="1030" t="e">
        <f>(((R19+S19+T19)/(R17+S17+T17))/$H$4*100)</f>
        <v>#DIV/0!</v>
      </c>
      <c r="S6" s="1030"/>
      <c r="T6" s="1030"/>
      <c r="U6" s="760"/>
    </row>
    <row r="7" spans="1:32" ht="14.25" thickBot="1">
      <c r="A7" s="251"/>
      <c r="B7" s="251"/>
      <c r="C7" s="251"/>
      <c r="D7" s="251"/>
      <c r="E7" s="252"/>
      <c r="F7" s="252"/>
      <c r="G7" s="251"/>
      <c r="H7" s="250" t="s">
        <v>170</v>
      </c>
      <c r="I7" s="415" t="s">
        <v>497</v>
      </c>
      <c r="J7" s="415" t="s">
        <v>498</v>
      </c>
      <c r="K7" s="415" t="s">
        <v>499</v>
      </c>
      <c r="L7" s="415" t="s">
        <v>500</v>
      </c>
      <c r="M7" s="415" t="s">
        <v>501</v>
      </c>
      <c r="N7" s="415" t="s">
        <v>502</v>
      </c>
      <c r="O7" s="415" t="s">
        <v>503</v>
      </c>
      <c r="P7" s="415" t="s">
        <v>504</v>
      </c>
      <c r="Q7" s="415" t="s">
        <v>505</v>
      </c>
      <c r="R7" s="415" t="s">
        <v>506</v>
      </c>
      <c r="S7" s="415" t="s">
        <v>507</v>
      </c>
      <c r="T7" s="416" t="s">
        <v>508</v>
      </c>
      <c r="U7" s="754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</row>
    <row r="8" spans="1:32" ht="14.25" thickBot="1">
      <c r="A8" s="412"/>
      <c r="B8" s="291"/>
      <c r="C8" s="254" t="s">
        <v>201</v>
      </c>
      <c r="D8" s="254"/>
      <c r="E8" s="413"/>
      <c r="F8" s="413"/>
      <c r="G8" s="414" t="s">
        <v>202</v>
      </c>
      <c r="H8" s="413"/>
      <c r="I8" s="415" t="s">
        <v>509</v>
      </c>
      <c r="J8" s="415" t="s">
        <v>2</v>
      </c>
      <c r="K8" s="415" t="s">
        <v>3</v>
      </c>
      <c r="L8" s="415" t="s">
        <v>4</v>
      </c>
      <c r="M8" s="415" t="s">
        <v>5</v>
      </c>
      <c r="N8" s="415" t="s">
        <v>6</v>
      </c>
      <c r="O8" s="415" t="s">
        <v>7</v>
      </c>
      <c r="P8" s="415" t="s">
        <v>8</v>
      </c>
      <c r="Q8" s="415" t="s">
        <v>9</v>
      </c>
      <c r="R8" s="415" t="s">
        <v>10</v>
      </c>
      <c r="S8" s="415" t="s">
        <v>11</v>
      </c>
      <c r="T8" s="416" t="s">
        <v>510</v>
      </c>
      <c r="U8" s="441" t="s">
        <v>631</v>
      </c>
      <c r="V8" s="441" t="s">
        <v>539</v>
      </c>
      <c r="W8" s="256"/>
      <c r="X8" s="257"/>
      <c r="Y8" s="255"/>
      <c r="Z8" s="255"/>
      <c r="AA8" s="255"/>
      <c r="AB8" s="255"/>
      <c r="AC8" s="255"/>
      <c r="AD8" s="255"/>
      <c r="AE8" s="255"/>
      <c r="AF8" s="255"/>
    </row>
    <row r="9" spans="1:32" ht="14.25">
      <c r="A9" s="1037" t="s">
        <v>203</v>
      </c>
      <c r="B9" s="258" t="s">
        <v>204</v>
      </c>
      <c r="C9" s="399" t="s">
        <v>205</v>
      </c>
      <c r="D9" s="399" t="s">
        <v>485</v>
      </c>
      <c r="E9" s="1040" t="s">
        <v>206</v>
      </c>
      <c r="F9" s="1040" t="s">
        <v>481</v>
      </c>
      <c r="G9" s="406"/>
      <c r="H9" s="258" t="s">
        <v>94</v>
      </c>
      <c r="I9" s="259">
        <v>89</v>
      </c>
      <c r="J9" s="259">
        <v>89</v>
      </c>
      <c r="K9" s="259">
        <v>90</v>
      </c>
      <c r="L9" s="259"/>
      <c r="M9" s="259"/>
      <c r="N9" s="259"/>
      <c r="O9" s="259"/>
      <c r="P9" s="259"/>
      <c r="Q9" s="259"/>
      <c r="R9" s="259"/>
      <c r="S9" s="259"/>
      <c r="T9" s="260"/>
      <c r="U9" s="762"/>
      <c r="V9" s="442"/>
      <c r="W9" s="253"/>
      <c r="X9" s="253"/>
      <c r="Y9" s="253"/>
      <c r="Z9" s="253"/>
      <c r="AA9" s="253"/>
      <c r="AB9" s="253"/>
      <c r="AC9" s="253"/>
      <c r="AD9" s="253"/>
      <c r="AE9" s="253"/>
      <c r="AF9" s="253"/>
    </row>
    <row r="10" spans="1:32">
      <c r="A10" s="1038"/>
      <c r="B10" s="261" t="s">
        <v>207</v>
      </c>
      <c r="C10" s="651" t="s">
        <v>208</v>
      </c>
      <c r="D10" s="651" t="s">
        <v>468</v>
      </c>
      <c r="E10" s="1041"/>
      <c r="F10" s="1041"/>
      <c r="G10" s="407"/>
      <c r="H10" s="261" t="s">
        <v>94</v>
      </c>
      <c r="I10" s="652">
        <v>72</v>
      </c>
      <c r="J10" s="652">
        <v>72</v>
      </c>
      <c r="K10" s="652">
        <v>71</v>
      </c>
      <c r="L10" s="652"/>
      <c r="M10" s="652"/>
      <c r="N10" s="652"/>
      <c r="O10" s="652"/>
      <c r="P10" s="652"/>
      <c r="Q10" s="652"/>
      <c r="R10" s="652"/>
      <c r="S10" s="652"/>
      <c r="T10" s="653"/>
      <c r="U10" s="763"/>
      <c r="V10" s="44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</row>
    <row r="11" spans="1:32" ht="14.25" thickBot="1">
      <c r="A11" s="1039"/>
      <c r="B11" s="262" t="s">
        <v>209</v>
      </c>
      <c r="C11" s="400" t="s">
        <v>210</v>
      </c>
      <c r="D11" s="400" t="s">
        <v>469</v>
      </c>
      <c r="E11" s="1042"/>
      <c r="F11" s="1042"/>
      <c r="G11" s="408" t="s">
        <v>211</v>
      </c>
      <c r="H11" s="264" t="s">
        <v>94</v>
      </c>
      <c r="I11" s="654">
        <f>I9-I10</f>
        <v>17</v>
      </c>
      <c r="J11" s="654">
        <f t="shared" ref="J11:S11" si="1">J9-J10</f>
        <v>17</v>
      </c>
      <c r="K11" s="654">
        <f t="shared" si="1"/>
        <v>19</v>
      </c>
      <c r="L11" s="654">
        <f t="shared" si="1"/>
        <v>0</v>
      </c>
      <c r="M11" s="654">
        <f t="shared" si="1"/>
        <v>0</v>
      </c>
      <c r="N11" s="654">
        <f t="shared" si="1"/>
        <v>0</v>
      </c>
      <c r="O11" s="654">
        <f t="shared" si="1"/>
        <v>0</v>
      </c>
      <c r="P11" s="654">
        <f t="shared" si="1"/>
        <v>0</v>
      </c>
      <c r="Q11" s="654">
        <f t="shared" si="1"/>
        <v>0</v>
      </c>
      <c r="R11" s="654">
        <f t="shared" si="1"/>
        <v>0</v>
      </c>
      <c r="S11" s="654">
        <f t="shared" si="1"/>
        <v>0</v>
      </c>
      <c r="T11" s="655">
        <f>T9-T10</f>
        <v>0</v>
      </c>
      <c r="U11" s="764"/>
      <c r="V11" s="444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</row>
    <row r="12" spans="1:32" ht="27.75" thickBot="1">
      <c r="A12" s="1043" t="s">
        <v>212</v>
      </c>
      <c r="B12" s="744" t="s">
        <v>213</v>
      </c>
      <c r="C12" s="745" t="s">
        <v>214</v>
      </c>
      <c r="D12" s="746" t="s">
        <v>486</v>
      </c>
      <c r="E12" s="747" t="s">
        <v>206</v>
      </c>
      <c r="F12" s="747" t="s">
        <v>481</v>
      </c>
      <c r="G12" s="748" t="s">
        <v>524</v>
      </c>
      <c r="H12" s="744" t="s">
        <v>94</v>
      </c>
      <c r="I12" s="749">
        <f>機械別実績!L2</f>
        <v>22</v>
      </c>
      <c r="J12" s="749">
        <f>機械別実績!M2</f>
        <v>15</v>
      </c>
      <c r="K12" s="749">
        <f>機械別実績!N2</f>
        <v>22</v>
      </c>
      <c r="L12" s="749">
        <f>機械別実績!O2</f>
        <v>0</v>
      </c>
      <c r="M12" s="749">
        <f>機械別実績!P2</f>
        <v>0</v>
      </c>
      <c r="N12" s="749">
        <f>機械別実績!Q2</f>
        <v>0</v>
      </c>
      <c r="O12" s="749">
        <f>機械別実績!R2</f>
        <v>0</v>
      </c>
      <c r="P12" s="749">
        <f>機械別実績!S2</f>
        <v>0</v>
      </c>
      <c r="Q12" s="749">
        <f>機械別実績!T2</f>
        <v>0</v>
      </c>
      <c r="R12" s="749">
        <f>機械別実績!U2</f>
        <v>0</v>
      </c>
      <c r="S12" s="749">
        <f>機械別実績!V2</f>
        <v>0</v>
      </c>
      <c r="T12" s="749">
        <f>機械別実績!W2</f>
        <v>0</v>
      </c>
      <c r="U12" s="765"/>
      <c r="V12" s="445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</row>
    <row r="13" spans="1:32" ht="28.5">
      <c r="A13" s="1044"/>
      <c r="B13" s="261" t="s">
        <v>215</v>
      </c>
      <c r="C13" s="1046" t="s">
        <v>523</v>
      </c>
      <c r="D13" s="1048" t="s">
        <v>484</v>
      </c>
      <c r="E13" s="258" t="s">
        <v>206</v>
      </c>
      <c r="F13" s="398" t="s">
        <v>482</v>
      </c>
      <c r="G13" s="409"/>
      <c r="H13" s="261" t="s">
        <v>94</v>
      </c>
      <c r="I13" s="656">
        <v>13971</v>
      </c>
      <c r="J13" s="657">
        <v>9500</v>
      </c>
      <c r="K13" s="657">
        <v>14088</v>
      </c>
      <c r="L13" s="657"/>
      <c r="M13" s="657"/>
      <c r="N13" s="657"/>
      <c r="O13" s="657"/>
      <c r="P13" s="657"/>
      <c r="Q13" s="657"/>
      <c r="R13" s="657"/>
      <c r="S13" s="657"/>
      <c r="T13" s="658"/>
      <c r="U13" s="766">
        <f>SUM(I13:T13)</f>
        <v>37559</v>
      </c>
      <c r="V13" s="446" t="s">
        <v>540</v>
      </c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</row>
    <row r="14" spans="1:32" ht="15.75" thickBot="1">
      <c r="A14" s="1044"/>
      <c r="B14" s="637" t="s">
        <v>216</v>
      </c>
      <c r="C14" s="1047"/>
      <c r="D14" s="1049"/>
      <c r="E14" s="637" t="s">
        <v>173</v>
      </c>
      <c r="F14" s="392" t="s">
        <v>480</v>
      </c>
      <c r="G14" s="408"/>
      <c r="H14" s="266" t="s">
        <v>94</v>
      </c>
      <c r="I14" s="267">
        <f>I13</f>
        <v>13971</v>
      </c>
      <c r="J14" s="267">
        <f>I14+J13</f>
        <v>23471</v>
      </c>
      <c r="K14" s="267">
        <f>J14+K13</f>
        <v>37559</v>
      </c>
      <c r="L14" s="267">
        <f>K14+L13</f>
        <v>37559</v>
      </c>
      <c r="M14" s="267">
        <f>L14+M13</f>
        <v>37559</v>
      </c>
      <c r="N14" s="267">
        <f>M14+N13</f>
        <v>37559</v>
      </c>
      <c r="O14" s="267">
        <f t="shared" ref="O14:S14" si="2">N14+O13</f>
        <v>37559</v>
      </c>
      <c r="P14" s="267">
        <f>O14+P13</f>
        <v>37559</v>
      </c>
      <c r="Q14" s="267">
        <f t="shared" si="2"/>
        <v>37559</v>
      </c>
      <c r="R14" s="267">
        <f t="shared" si="2"/>
        <v>37559</v>
      </c>
      <c r="S14" s="267">
        <f t="shared" si="2"/>
        <v>37559</v>
      </c>
      <c r="T14" s="268">
        <f>S14+T13</f>
        <v>37559</v>
      </c>
      <c r="U14" s="767"/>
      <c r="V14" s="447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</row>
    <row r="15" spans="1:32" ht="27.75" thickBot="1">
      <c r="A15" s="1044"/>
      <c r="B15" s="750" t="s">
        <v>217</v>
      </c>
      <c r="C15" s="751" t="s">
        <v>218</v>
      </c>
      <c r="D15" s="751" t="s">
        <v>470</v>
      </c>
      <c r="E15" s="750" t="s">
        <v>206</v>
      </c>
      <c r="F15" s="750" t="s">
        <v>481</v>
      </c>
      <c r="G15" s="751" t="s">
        <v>219</v>
      </c>
      <c r="H15" s="725" t="s">
        <v>220</v>
      </c>
      <c r="I15" s="742">
        <f>SUM(I13/I12/I10)</f>
        <v>8.8200757575757578</v>
      </c>
      <c r="J15" s="742">
        <f t="shared" ref="J15:S15" si="3">SUM(J13/J12/J10)</f>
        <v>8.7962962962962976</v>
      </c>
      <c r="K15" s="742">
        <f t="shared" si="3"/>
        <v>9.0192061459667094</v>
      </c>
      <c r="L15" s="742" t="e">
        <f t="shared" si="3"/>
        <v>#DIV/0!</v>
      </c>
      <c r="M15" s="742" t="e">
        <f>SUM(M13/M12/M10)</f>
        <v>#DIV/0!</v>
      </c>
      <c r="N15" s="742" t="e">
        <f t="shared" si="3"/>
        <v>#DIV/0!</v>
      </c>
      <c r="O15" s="742" t="e">
        <f t="shared" si="3"/>
        <v>#DIV/0!</v>
      </c>
      <c r="P15" s="742" t="e">
        <f t="shared" si="3"/>
        <v>#DIV/0!</v>
      </c>
      <c r="Q15" s="742" t="e">
        <f t="shared" si="3"/>
        <v>#DIV/0!</v>
      </c>
      <c r="R15" s="742" t="e">
        <f t="shared" si="3"/>
        <v>#DIV/0!</v>
      </c>
      <c r="S15" s="742" t="e">
        <f t="shared" si="3"/>
        <v>#DIV/0!</v>
      </c>
      <c r="T15" s="743" t="e">
        <f>SUM(T13/T12/T10)</f>
        <v>#DIV/0!</v>
      </c>
      <c r="U15" s="768"/>
      <c r="V15" s="448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</row>
    <row r="16" spans="1:32">
      <c r="A16" s="1044"/>
      <c r="B16" s="258" t="s">
        <v>221</v>
      </c>
      <c r="C16" s="1050" t="s">
        <v>222</v>
      </c>
      <c r="D16" s="1048" t="s">
        <v>471</v>
      </c>
      <c r="E16" s="1052" t="s">
        <v>206</v>
      </c>
      <c r="F16" s="1052" t="s">
        <v>483</v>
      </c>
      <c r="G16" s="406"/>
      <c r="H16" s="258" t="s">
        <v>223</v>
      </c>
      <c r="I16" s="656">
        <v>16661</v>
      </c>
      <c r="J16" s="656">
        <v>10947.8</v>
      </c>
      <c r="K16" s="656">
        <v>16560.883333333335</v>
      </c>
      <c r="L16" s="656"/>
      <c r="M16" s="656"/>
      <c r="N16" s="656"/>
      <c r="O16" s="656"/>
      <c r="P16" s="656"/>
      <c r="Q16" s="656"/>
      <c r="R16" s="656"/>
      <c r="S16" s="656"/>
      <c r="T16" s="659"/>
      <c r="U16" s="769"/>
      <c r="V16" s="660" t="s">
        <v>665</v>
      </c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</row>
    <row r="17" spans="1:32" ht="14.25" thickBot="1">
      <c r="A17" s="1044"/>
      <c r="B17" s="263" t="s">
        <v>224</v>
      </c>
      <c r="C17" s="1051"/>
      <c r="D17" s="1049"/>
      <c r="E17" s="1053"/>
      <c r="F17" s="1053"/>
      <c r="G17" s="641"/>
      <c r="H17" s="263" t="s">
        <v>220</v>
      </c>
      <c r="I17" s="661">
        <v>16505</v>
      </c>
      <c r="J17" s="662">
        <v>10318.483333333334</v>
      </c>
      <c r="K17" s="663">
        <v>15247</v>
      </c>
      <c r="L17" s="662"/>
      <c r="M17" s="662"/>
      <c r="N17" s="662"/>
      <c r="O17" s="662"/>
      <c r="P17" s="662"/>
      <c r="Q17" s="662"/>
      <c r="R17" s="662"/>
      <c r="S17" s="662"/>
      <c r="T17" s="664"/>
      <c r="U17" s="770">
        <f>SUM(I17:T17)</f>
        <v>42070.483333333337</v>
      </c>
      <c r="V17" s="665" t="s">
        <v>541</v>
      </c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</row>
    <row r="18" spans="1:32" ht="27.75" thickBot="1">
      <c r="A18" s="1044"/>
      <c r="B18" s="263" t="s">
        <v>225</v>
      </c>
      <c r="C18" s="641" t="s">
        <v>226</v>
      </c>
      <c r="D18" s="641" t="s">
        <v>472</v>
      </c>
      <c r="E18" s="263" t="s">
        <v>206</v>
      </c>
      <c r="F18" s="263" t="s">
        <v>481</v>
      </c>
      <c r="G18" s="408"/>
      <c r="H18" s="263" t="s">
        <v>220</v>
      </c>
      <c r="I18" s="661">
        <v>13916</v>
      </c>
      <c r="J18" s="662">
        <v>8216</v>
      </c>
      <c r="K18" s="663">
        <v>11703</v>
      </c>
      <c r="L18" s="662"/>
      <c r="M18" s="662"/>
      <c r="N18" s="662"/>
      <c r="O18" s="662"/>
      <c r="P18" s="662"/>
      <c r="Q18" s="662"/>
      <c r="R18" s="662"/>
      <c r="S18" s="662"/>
      <c r="T18" s="664"/>
      <c r="U18" s="771"/>
      <c r="V18" s="665" t="s">
        <v>613</v>
      </c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</row>
    <row r="19" spans="1:32" ht="27.75" thickBot="1">
      <c r="A19" s="1044"/>
      <c r="B19" s="744" t="s">
        <v>227</v>
      </c>
      <c r="C19" s="794" t="s">
        <v>228</v>
      </c>
      <c r="D19" s="794" t="s">
        <v>473</v>
      </c>
      <c r="E19" s="795" t="s">
        <v>206</v>
      </c>
      <c r="F19" s="744" t="s">
        <v>481</v>
      </c>
      <c r="G19" s="793" t="s">
        <v>229</v>
      </c>
      <c r="H19" s="795" t="s">
        <v>220</v>
      </c>
      <c r="I19" s="799">
        <f>I17-I18</f>
        <v>2589</v>
      </c>
      <c r="J19" s="800">
        <f t="shared" ref="J19:S19" si="4">J17-J18</f>
        <v>2102.4833333333336</v>
      </c>
      <c r="K19" s="800">
        <f t="shared" si="4"/>
        <v>3544</v>
      </c>
      <c r="L19" s="800">
        <f t="shared" si="4"/>
        <v>0</v>
      </c>
      <c r="M19" s="800">
        <f t="shared" si="4"/>
        <v>0</v>
      </c>
      <c r="N19" s="800">
        <f t="shared" si="4"/>
        <v>0</v>
      </c>
      <c r="O19" s="800">
        <f t="shared" si="4"/>
        <v>0</v>
      </c>
      <c r="P19" s="800">
        <f t="shared" si="4"/>
        <v>0</v>
      </c>
      <c r="Q19" s="800">
        <f t="shared" si="4"/>
        <v>0</v>
      </c>
      <c r="R19" s="801">
        <f t="shared" si="4"/>
        <v>0</v>
      </c>
      <c r="S19" s="799">
        <f t="shared" si="4"/>
        <v>0</v>
      </c>
      <c r="T19" s="802">
        <f>T17-T18</f>
        <v>0</v>
      </c>
      <c r="U19" s="772">
        <f>SUM(I19:T19)</f>
        <v>8235.4833333333336</v>
      </c>
      <c r="V19" s="666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</row>
    <row r="20" spans="1:32" ht="27.75" thickBot="1">
      <c r="A20" s="1044"/>
      <c r="B20" s="744" t="s">
        <v>230</v>
      </c>
      <c r="C20" s="796" t="s">
        <v>231</v>
      </c>
      <c r="D20" s="796" t="s">
        <v>632</v>
      </c>
      <c r="E20" s="795" t="s">
        <v>206</v>
      </c>
      <c r="F20" s="744" t="s">
        <v>481</v>
      </c>
      <c r="G20" s="793" t="s">
        <v>232</v>
      </c>
      <c r="H20" s="795"/>
      <c r="I20" s="806">
        <f>I19/I17*100</f>
        <v>15.686155710390789</v>
      </c>
      <c r="J20" s="806">
        <f>J19/J17*100</f>
        <v>20.375895036253716</v>
      </c>
      <c r="K20" s="806">
        <f>K19/K17*100</f>
        <v>23.243916836098904</v>
      </c>
      <c r="L20" s="806" t="e">
        <f t="shared" ref="L20:T20" si="5">L19/L17*100</f>
        <v>#DIV/0!</v>
      </c>
      <c r="M20" s="806" t="e">
        <f t="shared" si="5"/>
        <v>#DIV/0!</v>
      </c>
      <c r="N20" s="807" t="e">
        <f t="shared" si="5"/>
        <v>#DIV/0!</v>
      </c>
      <c r="O20" s="807" t="e">
        <f t="shared" si="5"/>
        <v>#DIV/0!</v>
      </c>
      <c r="P20" s="807" t="e">
        <f t="shared" si="5"/>
        <v>#DIV/0!</v>
      </c>
      <c r="Q20" s="808" t="e">
        <f t="shared" si="5"/>
        <v>#DIV/0!</v>
      </c>
      <c r="R20" s="807" t="e">
        <f t="shared" si="5"/>
        <v>#DIV/0!</v>
      </c>
      <c r="S20" s="808" t="e">
        <f t="shared" si="5"/>
        <v>#DIV/0!</v>
      </c>
      <c r="T20" s="809" t="e">
        <f t="shared" si="5"/>
        <v>#DIV/0!</v>
      </c>
      <c r="U20" s="773">
        <f>U19/U17*100</f>
        <v>19.575442640109117</v>
      </c>
      <c r="V20" s="666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</row>
    <row r="21" spans="1:32" ht="27.75" thickBot="1">
      <c r="A21" s="1044"/>
      <c r="B21" s="263" t="s">
        <v>233</v>
      </c>
      <c r="C21" s="667" t="s">
        <v>234</v>
      </c>
      <c r="D21" s="667" t="s">
        <v>474</v>
      </c>
      <c r="E21" s="263" t="s">
        <v>206</v>
      </c>
      <c r="F21" s="263" t="s">
        <v>481</v>
      </c>
      <c r="G21" s="408" t="s">
        <v>235</v>
      </c>
      <c r="H21" s="266" t="s">
        <v>94</v>
      </c>
      <c r="I21" s="668">
        <f>I17/I16</f>
        <v>0.99063681651761604</v>
      </c>
      <c r="J21" s="668">
        <f t="shared" ref="J21:T21" si="6">J17/J16</f>
        <v>0.94251660912085844</v>
      </c>
      <c r="K21" s="668">
        <f t="shared" si="6"/>
        <v>0.92066345092300828</v>
      </c>
      <c r="L21" s="668" t="e">
        <f t="shared" si="6"/>
        <v>#DIV/0!</v>
      </c>
      <c r="M21" s="668" t="e">
        <f t="shared" si="6"/>
        <v>#DIV/0!</v>
      </c>
      <c r="N21" s="668" t="e">
        <f t="shared" si="6"/>
        <v>#DIV/0!</v>
      </c>
      <c r="O21" s="668" t="e">
        <f t="shared" si="6"/>
        <v>#DIV/0!</v>
      </c>
      <c r="P21" s="668" t="e">
        <f t="shared" si="6"/>
        <v>#DIV/0!</v>
      </c>
      <c r="Q21" s="668" t="e">
        <f t="shared" si="6"/>
        <v>#DIV/0!</v>
      </c>
      <c r="R21" s="668" t="e">
        <f t="shared" si="6"/>
        <v>#DIV/0!</v>
      </c>
      <c r="S21" s="668" t="e">
        <f t="shared" si="6"/>
        <v>#DIV/0!</v>
      </c>
      <c r="T21" s="669" t="e">
        <f t="shared" si="6"/>
        <v>#DIV/0!</v>
      </c>
      <c r="U21" s="774"/>
      <c r="V21" s="449"/>
      <c r="W21" s="670"/>
      <c r="X21" s="670"/>
      <c r="Y21" s="670"/>
      <c r="Z21" s="670"/>
      <c r="AA21" s="670"/>
      <c r="AB21" s="670"/>
      <c r="AC21" s="670"/>
      <c r="AD21" s="670"/>
      <c r="AE21" s="670"/>
      <c r="AF21" s="670"/>
    </row>
    <row r="22" spans="1:32" ht="27">
      <c r="A22" s="1044"/>
      <c r="B22" s="636" t="s">
        <v>236</v>
      </c>
      <c r="C22" s="797" t="s">
        <v>95</v>
      </c>
      <c r="D22" s="797" t="s">
        <v>633</v>
      </c>
      <c r="E22" s="1054" t="s">
        <v>206</v>
      </c>
      <c r="F22" s="1052" t="s">
        <v>482</v>
      </c>
      <c r="G22" s="406" t="s">
        <v>237</v>
      </c>
      <c r="H22" s="803" t="s">
        <v>220</v>
      </c>
      <c r="I22" s="804">
        <f>I17/I13</f>
        <v>1.1813757068212727</v>
      </c>
      <c r="J22" s="804">
        <f t="shared" ref="J22:T22" si="7">J17/J13</f>
        <v>1.0861561403508773</v>
      </c>
      <c r="K22" s="804">
        <f t="shared" si="7"/>
        <v>1.0822685973878479</v>
      </c>
      <c r="L22" s="804" t="e">
        <f t="shared" si="7"/>
        <v>#DIV/0!</v>
      </c>
      <c r="M22" s="804" t="e">
        <f t="shared" si="7"/>
        <v>#DIV/0!</v>
      </c>
      <c r="N22" s="804" t="e">
        <f t="shared" si="7"/>
        <v>#DIV/0!</v>
      </c>
      <c r="O22" s="804" t="e">
        <f t="shared" si="7"/>
        <v>#DIV/0!</v>
      </c>
      <c r="P22" s="804" t="e">
        <f t="shared" si="7"/>
        <v>#DIV/0!</v>
      </c>
      <c r="Q22" s="804" t="e">
        <f t="shared" si="7"/>
        <v>#DIV/0!</v>
      </c>
      <c r="R22" s="804" t="e">
        <f t="shared" si="7"/>
        <v>#DIV/0!</v>
      </c>
      <c r="S22" s="804" t="e">
        <f t="shared" si="7"/>
        <v>#DIV/0!</v>
      </c>
      <c r="T22" s="805" t="e">
        <f t="shared" si="7"/>
        <v>#DIV/0!</v>
      </c>
      <c r="U22" s="775">
        <f>U17/U13</f>
        <v>1.1201172377681339</v>
      </c>
      <c r="V22" s="450"/>
      <c r="W22" s="670"/>
      <c r="X22" s="670"/>
      <c r="Y22" s="670"/>
      <c r="Z22" s="670"/>
      <c r="AA22" s="670"/>
      <c r="AB22" s="670"/>
      <c r="AC22" s="670"/>
      <c r="AD22" s="670"/>
      <c r="AE22" s="670"/>
    </row>
    <row r="23" spans="1:32" ht="39.75" thickBot="1">
      <c r="A23" s="1045"/>
      <c r="B23" s="263" t="s">
        <v>238</v>
      </c>
      <c r="C23" s="798" t="s">
        <v>96</v>
      </c>
      <c r="D23" s="798" t="s">
        <v>634</v>
      </c>
      <c r="E23" s="1055"/>
      <c r="F23" s="1053"/>
      <c r="G23" s="673"/>
      <c r="H23" s="810" t="s">
        <v>453</v>
      </c>
      <c r="I23" s="674">
        <v>1.1000000000000001</v>
      </c>
      <c r="J23" s="674">
        <v>1.1000000000000001</v>
      </c>
      <c r="K23" s="674">
        <v>1.1000000000000001</v>
      </c>
      <c r="L23" s="674">
        <v>1.1000000000000001</v>
      </c>
      <c r="M23" s="674">
        <v>1.1000000000000001</v>
      </c>
      <c r="N23" s="674">
        <v>1.1000000000000001</v>
      </c>
      <c r="O23" s="674">
        <v>1.1000000000000001</v>
      </c>
      <c r="P23" s="674">
        <v>1.1000000000000001</v>
      </c>
      <c r="Q23" s="674">
        <v>1.1000000000000001</v>
      </c>
      <c r="R23" s="674">
        <v>1.1000000000000001</v>
      </c>
      <c r="S23" s="674">
        <v>1.1000000000000001</v>
      </c>
      <c r="T23" s="675">
        <v>1.1000000000000001</v>
      </c>
      <c r="U23" s="768"/>
      <c r="V23" s="448"/>
      <c r="W23" s="670"/>
      <c r="X23" s="670"/>
      <c r="Y23" s="670"/>
      <c r="Z23" s="670"/>
      <c r="AA23" s="670"/>
      <c r="AB23" s="670"/>
      <c r="AC23" s="670"/>
      <c r="AD23" s="670"/>
      <c r="AE23" s="670"/>
    </row>
    <row r="24" spans="1:32" s="270" customFormat="1" ht="36">
      <c r="A24" s="1043" t="s">
        <v>239</v>
      </c>
      <c r="B24" s="635" t="s">
        <v>240</v>
      </c>
      <c r="C24" s="401" t="s">
        <v>241</v>
      </c>
      <c r="D24" s="401" t="s">
        <v>487</v>
      </c>
      <c r="E24" s="1040" t="s">
        <v>242</v>
      </c>
      <c r="F24" s="1040" t="s">
        <v>482</v>
      </c>
      <c r="G24" s="640" t="s">
        <v>525</v>
      </c>
      <c r="H24" s="638" t="s">
        <v>220</v>
      </c>
      <c r="I24" s="269">
        <f>'指標２(内作)'!C10</f>
        <v>0</v>
      </c>
      <c r="J24" s="269">
        <f>'指標２(内作)'!D10</f>
        <v>0</v>
      </c>
      <c r="K24" s="269">
        <f>'指標２(内作)'!E10</f>
        <v>1</v>
      </c>
      <c r="L24" s="269">
        <f>'指標２(内作)'!F10</f>
        <v>0</v>
      </c>
      <c r="M24" s="269">
        <f>'指標２(内作)'!G10</f>
        <v>0</v>
      </c>
      <c r="N24" s="269">
        <f>'指標２(内作)'!H10</f>
        <v>0</v>
      </c>
      <c r="O24" s="269">
        <f>'指標２(内作)'!I10</f>
        <v>0</v>
      </c>
      <c r="P24" s="269">
        <f>'指標２(内作)'!J10</f>
        <v>0</v>
      </c>
      <c r="Q24" s="269">
        <f>'指標２(内作)'!K10</f>
        <v>0</v>
      </c>
      <c r="R24" s="269">
        <f>'指標２(内作)'!L10</f>
        <v>0</v>
      </c>
      <c r="S24" s="269">
        <f>'指標２(内作)'!M10</f>
        <v>0</v>
      </c>
      <c r="T24" s="269">
        <f>'指標２(内作)'!N10</f>
        <v>0</v>
      </c>
      <c r="U24" s="776"/>
      <c r="V24" s="451"/>
      <c r="W24" s="676"/>
      <c r="X24" s="676"/>
      <c r="Y24" s="676"/>
      <c r="Z24" s="676"/>
      <c r="AA24" s="676"/>
      <c r="AB24" s="676"/>
      <c r="AC24" s="676"/>
      <c r="AD24" s="676"/>
      <c r="AE24" s="676"/>
      <c r="AF24" s="676"/>
    </row>
    <row r="25" spans="1:32" s="270" customFormat="1" ht="14.25">
      <c r="A25" s="1044"/>
      <c r="B25" s="271" t="s">
        <v>243</v>
      </c>
      <c r="C25" s="403" t="s">
        <v>244</v>
      </c>
      <c r="D25" s="403" t="s">
        <v>475</v>
      </c>
      <c r="E25" s="1041"/>
      <c r="F25" s="1041"/>
      <c r="G25" s="410"/>
      <c r="H25" s="271" t="s">
        <v>220</v>
      </c>
      <c r="I25" s="272">
        <v>0</v>
      </c>
      <c r="J25" s="272">
        <v>0</v>
      </c>
      <c r="K25" s="272">
        <v>5.8</v>
      </c>
      <c r="L25" s="272"/>
      <c r="M25" s="272"/>
      <c r="N25" s="272"/>
      <c r="O25" s="272"/>
      <c r="P25" s="272"/>
      <c r="Q25" s="272"/>
      <c r="R25" s="272"/>
      <c r="S25" s="272"/>
      <c r="T25" s="273"/>
      <c r="U25" s="777"/>
      <c r="V25" s="452" t="s">
        <v>664</v>
      </c>
      <c r="W25" s="676"/>
      <c r="X25" s="676"/>
      <c r="Y25" s="676"/>
      <c r="Z25" s="676"/>
      <c r="AA25" s="676"/>
      <c r="AB25" s="676"/>
      <c r="AC25" s="676"/>
      <c r="AD25" s="676"/>
      <c r="AE25" s="676"/>
      <c r="AF25" s="676"/>
    </row>
    <row r="26" spans="1:32" s="270" customFormat="1" ht="14.25">
      <c r="A26" s="1044"/>
      <c r="B26" s="271" t="s">
        <v>245</v>
      </c>
      <c r="C26" s="403" t="s">
        <v>246</v>
      </c>
      <c r="D26" s="405" t="s">
        <v>476</v>
      </c>
      <c r="E26" s="1041"/>
      <c r="F26" s="1041"/>
      <c r="G26" s="410" t="s">
        <v>247</v>
      </c>
      <c r="H26" s="274" t="s">
        <v>220</v>
      </c>
      <c r="I26" s="275">
        <f>I17</f>
        <v>16505</v>
      </c>
      <c r="J26" s="275">
        <f>J17</f>
        <v>10318.483333333334</v>
      </c>
      <c r="K26" s="275">
        <f t="shared" ref="K26:T26" si="8">K17</f>
        <v>15247</v>
      </c>
      <c r="L26" s="275">
        <f t="shared" si="8"/>
        <v>0</v>
      </c>
      <c r="M26" s="275">
        <f t="shared" si="8"/>
        <v>0</v>
      </c>
      <c r="N26" s="275">
        <f t="shared" si="8"/>
        <v>0</v>
      </c>
      <c r="O26" s="275">
        <f t="shared" si="8"/>
        <v>0</v>
      </c>
      <c r="P26" s="275">
        <f t="shared" si="8"/>
        <v>0</v>
      </c>
      <c r="Q26" s="275">
        <f t="shared" si="8"/>
        <v>0</v>
      </c>
      <c r="R26" s="275">
        <f t="shared" si="8"/>
        <v>0</v>
      </c>
      <c r="S26" s="275">
        <f t="shared" si="8"/>
        <v>0</v>
      </c>
      <c r="T26" s="276">
        <f t="shared" si="8"/>
        <v>0</v>
      </c>
      <c r="U26" s="778"/>
      <c r="V26" s="453"/>
      <c r="W26" s="676"/>
      <c r="X26" s="676"/>
      <c r="Y26" s="676"/>
      <c r="Z26" s="676"/>
      <c r="AA26" s="676"/>
      <c r="AB26" s="676"/>
      <c r="AC26" s="676"/>
      <c r="AD26" s="676"/>
      <c r="AE26" s="676"/>
      <c r="AF26" s="676"/>
    </row>
    <row r="27" spans="1:32" s="270" customFormat="1" ht="15" thickBot="1">
      <c r="A27" s="1045"/>
      <c r="B27" s="263" t="s">
        <v>248</v>
      </c>
      <c r="C27" s="400" t="s">
        <v>249</v>
      </c>
      <c r="D27" s="400" t="s">
        <v>488</v>
      </c>
      <c r="E27" s="1042"/>
      <c r="F27" s="1042"/>
      <c r="G27" s="408" t="s">
        <v>250</v>
      </c>
      <c r="H27" s="264" t="s">
        <v>220</v>
      </c>
      <c r="I27" s="677">
        <f>SUM(I25/I26)</f>
        <v>0</v>
      </c>
      <c r="J27" s="677">
        <f t="shared" ref="J27:T27" si="9">SUM(J25/J26)</f>
        <v>0</v>
      </c>
      <c r="K27" s="677">
        <f t="shared" si="9"/>
        <v>3.8040270217091886E-4</v>
      </c>
      <c r="L27" s="677" t="e">
        <f t="shared" si="9"/>
        <v>#DIV/0!</v>
      </c>
      <c r="M27" s="677" t="e">
        <f t="shared" si="9"/>
        <v>#DIV/0!</v>
      </c>
      <c r="N27" s="677" t="e">
        <f t="shared" si="9"/>
        <v>#DIV/0!</v>
      </c>
      <c r="O27" s="677" t="e">
        <f t="shared" si="9"/>
        <v>#DIV/0!</v>
      </c>
      <c r="P27" s="677" t="e">
        <f t="shared" si="9"/>
        <v>#DIV/0!</v>
      </c>
      <c r="Q27" s="677" t="e">
        <f t="shared" si="9"/>
        <v>#DIV/0!</v>
      </c>
      <c r="R27" s="677" t="e">
        <f t="shared" si="9"/>
        <v>#DIV/0!</v>
      </c>
      <c r="S27" s="677" t="e">
        <f t="shared" si="9"/>
        <v>#DIV/0!</v>
      </c>
      <c r="T27" s="678" t="e">
        <f t="shared" si="9"/>
        <v>#DIV/0!</v>
      </c>
      <c r="U27" s="779"/>
      <c r="V27" s="679"/>
      <c r="W27" s="676"/>
      <c r="X27" s="676"/>
      <c r="Y27" s="676"/>
      <c r="Z27" s="676"/>
      <c r="AA27" s="676"/>
      <c r="AB27" s="676"/>
      <c r="AC27" s="676"/>
      <c r="AD27" s="676"/>
      <c r="AE27" s="676"/>
      <c r="AF27" s="676"/>
    </row>
    <row r="28" spans="1:32" s="270" customFormat="1" ht="14.25">
      <c r="A28" s="1043" t="s">
        <v>251</v>
      </c>
      <c r="B28" s="258" t="s">
        <v>252</v>
      </c>
      <c r="C28" s="399" t="s">
        <v>253</v>
      </c>
      <c r="D28" s="399" t="s">
        <v>477</v>
      </c>
      <c r="E28" s="1052" t="s">
        <v>242</v>
      </c>
      <c r="F28" s="1052" t="s">
        <v>482</v>
      </c>
      <c r="G28" s="402" t="s">
        <v>254</v>
      </c>
      <c r="H28" s="680" t="s">
        <v>220</v>
      </c>
      <c r="I28" s="681">
        <f>SUM(I26/I10)</f>
        <v>229.23611111111111</v>
      </c>
      <c r="J28" s="681">
        <f t="shared" ref="J28:S28" si="10">SUM(J26/J10)</f>
        <v>143.31226851851852</v>
      </c>
      <c r="K28" s="681">
        <f t="shared" si="10"/>
        <v>214.74647887323943</v>
      </c>
      <c r="L28" s="681" t="e">
        <f t="shared" si="10"/>
        <v>#DIV/0!</v>
      </c>
      <c r="M28" s="681" t="e">
        <f t="shared" si="10"/>
        <v>#DIV/0!</v>
      </c>
      <c r="N28" s="681" t="e">
        <f t="shared" si="10"/>
        <v>#DIV/0!</v>
      </c>
      <c r="O28" s="681" t="e">
        <f t="shared" si="10"/>
        <v>#DIV/0!</v>
      </c>
      <c r="P28" s="681" t="e">
        <f t="shared" si="10"/>
        <v>#DIV/0!</v>
      </c>
      <c r="Q28" s="681" t="e">
        <f t="shared" si="10"/>
        <v>#DIV/0!</v>
      </c>
      <c r="R28" s="681" t="e">
        <f t="shared" si="10"/>
        <v>#DIV/0!</v>
      </c>
      <c r="S28" s="681" t="e">
        <f t="shared" si="10"/>
        <v>#DIV/0!</v>
      </c>
      <c r="T28" s="682" t="e">
        <f>SUM(T26/T10)</f>
        <v>#DIV/0!</v>
      </c>
      <c r="U28" s="780"/>
      <c r="V28" s="683"/>
      <c r="W28" s="676"/>
      <c r="X28" s="676"/>
      <c r="Y28" s="676"/>
      <c r="Z28" s="676"/>
      <c r="AA28" s="676"/>
      <c r="AB28" s="676"/>
      <c r="AC28" s="676"/>
      <c r="AD28" s="676"/>
      <c r="AE28" s="676"/>
      <c r="AF28" s="676"/>
    </row>
    <row r="29" spans="1:32" s="270" customFormat="1" ht="24.75" thickBot="1">
      <c r="A29" s="1045"/>
      <c r="B29" s="637" t="s">
        <v>255</v>
      </c>
      <c r="C29" s="667" t="s">
        <v>256</v>
      </c>
      <c r="D29" s="667" t="s">
        <v>489</v>
      </c>
      <c r="E29" s="1053"/>
      <c r="F29" s="1053"/>
      <c r="G29" s="641" t="s">
        <v>257</v>
      </c>
      <c r="H29" s="639" t="s">
        <v>220</v>
      </c>
      <c r="I29" s="684">
        <f>SUM(I32/I10)</f>
        <v>473.59722222222223</v>
      </c>
      <c r="J29" s="684">
        <f t="shared" ref="J29:T29" si="11">SUM(J32/J10)</f>
        <v>277.16666666666669</v>
      </c>
      <c r="K29" s="684">
        <f t="shared" si="11"/>
        <v>494.7042253521127</v>
      </c>
      <c r="L29" s="684" t="e">
        <f t="shared" si="11"/>
        <v>#DIV/0!</v>
      </c>
      <c r="M29" s="684" t="e">
        <f t="shared" si="11"/>
        <v>#DIV/0!</v>
      </c>
      <c r="N29" s="684" t="e">
        <f t="shared" si="11"/>
        <v>#DIV/0!</v>
      </c>
      <c r="O29" s="684" t="e">
        <f t="shared" si="11"/>
        <v>#DIV/0!</v>
      </c>
      <c r="P29" s="684" t="e">
        <f t="shared" si="11"/>
        <v>#DIV/0!</v>
      </c>
      <c r="Q29" s="684" t="e">
        <f t="shared" si="11"/>
        <v>#DIV/0!</v>
      </c>
      <c r="R29" s="684" t="e">
        <f t="shared" si="11"/>
        <v>#DIV/0!</v>
      </c>
      <c r="S29" s="684" t="e">
        <f t="shared" si="11"/>
        <v>#DIV/0!</v>
      </c>
      <c r="T29" s="685" t="e">
        <f t="shared" si="11"/>
        <v>#DIV/0!</v>
      </c>
      <c r="U29" s="781"/>
      <c r="V29" s="686"/>
      <c r="W29" s="676"/>
      <c r="X29" s="676"/>
      <c r="Y29" s="676"/>
      <c r="Z29" s="676"/>
      <c r="AA29" s="676"/>
      <c r="AB29" s="676"/>
      <c r="AC29" s="676"/>
      <c r="AD29" s="676"/>
      <c r="AE29" s="676"/>
      <c r="AF29" s="676"/>
    </row>
    <row r="30" spans="1:32" ht="36">
      <c r="A30" s="1038" t="s">
        <v>258</v>
      </c>
      <c r="B30" s="261" t="s">
        <v>259</v>
      </c>
      <c r="C30" s="1050" t="s">
        <v>260</v>
      </c>
      <c r="D30" s="1050" t="s">
        <v>478</v>
      </c>
      <c r="E30" s="635" t="s">
        <v>206</v>
      </c>
      <c r="F30" s="636" t="s">
        <v>481</v>
      </c>
      <c r="G30" s="651" t="s">
        <v>526</v>
      </c>
      <c r="H30" s="687" t="s">
        <v>94</v>
      </c>
      <c r="I30" s="688">
        <f>指標1!B29</f>
        <v>2412</v>
      </c>
      <c r="J30" s="688">
        <f>指標1!C29</f>
        <v>1563</v>
      </c>
      <c r="K30" s="688">
        <f>指標1!D29</f>
        <v>2232</v>
      </c>
      <c r="L30" s="688">
        <f>指標1!E29</f>
        <v>0</v>
      </c>
      <c r="M30" s="688">
        <f>指標1!F29</f>
        <v>0</v>
      </c>
      <c r="N30" s="688">
        <f>指標1!G29</f>
        <v>0</v>
      </c>
      <c r="O30" s="688">
        <f>指標1!H29</f>
        <v>0</v>
      </c>
      <c r="P30" s="688">
        <f>指標1!I29</f>
        <v>0</v>
      </c>
      <c r="Q30" s="688">
        <f>指標1!J29</f>
        <v>0</v>
      </c>
      <c r="R30" s="688">
        <f>指標1!K29</f>
        <v>0</v>
      </c>
      <c r="S30" s="688">
        <f>指標1!L29</f>
        <v>0</v>
      </c>
      <c r="T30" s="688">
        <f>指標1!M29</f>
        <v>0</v>
      </c>
      <c r="U30" s="782"/>
      <c r="V30" s="454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</row>
    <row r="31" spans="1:32" ht="15.75" thickBot="1">
      <c r="A31" s="1038"/>
      <c r="B31" s="637" t="s">
        <v>261</v>
      </c>
      <c r="C31" s="1051"/>
      <c r="D31" s="1051"/>
      <c r="E31" s="271" t="s">
        <v>173</v>
      </c>
      <c r="F31" s="263" t="s">
        <v>480</v>
      </c>
      <c r="G31" s="425"/>
      <c r="H31" s="266" t="s">
        <v>94</v>
      </c>
      <c r="I31" s="267">
        <f>I30</f>
        <v>2412</v>
      </c>
      <c r="J31" s="267">
        <f>I31+J30</f>
        <v>3975</v>
      </c>
      <c r="K31" s="267">
        <f t="shared" ref="K31:S31" si="12">J31+K30</f>
        <v>6207</v>
      </c>
      <c r="L31" s="267">
        <f t="shared" si="12"/>
        <v>6207</v>
      </c>
      <c r="M31" s="267">
        <f t="shared" si="12"/>
        <v>6207</v>
      </c>
      <c r="N31" s="267">
        <f t="shared" si="12"/>
        <v>6207</v>
      </c>
      <c r="O31" s="267">
        <f t="shared" si="12"/>
        <v>6207</v>
      </c>
      <c r="P31" s="267">
        <f t="shared" si="12"/>
        <v>6207</v>
      </c>
      <c r="Q31" s="267">
        <f t="shared" si="12"/>
        <v>6207</v>
      </c>
      <c r="R31" s="267">
        <f t="shared" si="12"/>
        <v>6207</v>
      </c>
      <c r="S31" s="267">
        <f t="shared" si="12"/>
        <v>6207</v>
      </c>
      <c r="T31" s="268">
        <f>S31+T30</f>
        <v>6207</v>
      </c>
      <c r="U31" s="767"/>
      <c r="V31" s="447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</row>
    <row r="32" spans="1:32" s="277" customFormat="1" ht="27">
      <c r="A32" s="1038"/>
      <c r="B32" s="261" t="s">
        <v>262</v>
      </c>
      <c r="C32" s="1056" t="s">
        <v>263</v>
      </c>
      <c r="D32" s="1056" t="s">
        <v>479</v>
      </c>
      <c r="E32" s="689" t="s">
        <v>206</v>
      </c>
      <c r="F32" s="690" t="s">
        <v>481</v>
      </c>
      <c r="G32" s="404" t="s">
        <v>527</v>
      </c>
      <c r="H32" s="687" t="s">
        <v>94</v>
      </c>
      <c r="I32" s="691">
        <f>指標1!B14</f>
        <v>34099</v>
      </c>
      <c r="J32" s="691">
        <f>指標1!C14</f>
        <v>19956</v>
      </c>
      <c r="K32" s="691">
        <f>指標1!D14</f>
        <v>35124</v>
      </c>
      <c r="L32" s="691">
        <f>指標1!E14</f>
        <v>0</v>
      </c>
      <c r="M32" s="691">
        <f>指標1!F14</f>
        <v>0</v>
      </c>
      <c r="N32" s="691">
        <f>指標1!G14</f>
        <v>0</v>
      </c>
      <c r="O32" s="691">
        <f>指標1!H14</f>
        <v>0</v>
      </c>
      <c r="P32" s="691">
        <f>指標1!I14</f>
        <v>0</v>
      </c>
      <c r="Q32" s="691">
        <f>指標1!J14</f>
        <v>0</v>
      </c>
      <c r="R32" s="691">
        <f>指標1!K14</f>
        <v>0</v>
      </c>
      <c r="S32" s="691">
        <f>指標1!L14</f>
        <v>0</v>
      </c>
      <c r="T32" s="691">
        <f>指標1!M14</f>
        <v>0</v>
      </c>
      <c r="U32" s="783"/>
      <c r="V32" s="455"/>
    </row>
    <row r="33" spans="1:32" s="277" customFormat="1" ht="15.75" thickBot="1">
      <c r="A33" s="1038"/>
      <c r="B33" s="637" t="s">
        <v>264</v>
      </c>
      <c r="C33" s="1057"/>
      <c r="D33" s="1057"/>
      <c r="E33" s="692" t="s">
        <v>173</v>
      </c>
      <c r="F33" s="692" t="s">
        <v>480</v>
      </c>
      <c r="G33" s="693"/>
      <c r="H33" s="266" t="s">
        <v>94</v>
      </c>
      <c r="I33" s="694">
        <f>I32</f>
        <v>34099</v>
      </c>
      <c r="J33" s="694">
        <f>I33+J32</f>
        <v>54055</v>
      </c>
      <c r="K33" s="694">
        <f t="shared" ref="K33:S33" si="13">J33+K32</f>
        <v>89179</v>
      </c>
      <c r="L33" s="694">
        <f t="shared" si="13"/>
        <v>89179</v>
      </c>
      <c r="M33" s="694">
        <f t="shared" si="13"/>
        <v>89179</v>
      </c>
      <c r="N33" s="694">
        <f t="shared" si="13"/>
        <v>89179</v>
      </c>
      <c r="O33" s="694">
        <f t="shared" si="13"/>
        <v>89179</v>
      </c>
      <c r="P33" s="694">
        <f t="shared" si="13"/>
        <v>89179</v>
      </c>
      <c r="Q33" s="694">
        <f t="shared" si="13"/>
        <v>89179</v>
      </c>
      <c r="R33" s="694">
        <f t="shared" si="13"/>
        <v>89179</v>
      </c>
      <c r="S33" s="694">
        <f t="shared" si="13"/>
        <v>89179</v>
      </c>
      <c r="T33" s="695">
        <f>S33+T32</f>
        <v>89179</v>
      </c>
      <c r="U33" s="784"/>
      <c r="V33" s="456"/>
    </row>
    <row r="34" spans="1:32" ht="27">
      <c r="A34" s="1038"/>
      <c r="B34" s="258" t="s">
        <v>265</v>
      </c>
      <c r="C34" s="1050" t="s">
        <v>266</v>
      </c>
      <c r="D34" s="1048" t="s">
        <v>493</v>
      </c>
      <c r="E34" s="258" t="s">
        <v>206</v>
      </c>
      <c r="F34" s="258" t="s">
        <v>481</v>
      </c>
      <c r="G34" s="399" t="s">
        <v>267</v>
      </c>
      <c r="H34" s="696" t="s">
        <v>94</v>
      </c>
      <c r="I34" s="697">
        <f>I30/I13</f>
        <v>0.17264333261756495</v>
      </c>
      <c r="J34" s="697">
        <f t="shared" ref="J34:T35" si="14">J30/J13</f>
        <v>0.16452631578947369</v>
      </c>
      <c r="K34" s="697">
        <f t="shared" si="14"/>
        <v>0.15843270868824533</v>
      </c>
      <c r="L34" s="697" t="e">
        <f t="shared" si="14"/>
        <v>#DIV/0!</v>
      </c>
      <c r="M34" s="697" t="e">
        <f t="shared" si="14"/>
        <v>#DIV/0!</v>
      </c>
      <c r="N34" s="697" t="e">
        <f t="shared" si="14"/>
        <v>#DIV/0!</v>
      </c>
      <c r="O34" s="697" t="e">
        <f t="shared" si="14"/>
        <v>#DIV/0!</v>
      </c>
      <c r="P34" s="697" t="e">
        <f t="shared" si="14"/>
        <v>#DIV/0!</v>
      </c>
      <c r="Q34" s="697" t="e">
        <f t="shared" si="14"/>
        <v>#DIV/0!</v>
      </c>
      <c r="R34" s="697" t="e">
        <f t="shared" si="14"/>
        <v>#DIV/0!</v>
      </c>
      <c r="S34" s="697" t="e">
        <f t="shared" si="14"/>
        <v>#DIV/0!</v>
      </c>
      <c r="T34" s="698" t="e">
        <f t="shared" si="14"/>
        <v>#DIV/0!</v>
      </c>
      <c r="U34" s="785"/>
      <c r="V34" s="457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</row>
    <row r="35" spans="1:32" ht="15.75" thickBot="1">
      <c r="A35" s="1038"/>
      <c r="B35" s="263" t="s">
        <v>268</v>
      </c>
      <c r="C35" s="1051"/>
      <c r="D35" s="1049"/>
      <c r="E35" s="263" t="s">
        <v>173</v>
      </c>
      <c r="F35" s="263" t="s">
        <v>480</v>
      </c>
      <c r="G35" s="408" t="s">
        <v>269</v>
      </c>
      <c r="H35" s="266" t="s">
        <v>94</v>
      </c>
      <c r="I35" s="699">
        <f>I31/I14</f>
        <v>0.17264333261756495</v>
      </c>
      <c r="J35" s="699">
        <f t="shared" si="14"/>
        <v>0.16935793106386604</v>
      </c>
      <c r="K35" s="699">
        <f t="shared" si="14"/>
        <v>0.16525999094757582</v>
      </c>
      <c r="L35" s="699">
        <f t="shared" si="14"/>
        <v>0.16525999094757582</v>
      </c>
      <c r="M35" s="699">
        <f t="shared" si="14"/>
        <v>0.16525999094757582</v>
      </c>
      <c r="N35" s="699">
        <f t="shared" si="14"/>
        <v>0.16525999094757582</v>
      </c>
      <c r="O35" s="699">
        <f t="shared" si="14"/>
        <v>0.16525999094757582</v>
      </c>
      <c r="P35" s="699">
        <f t="shared" si="14"/>
        <v>0.16525999094757582</v>
      </c>
      <c r="Q35" s="699">
        <f t="shared" si="14"/>
        <v>0.16525999094757582</v>
      </c>
      <c r="R35" s="699">
        <f t="shared" si="14"/>
        <v>0.16525999094757582</v>
      </c>
      <c r="S35" s="699">
        <f t="shared" si="14"/>
        <v>0.16525999094757582</v>
      </c>
      <c r="T35" s="700">
        <f t="shared" si="14"/>
        <v>0.16525999094757582</v>
      </c>
      <c r="U35" s="786"/>
      <c r="V35" s="458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</row>
    <row r="36" spans="1:32" ht="27">
      <c r="A36" s="1038"/>
      <c r="B36" s="265" t="s">
        <v>270</v>
      </c>
      <c r="C36" s="1050" t="s">
        <v>271</v>
      </c>
      <c r="D36" s="1048" t="s">
        <v>494</v>
      </c>
      <c r="E36" s="265" t="s">
        <v>206</v>
      </c>
      <c r="F36" s="265" t="s">
        <v>481</v>
      </c>
      <c r="G36" s="399" t="s">
        <v>272</v>
      </c>
      <c r="H36" s="680" t="s">
        <v>94</v>
      </c>
      <c r="I36" s="671">
        <f>I32/I13</f>
        <v>2.4406985899362965</v>
      </c>
      <c r="J36" s="671">
        <f t="shared" ref="J36:T37" si="15">J32/J13</f>
        <v>2.1006315789473686</v>
      </c>
      <c r="K36" s="671">
        <f t="shared" si="15"/>
        <v>2.4931856899488927</v>
      </c>
      <c r="L36" s="671" t="e">
        <f t="shared" si="15"/>
        <v>#DIV/0!</v>
      </c>
      <c r="M36" s="671" t="e">
        <f t="shared" si="15"/>
        <v>#DIV/0!</v>
      </c>
      <c r="N36" s="671" t="e">
        <f t="shared" si="15"/>
        <v>#DIV/0!</v>
      </c>
      <c r="O36" s="671" t="e">
        <f t="shared" si="15"/>
        <v>#DIV/0!</v>
      </c>
      <c r="P36" s="671" t="e">
        <f t="shared" si="15"/>
        <v>#DIV/0!</v>
      </c>
      <c r="Q36" s="671" t="e">
        <f t="shared" si="15"/>
        <v>#DIV/0!</v>
      </c>
      <c r="R36" s="671" t="e">
        <f t="shared" si="15"/>
        <v>#DIV/0!</v>
      </c>
      <c r="S36" s="671" t="e">
        <f t="shared" si="15"/>
        <v>#DIV/0!</v>
      </c>
      <c r="T36" s="672" t="e">
        <f t="shared" si="15"/>
        <v>#DIV/0!</v>
      </c>
      <c r="U36" s="787"/>
      <c r="V36" s="450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</row>
    <row r="37" spans="1:32" ht="15.75" thickBot="1">
      <c r="A37" s="1038"/>
      <c r="B37" s="637" t="s">
        <v>273</v>
      </c>
      <c r="C37" s="1051"/>
      <c r="D37" s="1049"/>
      <c r="E37" s="636" t="s">
        <v>173</v>
      </c>
      <c r="F37" s="263" t="s">
        <v>480</v>
      </c>
      <c r="G37" s="641" t="s">
        <v>274</v>
      </c>
      <c r="H37" s="266" t="s">
        <v>94</v>
      </c>
      <c r="I37" s="668">
        <f>I33/I14</f>
        <v>2.4406985899362965</v>
      </c>
      <c r="J37" s="668">
        <f t="shared" si="15"/>
        <v>2.3030548336244729</v>
      </c>
      <c r="K37" s="668">
        <f t="shared" si="15"/>
        <v>2.3743709896429617</v>
      </c>
      <c r="L37" s="668">
        <f t="shared" si="15"/>
        <v>2.3743709896429617</v>
      </c>
      <c r="M37" s="668">
        <f t="shared" si="15"/>
        <v>2.3743709896429617</v>
      </c>
      <c r="N37" s="668">
        <f t="shared" si="15"/>
        <v>2.3743709896429617</v>
      </c>
      <c r="O37" s="668">
        <f t="shared" si="15"/>
        <v>2.3743709896429617</v>
      </c>
      <c r="P37" s="668">
        <f t="shared" si="15"/>
        <v>2.3743709896429617</v>
      </c>
      <c r="Q37" s="701">
        <f t="shared" si="15"/>
        <v>2.3743709896429617</v>
      </c>
      <c r="R37" s="668">
        <f t="shared" si="15"/>
        <v>2.3743709896429617</v>
      </c>
      <c r="S37" s="668">
        <f t="shared" si="15"/>
        <v>2.3743709896429617</v>
      </c>
      <c r="T37" s="669">
        <f t="shared" si="15"/>
        <v>2.3743709896429617</v>
      </c>
      <c r="U37" s="774"/>
      <c r="V37" s="449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</row>
    <row r="38" spans="1:32" ht="27">
      <c r="A38" s="1038"/>
      <c r="B38" s="261" t="s">
        <v>275</v>
      </c>
      <c r="C38" s="1058" t="s">
        <v>276</v>
      </c>
      <c r="D38" s="1048" t="s">
        <v>495</v>
      </c>
      <c r="E38" s="258" t="s">
        <v>206</v>
      </c>
      <c r="F38" s="265" t="s">
        <v>481</v>
      </c>
      <c r="G38" s="411"/>
      <c r="H38" s="265" t="s">
        <v>94</v>
      </c>
      <c r="I38" s="278">
        <v>148863</v>
      </c>
      <c r="J38" s="278">
        <v>103593.84539622642</v>
      </c>
      <c r="K38" s="278">
        <v>114471</v>
      </c>
      <c r="L38" s="278"/>
      <c r="M38" s="278"/>
      <c r="N38" s="279"/>
      <c r="O38" s="278"/>
      <c r="P38" s="278"/>
      <c r="Q38" s="278"/>
      <c r="R38" s="278"/>
      <c r="S38" s="278"/>
      <c r="T38" s="280"/>
      <c r="U38" s="788"/>
      <c r="V38" s="459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</row>
    <row r="39" spans="1:32" ht="15.75" thickBot="1">
      <c r="A39" s="1038"/>
      <c r="B39" s="263" t="s">
        <v>277</v>
      </c>
      <c r="C39" s="1059"/>
      <c r="D39" s="1049"/>
      <c r="E39" s="263" t="s">
        <v>173</v>
      </c>
      <c r="F39" s="263" t="s">
        <v>480</v>
      </c>
      <c r="G39" s="408"/>
      <c r="H39" s="266" t="s">
        <v>94</v>
      </c>
      <c r="I39" s="267">
        <f>I38</f>
        <v>148863</v>
      </c>
      <c r="J39" s="267">
        <f>I39+J38</f>
        <v>252456.84539622642</v>
      </c>
      <c r="K39" s="267">
        <f t="shared" ref="K39:S39" si="16">J39+K38</f>
        <v>366927.84539622639</v>
      </c>
      <c r="L39" s="267">
        <f t="shared" si="16"/>
        <v>366927.84539622639</v>
      </c>
      <c r="M39" s="267">
        <f t="shared" si="16"/>
        <v>366927.84539622639</v>
      </c>
      <c r="N39" s="267">
        <f t="shared" si="16"/>
        <v>366927.84539622639</v>
      </c>
      <c r="O39" s="267">
        <f t="shared" si="16"/>
        <v>366927.84539622639</v>
      </c>
      <c r="P39" s="267">
        <f t="shared" si="16"/>
        <v>366927.84539622639</v>
      </c>
      <c r="Q39" s="267">
        <f t="shared" si="16"/>
        <v>366927.84539622639</v>
      </c>
      <c r="R39" s="267">
        <f t="shared" si="16"/>
        <v>366927.84539622639</v>
      </c>
      <c r="S39" s="267">
        <f t="shared" si="16"/>
        <v>366927.84539622639</v>
      </c>
      <c r="T39" s="268">
        <f>S39+T38</f>
        <v>366927.84539622639</v>
      </c>
      <c r="U39" s="767"/>
      <c r="V39" s="447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</row>
    <row r="40" spans="1:32" ht="27">
      <c r="A40" s="1038"/>
      <c r="B40" s="261" t="s">
        <v>278</v>
      </c>
      <c r="C40" s="1050" t="s">
        <v>279</v>
      </c>
      <c r="D40" s="1048" t="s">
        <v>496</v>
      </c>
      <c r="E40" s="265" t="s">
        <v>206</v>
      </c>
      <c r="F40" s="265" t="s">
        <v>481</v>
      </c>
      <c r="G40" s="407" t="s">
        <v>280</v>
      </c>
      <c r="H40" s="696" t="s">
        <v>94</v>
      </c>
      <c r="I40" s="702">
        <f>I38/I13</f>
        <v>10.655142795791281</v>
      </c>
      <c r="J40" s="702">
        <f t="shared" ref="J40:T41" si="17">J38/J13</f>
        <v>10.904615304865938</v>
      </c>
      <c r="K40" s="702">
        <f t="shared" si="17"/>
        <v>8.1254258943781945</v>
      </c>
      <c r="L40" s="702" t="e">
        <f t="shared" si="17"/>
        <v>#DIV/0!</v>
      </c>
      <c r="M40" s="702" t="e">
        <f t="shared" si="17"/>
        <v>#DIV/0!</v>
      </c>
      <c r="N40" s="702" t="e">
        <f t="shared" si="17"/>
        <v>#DIV/0!</v>
      </c>
      <c r="O40" s="702" t="e">
        <f t="shared" si="17"/>
        <v>#DIV/0!</v>
      </c>
      <c r="P40" s="702" t="e">
        <f t="shared" si="17"/>
        <v>#DIV/0!</v>
      </c>
      <c r="Q40" s="702" t="e">
        <f t="shared" si="17"/>
        <v>#DIV/0!</v>
      </c>
      <c r="R40" s="702" t="e">
        <f t="shared" si="17"/>
        <v>#DIV/0!</v>
      </c>
      <c r="S40" s="702" t="e">
        <f t="shared" si="17"/>
        <v>#DIV/0!</v>
      </c>
      <c r="T40" s="698" t="e">
        <f t="shared" si="17"/>
        <v>#DIV/0!</v>
      </c>
      <c r="U40" s="785"/>
      <c r="V40" s="457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</row>
    <row r="41" spans="1:32" ht="15.75" thickBot="1">
      <c r="A41" s="1039"/>
      <c r="B41" s="637" t="s">
        <v>281</v>
      </c>
      <c r="C41" s="1051"/>
      <c r="D41" s="1049"/>
      <c r="E41" s="636" t="s">
        <v>173</v>
      </c>
      <c r="F41" s="636" t="s">
        <v>480</v>
      </c>
      <c r="G41" s="408" t="s">
        <v>282</v>
      </c>
      <c r="H41" s="266" t="s">
        <v>94</v>
      </c>
      <c r="I41" s="699">
        <f>I39/I14</f>
        <v>10.655142795791281</v>
      </c>
      <c r="J41" s="699">
        <f t="shared" si="17"/>
        <v>10.756117992255398</v>
      </c>
      <c r="K41" s="699">
        <f t="shared" si="17"/>
        <v>9.7693720651834823</v>
      </c>
      <c r="L41" s="699">
        <f t="shared" si="17"/>
        <v>9.7693720651834823</v>
      </c>
      <c r="M41" s="699">
        <f t="shared" si="17"/>
        <v>9.7693720651834823</v>
      </c>
      <c r="N41" s="699">
        <f t="shared" si="17"/>
        <v>9.7693720651834823</v>
      </c>
      <c r="O41" s="699">
        <f t="shared" si="17"/>
        <v>9.7693720651834823</v>
      </c>
      <c r="P41" s="699">
        <f t="shared" si="17"/>
        <v>9.7693720651834823</v>
      </c>
      <c r="Q41" s="699">
        <f t="shared" si="17"/>
        <v>9.7693720651834823</v>
      </c>
      <c r="R41" s="699">
        <f t="shared" si="17"/>
        <v>9.7693720651834823</v>
      </c>
      <c r="S41" s="699">
        <f t="shared" si="17"/>
        <v>9.7693720651834823</v>
      </c>
      <c r="T41" s="700">
        <f t="shared" si="17"/>
        <v>9.7693720651834823</v>
      </c>
      <c r="U41" s="786"/>
      <c r="V41" s="458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</row>
    <row r="42" spans="1:32" ht="36">
      <c r="A42" s="1043" t="s">
        <v>283</v>
      </c>
      <c r="B42" s="281" t="s">
        <v>284</v>
      </c>
      <c r="C42" s="399" t="s">
        <v>285</v>
      </c>
      <c r="D42" s="401" t="s">
        <v>490</v>
      </c>
      <c r="E42" s="1052" t="s">
        <v>206</v>
      </c>
      <c r="F42" s="1040" t="s">
        <v>482</v>
      </c>
      <c r="G42" s="399" t="s">
        <v>528</v>
      </c>
      <c r="H42" s="703" t="s">
        <v>94</v>
      </c>
      <c r="I42" s="704">
        <f>指標1!B34</f>
        <v>2076</v>
      </c>
      <c r="J42" s="704">
        <f>指標1!C34</f>
        <v>1771</v>
      </c>
      <c r="K42" s="704">
        <f>指標1!D34</f>
        <v>2440</v>
      </c>
      <c r="L42" s="704">
        <f>指標1!E34</f>
        <v>0</v>
      </c>
      <c r="M42" s="704">
        <f>指標1!F34</f>
        <v>0</v>
      </c>
      <c r="N42" s="704">
        <f>指標1!G34</f>
        <v>0</v>
      </c>
      <c r="O42" s="704">
        <f>指標1!H34</f>
        <v>0</v>
      </c>
      <c r="P42" s="704">
        <f>指標1!I34</f>
        <v>0</v>
      </c>
      <c r="Q42" s="704">
        <f>指標1!J34</f>
        <v>0</v>
      </c>
      <c r="R42" s="704">
        <f>指標1!K34</f>
        <v>0</v>
      </c>
      <c r="S42" s="704">
        <f>指標1!L34</f>
        <v>0</v>
      </c>
      <c r="T42" s="704">
        <f>指標1!M34</f>
        <v>0</v>
      </c>
      <c r="U42" s="789"/>
      <c r="V42" s="460"/>
    </row>
    <row r="43" spans="1:32">
      <c r="A43" s="1044"/>
      <c r="B43" s="282" t="s">
        <v>286</v>
      </c>
      <c r="C43" s="404" t="s">
        <v>263</v>
      </c>
      <c r="D43" s="705" t="s">
        <v>491</v>
      </c>
      <c r="E43" s="1063"/>
      <c r="F43" s="1041"/>
      <c r="G43" s="404" t="s">
        <v>287</v>
      </c>
      <c r="H43" s="261" t="s">
        <v>94</v>
      </c>
      <c r="I43" s="283">
        <v>9639</v>
      </c>
      <c r="J43" s="283">
        <v>7388</v>
      </c>
      <c r="K43" s="283">
        <v>12870</v>
      </c>
      <c r="L43" s="283"/>
      <c r="M43" s="283"/>
      <c r="N43" s="283"/>
      <c r="O43" s="283"/>
      <c r="P43" s="283"/>
      <c r="Q43" s="283"/>
      <c r="R43" s="283"/>
      <c r="S43" s="283"/>
      <c r="T43" s="284"/>
      <c r="U43" s="783"/>
      <c r="V43" s="461" t="s">
        <v>622</v>
      </c>
    </row>
    <row r="44" spans="1:32" ht="14.25" thickBot="1">
      <c r="A44" s="1044"/>
      <c r="B44" s="285" t="s">
        <v>288</v>
      </c>
      <c r="C44" s="400" t="s">
        <v>289</v>
      </c>
      <c r="D44" s="667" t="s">
        <v>492</v>
      </c>
      <c r="E44" s="1053"/>
      <c r="F44" s="1042"/>
      <c r="G44" s="408" t="s">
        <v>290</v>
      </c>
      <c r="H44" s="263" t="s">
        <v>94</v>
      </c>
      <c r="I44" s="286">
        <v>159134</v>
      </c>
      <c r="J44" s="286">
        <v>120846</v>
      </c>
      <c r="K44" s="286">
        <v>187021</v>
      </c>
      <c r="L44" s="286"/>
      <c r="M44" s="286"/>
      <c r="N44" s="286"/>
      <c r="O44" s="286"/>
      <c r="P44" s="286"/>
      <c r="Q44" s="286"/>
      <c r="R44" s="286"/>
      <c r="S44" s="286"/>
      <c r="T44" s="287"/>
      <c r="U44" s="767"/>
      <c r="V44" s="462"/>
    </row>
    <row r="45" spans="1:32">
      <c r="A45" s="1044"/>
      <c r="B45" s="288" t="s">
        <v>291</v>
      </c>
      <c r="C45" s="706" t="s">
        <v>292</v>
      </c>
      <c r="D45" s="405" t="s">
        <v>490</v>
      </c>
      <c r="E45" s="1063" t="s">
        <v>173</v>
      </c>
      <c r="F45" s="1040" t="s">
        <v>480</v>
      </c>
      <c r="G45" s="411" t="s">
        <v>293</v>
      </c>
      <c r="H45" s="707" t="s">
        <v>94</v>
      </c>
      <c r="I45" s="708">
        <f>I42</f>
        <v>2076</v>
      </c>
      <c r="J45" s="708">
        <f>I45+J42</f>
        <v>3847</v>
      </c>
      <c r="K45" s="708">
        <f>J45+K42</f>
        <v>6287</v>
      </c>
      <c r="L45" s="708">
        <f t="shared" ref="L45:T45" si="18">K45+L42</f>
        <v>6287</v>
      </c>
      <c r="M45" s="708">
        <f t="shared" si="18"/>
        <v>6287</v>
      </c>
      <c r="N45" s="708">
        <f t="shared" si="18"/>
        <v>6287</v>
      </c>
      <c r="O45" s="708">
        <f t="shared" si="18"/>
        <v>6287</v>
      </c>
      <c r="P45" s="708">
        <f t="shared" si="18"/>
        <v>6287</v>
      </c>
      <c r="Q45" s="708">
        <f t="shared" si="18"/>
        <v>6287</v>
      </c>
      <c r="R45" s="708">
        <f t="shared" si="18"/>
        <v>6287</v>
      </c>
      <c r="S45" s="708">
        <f t="shared" si="18"/>
        <v>6287</v>
      </c>
      <c r="T45" s="709">
        <f t="shared" si="18"/>
        <v>6287</v>
      </c>
      <c r="U45" s="788"/>
      <c r="V45" s="463"/>
    </row>
    <row r="46" spans="1:32">
      <c r="A46" s="1044"/>
      <c r="B46" s="289" t="s">
        <v>294</v>
      </c>
      <c r="C46" s="404" t="s">
        <v>295</v>
      </c>
      <c r="D46" s="705" t="s">
        <v>491</v>
      </c>
      <c r="E46" s="1063"/>
      <c r="F46" s="1041"/>
      <c r="G46" s="710" t="s">
        <v>296</v>
      </c>
      <c r="H46" s="696" t="s">
        <v>94</v>
      </c>
      <c r="I46" s="711">
        <f>I43</f>
        <v>9639</v>
      </c>
      <c r="J46" s="711">
        <f>J43+I46</f>
        <v>17027</v>
      </c>
      <c r="K46" s="711">
        <f t="shared" ref="K46:T47" si="19">K43+J46</f>
        <v>29897</v>
      </c>
      <c r="L46" s="711">
        <f t="shared" si="19"/>
        <v>29897</v>
      </c>
      <c r="M46" s="711">
        <f t="shared" si="19"/>
        <v>29897</v>
      </c>
      <c r="N46" s="711">
        <f t="shared" si="19"/>
        <v>29897</v>
      </c>
      <c r="O46" s="711">
        <f t="shared" si="19"/>
        <v>29897</v>
      </c>
      <c r="P46" s="711">
        <f t="shared" si="19"/>
        <v>29897</v>
      </c>
      <c r="Q46" s="711">
        <f t="shared" si="19"/>
        <v>29897</v>
      </c>
      <c r="R46" s="711">
        <f t="shared" si="19"/>
        <v>29897</v>
      </c>
      <c r="S46" s="711">
        <f t="shared" si="19"/>
        <v>29897</v>
      </c>
      <c r="T46" s="712">
        <f t="shared" si="19"/>
        <v>29897</v>
      </c>
      <c r="U46" s="783"/>
      <c r="V46" s="455"/>
    </row>
    <row r="47" spans="1:32" ht="14.25" thickBot="1">
      <c r="A47" s="1045"/>
      <c r="B47" s="290" t="s">
        <v>297</v>
      </c>
      <c r="C47" s="400" t="s">
        <v>298</v>
      </c>
      <c r="D47" s="667" t="s">
        <v>492</v>
      </c>
      <c r="E47" s="1053"/>
      <c r="F47" s="1042"/>
      <c r="G47" s="408" t="s">
        <v>299</v>
      </c>
      <c r="H47" s="266" t="s">
        <v>94</v>
      </c>
      <c r="I47" s="267">
        <f>I44</f>
        <v>159134</v>
      </c>
      <c r="J47" s="267">
        <f>J44+I47</f>
        <v>279980</v>
      </c>
      <c r="K47" s="267">
        <f t="shared" si="19"/>
        <v>467001</v>
      </c>
      <c r="L47" s="267">
        <f t="shared" si="19"/>
        <v>467001</v>
      </c>
      <c r="M47" s="267">
        <f t="shared" si="19"/>
        <v>467001</v>
      </c>
      <c r="N47" s="267">
        <f t="shared" si="19"/>
        <v>467001</v>
      </c>
      <c r="O47" s="267">
        <f t="shared" si="19"/>
        <v>467001</v>
      </c>
      <c r="P47" s="267">
        <f t="shared" si="19"/>
        <v>467001</v>
      </c>
      <c r="Q47" s="267">
        <f t="shared" si="19"/>
        <v>467001</v>
      </c>
      <c r="R47" s="267">
        <f t="shared" si="19"/>
        <v>467001</v>
      </c>
      <c r="S47" s="267">
        <f t="shared" si="19"/>
        <v>467001</v>
      </c>
      <c r="T47" s="268">
        <f t="shared" si="19"/>
        <v>467001</v>
      </c>
      <c r="U47" s="778"/>
      <c r="V47" s="453"/>
    </row>
    <row r="48" spans="1:32">
      <c r="A48" s="1064"/>
      <c r="B48" s="426" t="s">
        <v>529</v>
      </c>
      <c r="C48" s="427" t="s">
        <v>530</v>
      </c>
      <c r="D48" s="438"/>
      <c r="E48" s="1052" t="s">
        <v>531</v>
      </c>
      <c r="F48" s="1040" t="s">
        <v>482</v>
      </c>
      <c r="G48" s="428" t="s">
        <v>532</v>
      </c>
      <c r="H48" s="1060" t="s">
        <v>533</v>
      </c>
      <c r="I48" s="429">
        <f>I13-I18</f>
        <v>55</v>
      </c>
      <c r="J48" s="429">
        <f t="shared" ref="J48:T48" si="20">J13-J18</f>
        <v>1284</v>
      </c>
      <c r="K48" s="429">
        <f t="shared" si="20"/>
        <v>2385</v>
      </c>
      <c r="L48" s="429">
        <f t="shared" si="20"/>
        <v>0</v>
      </c>
      <c r="M48" s="429">
        <f t="shared" si="20"/>
        <v>0</v>
      </c>
      <c r="N48" s="429">
        <f t="shared" si="20"/>
        <v>0</v>
      </c>
      <c r="O48" s="429">
        <f t="shared" si="20"/>
        <v>0</v>
      </c>
      <c r="P48" s="429">
        <f t="shared" si="20"/>
        <v>0</v>
      </c>
      <c r="Q48" s="429">
        <f t="shared" si="20"/>
        <v>0</v>
      </c>
      <c r="R48" s="429">
        <f t="shared" si="20"/>
        <v>0</v>
      </c>
      <c r="S48" s="429">
        <f t="shared" si="20"/>
        <v>0</v>
      </c>
      <c r="T48" s="429">
        <f t="shared" si="20"/>
        <v>0</v>
      </c>
      <c r="U48" s="790"/>
      <c r="V48" s="430"/>
    </row>
    <row r="49" spans="1:22">
      <c r="A49" s="1065"/>
      <c r="B49" s="431" t="s">
        <v>534</v>
      </c>
      <c r="C49" s="432" t="s">
        <v>535</v>
      </c>
      <c r="D49" s="439"/>
      <c r="E49" s="1063"/>
      <c r="F49" s="1041"/>
      <c r="G49" s="433" t="s">
        <v>536</v>
      </c>
      <c r="H49" s="1061"/>
      <c r="I49" s="713">
        <f>I18/I13</f>
        <v>0.99606327392455807</v>
      </c>
      <c r="J49" s="713">
        <f t="shared" ref="J49:T49" si="21">J18/J13</f>
        <v>0.86484210526315786</v>
      </c>
      <c r="K49" s="713">
        <f t="shared" si="21"/>
        <v>0.83070698466780235</v>
      </c>
      <c r="L49" s="713" t="e">
        <f t="shared" si="21"/>
        <v>#DIV/0!</v>
      </c>
      <c r="M49" s="713" t="e">
        <f t="shared" si="21"/>
        <v>#DIV/0!</v>
      </c>
      <c r="N49" s="713" t="e">
        <f t="shared" si="21"/>
        <v>#DIV/0!</v>
      </c>
      <c r="O49" s="713" t="e">
        <f t="shared" si="21"/>
        <v>#DIV/0!</v>
      </c>
      <c r="P49" s="713" t="e">
        <f t="shared" si="21"/>
        <v>#DIV/0!</v>
      </c>
      <c r="Q49" s="713" t="e">
        <f t="shared" si="21"/>
        <v>#DIV/0!</v>
      </c>
      <c r="R49" s="713" t="e">
        <f t="shared" si="21"/>
        <v>#DIV/0!</v>
      </c>
      <c r="S49" s="713" t="e">
        <f t="shared" si="21"/>
        <v>#DIV/0!</v>
      </c>
      <c r="T49" s="713" t="e">
        <f t="shared" si="21"/>
        <v>#DIV/0!</v>
      </c>
      <c r="U49" s="791"/>
      <c r="V49" s="714"/>
    </row>
    <row r="50" spans="1:22" ht="14.25" thickBot="1">
      <c r="A50" s="1066"/>
      <c r="B50" s="434" t="s">
        <v>537</v>
      </c>
      <c r="C50" s="435" t="s">
        <v>538</v>
      </c>
      <c r="D50" s="440"/>
      <c r="E50" s="1053"/>
      <c r="F50" s="1042"/>
      <c r="G50" s="425"/>
      <c r="H50" s="1062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436"/>
      <c r="U50" s="792"/>
      <c r="V50" s="437"/>
    </row>
    <row r="67" spans="1:1">
      <c r="A67" s="246" t="s">
        <v>300</v>
      </c>
    </row>
    <row r="68" spans="1:1">
      <c r="A68" s="246" t="s">
        <v>301</v>
      </c>
    </row>
    <row r="69" spans="1:1">
      <c r="A69" s="246" t="s">
        <v>302</v>
      </c>
    </row>
    <row r="70" spans="1:1">
      <c r="A70" s="246" t="s">
        <v>303</v>
      </c>
    </row>
  </sheetData>
  <sheetProtection algorithmName="SHA-512" hashValue="MO1EG4Fw3Qf8iNymaupVz0N1nCJqVDM/9Z0P9aquDO5MDu96dfNbztRatZeDy0nSgkxjGWy/01Sv3Tug9Ik+qA==" saltValue="vkEiheaCjhjYyZl4DWlYJg==" spinCount="100000" sheet="1" objects="1" scenarios="1" selectLockedCells="1"/>
  <mergeCells count="49">
    <mergeCell ref="H48:H50"/>
    <mergeCell ref="A42:A47"/>
    <mergeCell ref="E42:E44"/>
    <mergeCell ref="F42:F44"/>
    <mergeCell ref="E45:E47"/>
    <mergeCell ref="F45:F47"/>
    <mergeCell ref="A48:A50"/>
    <mergeCell ref="E48:E50"/>
    <mergeCell ref="F48:F50"/>
    <mergeCell ref="A30:A41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A24:A27"/>
    <mergeCell ref="E24:E27"/>
    <mergeCell ref="F24:F27"/>
    <mergeCell ref="A28:A29"/>
    <mergeCell ref="E28:E29"/>
    <mergeCell ref="F28:F29"/>
    <mergeCell ref="A9:A11"/>
    <mergeCell ref="E9:E11"/>
    <mergeCell ref="F9:F11"/>
    <mergeCell ref="A12:A23"/>
    <mergeCell ref="C13:C14"/>
    <mergeCell ref="D13:D14"/>
    <mergeCell ref="C16:C17"/>
    <mergeCell ref="D16:D17"/>
    <mergeCell ref="E16:E17"/>
    <mergeCell ref="F16:F17"/>
    <mergeCell ref="E22:E23"/>
    <mergeCell ref="F22:F23"/>
    <mergeCell ref="I6:K6"/>
    <mergeCell ref="L6:N6"/>
    <mergeCell ref="O6:Q6"/>
    <mergeCell ref="R6:T6"/>
    <mergeCell ref="I2:T2"/>
    <mergeCell ref="I5:K5"/>
    <mergeCell ref="L5:N5"/>
    <mergeCell ref="O5:Q5"/>
    <mergeCell ref="R5:T5"/>
  </mergeCells>
  <phoneticPr fontId="36"/>
  <pageMargins left="0" right="0" top="0" bottom="0" header="0.51181102362204722" footer="0.51181102362204722"/>
  <pageSetup paperSize="9" scale="7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機械別実績</vt:lpstr>
      <vt:lpstr>指標1</vt:lpstr>
      <vt:lpstr>指標２(内作)</vt:lpstr>
      <vt:lpstr>指標２(外作)</vt:lpstr>
      <vt:lpstr>指標3（工程毎負荷時間)</vt:lpstr>
      <vt:lpstr>指標４（生産性) </vt:lpstr>
    </vt:vector>
  </TitlesOfParts>
  <Company>mabuchi-motor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hachisu takashi</dc:creator>
  <cp:lastModifiedBy>VDM/HOANG LE PHUOC</cp:lastModifiedBy>
  <cp:lastPrinted>2022-04-19T01:59:00Z</cp:lastPrinted>
  <dcterms:created xsi:type="dcterms:W3CDTF">2016-10-24T01:59:00Z</dcterms:created>
  <dcterms:modified xsi:type="dcterms:W3CDTF">2026-05-09T04:02:30Z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87694E2265B249229097E0FDA8AE3F9C</vt:lpwstr>
  </property>
  <property fmtid="{D5CDD505-2E9C-101B-9397-08002B2CF9AE}" pid="3" name="KSOProductBuildVer">
    <vt:lpwstr>2052-11.1.0.12358</vt:lpwstr>
  </property>
</Properties>
</file>